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7280" yWindow="1240" windowWidth="66340" windowHeight="2622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8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10" fontId="8" fillId="7" borderId="16" applyAlignment="1" pivotButton="0" quotePrefix="0" xfId="0">
      <alignment horizontal="center" vertical="center"/>
    </xf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0" fontId="0" fillId="3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0" pivotButton="0" quotePrefix="0" xfId="2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World'!$A$2:$A$390</f>
              <numCache>
                <formatCode>mmm\-yy</formatCode>
                <ptCount val="38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</numCache>
            </numRef>
          </cat>
          <val>
            <numRef>
              <f>'IP World'!$H$2:$H$390</f>
              <numCache>
                <formatCode>0.00</formatCode>
                <ptCount val="389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  <pt idx="356">
                  <v>86.26644736865981</v>
                </pt>
                <pt idx="357">
                  <v>85.52631578909492</v>
                </pt>
                <pt idx="358">
                  <v>86.10197368422068</v>
                </pt>
                <pt idx="359">
                  <v>83.7993421053626</v>
                </pt>
                <pt idx="360">
                  <v>86.10197368422068</v>
                </pt>
                <pt idx="361">
                  <v>84.95065789479163</v>
                </pt>
                <pt idx="362">
                  <v>61.10197368401506</v>
                </pt>
                <pt idx="363">
                  <v>48.19078947404809</v>
                </pt>
                <pt idx="364">
                  <v>69.73684210514412</v>
                </pt>
                <pt idx="365">
                  <v>75.08223684242519</v>
                </pt>
                <pt idx="366">
                  <v>80.4276315788838</v>
                </pt>
                <pt idx="367">
                  <v>86.18421052602902</v>
                </pt>
                <pt idx="368">
                  <v>82.31907894705527</v>
                </pt>
                <pt idx="369">
                  <v>83.88157894717094</v>
                </pt>
                <pt idx="370">
                  <v>82.73026315774189</v>
                </pt>
                <pt idx="371">
                  <v>82.89473684218102</v>
                </pt>
                <pt idx="372">
                  <v>84.12828947341841</v>
                </pt>
                <pt idx="373">
                  <v>84.2105263160492</v>
                </pt>
                <pt idx="374">
                  <v>84.53947368410502</v>
                </pt>
                <pt idx="375">
                  <v>85.93749999978155</v>
                </pt>
                <pt idx="376">
                  <v>84.53947368410502</v>
                </pt>
                <pt idx="377">
                  <v>85.44407894728658</v>
                </pt>
                <pt idx="378">
                  <v>86.18421052602902</v>
                </pt>
                <pt idx="379">
                  <v>85.93749999978155</v>
                </pt>
                <pt idx="380">
                  <v>86.01973684241233</v>
                </pt>
                <pt idx="381">
                  <v>85.52631578909492</v>
                </pt>
                <pt idx="382">
                  <v>87.41776315808886</v>
                </pt>
                <pt idx="383">
                  <v>86.34868421046815</v>
                </pt>
                <pt idx="384">
                  <v>83.38815789467597</v>
                </pt>
                <pt idx="385">
                  <v>87.00657894740225</v>
                </pt>
                <pt idx="386">
                  <v>87.17105263184138</v>
                </pt>
                <pt idx="387">
                  <v>88.98026315820451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World'!$A$2:$A$390</f>
              <numCache>
                <formatCode>mmm\-yy</formatCode>
                <ptCount val="38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</numCache>
            </numRef>
          </cat>
          <val>
            <numRef>
              <f>'IP World'!$I$2:$I$390</f>
              <numCache>
                <formatCode>0.00</formatCode>
                <ptCount val="389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  <pt idx="356">
                  <v>101.4440433212996</v>
                </pt>
                <pt idx="357">
                  <v>101.0342472436335</v>
                </pt>
                <pt idx="358">
                  <v>101.092789540443</v>
                </pt>
                <pt idx="359">
                  <v>98.67304127231925</v>
                </pt>
                <pt idx="360">
                  <v>98.84866816274759</v>
                </pt>
                <pt idx="361">
                  <v>100.7220216606498</v>
                </pt>
                <pt idx="362">
                  <v>83.39350180505416</v>
                </pt>
                <pt idx="363">
                  <v>66.19182359254563</v>
                </pt>
                <pt idx="364">
                  <v>78.85647380232217</v>
                </pt>
                <pt idx="365">
                  <v>89.15016099131624</v>
                </pt>
                <pt idx="366">
                  <v>92.13581812859792</v>
                </pt>
                <pt idx="367">
                  <v>93.19933652063617</v>
                </pt>
                <pt idx="368">
                  <v>94.84827788076885</v>
                </pt>
                <pt idx="369">
                  <v>96.67284613132989</v>
                </pt>
                <pt idx="370">
                  <v>96.19475070738609</v>
                </pt>
                <pt idx="371">
                  <v>95.72641233291053</v>
                </pt>
                <pt idx="372">
                  <v>99.00478095423944</v>
                </pt>
                <pt idx="373">
                  <v>94.47751000097571</v>
                </pt>
                <pt idx="374">
                  <v>95.40442970045859</v>
                </pt>
                <pt idx="375">
                  <v>95.18001756268905</v>
                </pt>
                <pt idx="376">
                  <v>94.83852083130063</v>
                </pt>
                <pt idx="377">
                  <v>95.39467265099034</v>
                </pt>
                <pt idx="378">
                  <v>95.78495462971998</v>
                </pt>
                <pt idx="379">
                  <v>96.76065957654406</v>
                </pt>
                <pt idx="380">
                  <v>95.32637330471266</v>
                </pt>
                <pt idx="381">
                  <v>96.14596546004489</v>
                </pt>
                <pt idx="382">
                  <v>95.71665528344229</v>
                </pt>
                <pt idx="383">
                  <v>95.46297199726803</v>
                </pt>
                <pt idx="384">
                  <v>97.22899795101962</v>
                </pt>
                <pt idx="385">
                  <v>96.38989169675091</v>
                </pt>
                <pt idx="386">
                  <v>95.54102839301396</v>
                </pt>
                <pt idx="387">
                  <v>95.47272904673626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World'!$A$2:$A$390</f>
              <numCache>
                <formatCode>mmm\-yy</formatCode>
                <ptCount val="38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</numCache>
            </numRef>
          </cat>
          <val>
            <numRef>
              <f>'IP World'!$J$2:$J$390</f>
              <numCache>
                <formatCode>0.00</formatCode>
                <ptCount val="389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  <pt idx="385">
                  <v>128.3244680837199</v>
                </pt>
                <pt idx="386">
                  <v>122.6063829780726</v>
                </pt>
                <pt idx="387">
                  <v>123.6702127654481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World'!$A$2:$A$390</f>
              <numCache>
                <formatCode>mmm\-yy</formatCode>
                <ptCount val="38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</numCache>
            </numRef>
          </cat>
          <val>
            <numRef>
              <f>'IP World'!$K$2:$K$390</f>
              <numCache>
                <formatCode>0.00</formatCode>
                <ptCount val="389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  <pt idx="356">
                  <v>88.26006556291991</v>
                </pt>
                <pt idx="357">
                  <v>87.36320080640117</v>
                </pt>
                <pt idx="358">
                  <v>88.68202067737334</v>
                </pt>
                <pt idx="359">
                  <v>86.96982432493635</v>
                </pt>
                <pt idx="360">
                  <v>87.1093552996915</v>
                </pt>
                <pt idx="361">
                  <v>86.92947801914508</v>
                </pt>
                <pt idx="362">
                  <v>75.92418256724126</v>
                </pt>
                <pt idx="363">
                  <v>58.59376313353901</v>
                </pt>
                <pt idx="364">
                  <v>70.71530637928129</v>
                </pt>
                <pt idx="365">
                  <v>78.72320753151013</v>
                </pt>
                <pt idx="366">
                  <v>83.53030175623118</v>
                </pt>
                <pt idx="367">
                  <v>84.55829200657152</v>
                </pt>
                <pt idx="368">
                  <v>85.31226359562548</v>
                </pt>
                <pt idx="369">
                  <v>85.98554257393745</v>
                </pt>
                <pt idx="370">
                  <v>85.1962679664756</v>
                </pt>
                <pt idx="371">
                  <v>85.93090695081133</v>
                </pt>
                <pt idx="372">
                  <v>85.32487181660552</v>
                </pt>
                <pt idx="373">
                  <v>85.31058249927065</v>
                </pt>
                <pt idx="374">
                  <v>85.81491132166146</v>
                </pt>
                <pt idx="375">
                  <v>86.96982432493635</v>
                </pt>
                <pt idx="376">
                  <v>88.207951584326</v>
                </pt>
                <pt idx="377">
                  <v>87.18668571856438</v>
                </pt>
                <pt idx="378">
                  <v>86.26040178172015</v>
                </pt>
                <pt idx="379">
                  <v>86.06035134911866</v>
                </pt>
                <pt idx="380">
                  <v>86.3511809697505</v>
                </pt>
                <pt idx="381">
                  <v>85.52240060467479</v>
                </pt>
                <pt idx="382">
                  <v>89.34689417475177</v>
                </pt>
                <pt idx="383">
                  <v>86.80759855443443</v>
                </pt>
                <pt idx="384">
                  <v>88.42649407430886</v>
                </pt>
                <pt idx="385">
                  <v>89.25359334302975</v>
                </pt>
                <pt idx="386">
                  <v>87.39177944023034</v>
                </pt>
                <pt idx="387">
                  <v>89.24939060214271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World'!$A$2:$A$390</f>
              <numCache>
                <formatCode>mmm\-yy</formatCode>
                <ptCount val="38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</numCache>
            </numRef>
          </cat>
          <val>
            <numRef>
              <f>'IP World'!$L$2:$L$390</f>
              <numCache>
                <formatCode>0.00</formatCode>
                <ptCount val="389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  <pt idx="385">
                  <v>117.6733780760626</v>
                </pt>
                <pt idx="386">
                  <v>115.3339959541387</v>
                </pt>
                <pt idx="387">
                  <v>116.1073825503356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World'!$M$2:$M$390</f>
              <numCache>
                <formatCode>0.00</formatCode>
                <ptCount val="389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113.0688448072261</v>
                </pt>
                <pt idx="385">
                  <v>113.3022170354422</v>
                </pt>
                <pt idx="386">
                  <v>113.6522753788513</v>
                </pt>
                <pt idx="387">
                  <v>112.9521586931181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World'!$O$2:$O$390</f>
              <numCache>
                <formatCode>0.00</formatCode>
                <ptCount val="389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  <pt idx="384">
                  <v>118.0656969699466</v>
                </pt>
                <pt idx="385">
                  <v>118.1950962897655</v>
                </pt>
                <pt idx="386">
                  <v>119.3409763372836</v>
                </pt>
                <pt idx="387">
                  <v>120.495756865357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World'!$Q$2:$Q$390</f>
              <numCache>
                <formatCode>0.00</formatCode>
                <ptCount val="389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  <pt idx="385">
                  <v>96.4743886720109</v>
                </pt>
                <pt idx="386">
                  <v>96.97633658413142</v>
                </pt>
                <pt idx="387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World'!$A$2:$A$390</f>
              <numCache>
                <formatCode>mmm\-yy</formatCode>
                <ptCount val="38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</numCache>
            </numRef>
          </cat>
          <val>
            <numRef>
              <f>'IP World'!$L$2:$L$390</f>
              <numCache>
                <formatCode>0.00</formatCode>
                <ptCount val="389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  <pt idx="385">
                  <v>117.6733780760626</v>
                </pt>
                <pt idx="386">
                  <v>115.3339959541387</v>
                </pt>
                <pt idx="387">
                  <v>116.1073825503356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World'!$O$2:$O$390</f>
              <numCache>
                <formatCode>0.00</formatCode>
                <ptCount val="389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  <pt idx="384">
                  <v>118.0656969699466</v>
                </pt>
                <pt idx="385">
                  <v>118.1950962897655</v>
                </pt>
                <pt idx="386">
                  <v>119.3409763372836</v>
                </pt>
                <pt idx="387">
                  <v>120.495756865357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World'!$A$2:$A$390</f>
              <numCache>
                <formatCode>mmm\-yy</formatCode>
                <ptCount val="38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</numCache>
            </numRef>
          </cat>
          <val>
            <numRef>
              <f>'IP World'!$J$2:$J$390</f>
              <numCache>
                <formatCode>0.00</formatCode>
                <ptCount val="389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  <pt idx="384">
                  <v>129.9202127654481</v>
                </pt>
                <pt idx="385">
                  <v>128.3244680837199</v>
                </pt>
                <pt idx="386">
                  <v>122.6063829780726</v>
                </pt>
                <pt idx="387">
                  <v>123.6702127654481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World'!$A$2:$A$390</f>
              <numCache>
                <formatCode>mmm\-yy</formatCode>
                <ptCount val="389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</numCache>
            </numRef>
          </cat>
          <val>
            <numRef>
              <f>'IP World'!$L$2:$L$390</f>
              <numCache>
                <formatCode>0.00</formatCode>
                <ptCount val="389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  <pt idx="384">
                  <v>117.3475865715884</v>
                </pt>
                <pt idx="385">
                  <v>117.6733780760626</v>
                </pt>
                <pt idx="386">
                  <v>115.3339959541387</v>
                </pt>
                <pt idx="387">
                  <v>116.1073825503356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World'!$M$2:$M$390</f>
              <numCache>
                <formatCode>0.00</formatCode>
                <ptCount val="389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  <pt idx="384">
                  <v>113.0688448072261</v>
                </pt>
                <pt idx="385">
                  <v>113.3022170354422</v>
                </pt>
                <pt idx="386">
                  <v>113.6522753788513</v>
                </pt>
                <pt idx="387">
                  <v>112.9521586931181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World'!$O$2:$O$390</f>
              <numCache>
                <formatCode>0.00</formatCode>
                <ptCount val="389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  <pt idx="384">
                  <v>118.0656969699466</v>
                </pt>
                <pt idx="385">
                  <v>118.1950962897655</v>
                </pt>
                <pt idx="386">
                  <v>119.3409763372836</v>
                </pt>
                <pt idx="387">
                  <v>120.495756865357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World'!$Q$2:$Q$390</f>
              <numCache>
                <formatCode>0.00</formatCode>
                <ptCount val="389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  <pt idx="384">
                  <v>95.77166159484142</v>
                </pt>
                <pt idx="385">
                  <v>96.4743886720109</v>
                </pt>
                <pt idx="386">
                  <v>96.97633658413142</v>
                </pt>
                <pt idx="387">
                  <v>95.77166159484142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country'!$A$5:$A$381</f>
              <numCache>
                <formatCode>mmm\-yy</formatCode>
                <ptCount val="37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</numCache>
            </numRef>
          </cat>
          <val>
            <numRef>
              <f>'Per country'!$C$5:$C$381</f>
              <numCache>
                <formatCode>0.0%</formatCode>
                <ptCount val="377"/>
                <pt idx="1">
                  <v>-0.003719669103453375</v>
                </pt>
                <pt idx="2">
                  <v>-0.007119995315095246</v>
                </pt>
                <pt idx="3">
                  <v>-0.005583868826132685</v>
                </pt>
                <pt idx="4">
                  <v>0.002890140030286004</v>
                </pt>
                <pt idx="5">
                  <v>0.009822186807044645</v>
                </pt>
                <pt idx="6">
                  <v>0.007862157991691323</v>
                </pt>
                <pt idx="7">
                  <v>0.002698917852412191</v>
                </pt>
                <pt idx="8">
                  <v>0.0001225677953801003</v>
                </pt>
                <pt idx="9">
                  <v>0.008572244044394937</v>
                </pt>
                <pt idx="10">
                  <v>-0.001414965377481464</v>
                </pt>
                <pt idx="11">
                  <v>-0.001380145121187487</v>
                </pt>
                <pt idx="12">
                  <v>-0.004346571316088733</v>
                </pt>
                <pt idx="13">
                  <v>-0.005241554338645632</v>
                </pt>
                <pt idx="14">
                  <v>0.007159923845446893</v>
                </pt>
                <pt idx="15">
                  <v>0.008126435510632923</v>
                </pt>
                <pt idx="16">
                  <v>0.007585818752691253</v>
                </pt>
                <pt idx="17">
                  <v>0.003207374913604341</v>
                </pt>
                <pt idx="18">
                  <v>0.0005520435122549702</v>
                </pt>
                <pt idx="19">
                  <v>0.009098963036957222</v>
                </pt>
                <pt idx="20">
                  <v>-0.005433271369423911</v>
                </pt>
                <pt idx="21">
                  <v>0.003001639837362331</v>
                </pt>
                <pt idx="22">
                  <v>0.007087789296334004</v>
                </pt>
                <pt idx="23">
                  <v>0.003951241593761641</v>
                </pt>
                <pt idx="24">
                  <v>0.00131189689920031</v>
                </pt>
                <pt idx="25">
                  <v>0.00421051329005463</v>
                </pt>
                <pt idx="26">
                  <v>0.004554843731992772</v>
                </pt>
                <pt idx="27">
                  <v>-0.0008448898618562043</v>
                </pt>
                <pt idx="28">
                  <v>0.002912807600543089</v>
                </pt>
                <pt idx="29">
                  <v>-0.0038408392858894</v>
                </pt>
                <pt idx="30">
                  <v>0.002204324778716541</v>
                </pt>
                <pt idx="31">
                  <v>0.00239106844025896</v>
                </pt>
                <pt idx="32">
                  <v>-0.001105524883797506</v>
                </pt>
                <pt idx="33">
                  <v>0.005046956452270148</v>
                </pt>
                <pt idx="34">
                  <v>0.007722042996011186</v>
                </pt>
                <pt idx="35">
                  <v>0.004835014037306371</v>
                </pt>
                <pt idx="36">
                  <v>0.005366777411049772</v>
                </pt>
                <pt idx="37">
                  <v>0.003286958845885394</v>
                </pt>
                <pt idx="38">
                  <v>0.0006919218100556847</v>
                </pt>
                <pt idx="39">
                  <v>0.01003188984919338</v>
                </pt>
                <pt idx="40">
                  <v>0.006069708693234859</v>
                </pt>
                <pt idx="41">
                  <v>0.004736723253467912</v>
                </pt>
                <pt idx="42">
                  <v>0.006527171241319162</v>
                </pt>
                <pt idx="43">
                  <v>0.001345692039935541</v>
                </pt>
                <pt idx="44">
                  <v>0.006571706621207512</v>
                </pt>
                <pt idx="45">
                  <v>0.003208291490404368</v>
                </pt>
                <pt idx="46">
                  <v>0.007787134447944941</v>
                </pt>
                <pt idx="47">
                  <v>0.00674081515704548</v>
                </pt>
                <pt idx="48">
                  <v>0.0101516528579161</v>
                </pt>
                <pt idx="49">
                  <v>0.001707122197253747</v>
                </pt>
                <pt idx="50">
                  <v>-0.001461153026209481</v>
                </pt>
                <pt idx="51">
                  <v>0.001587796766845329</v>
                </pt>
                <pt idx="52">
                  <v>-0.001428846780778362</v>
                </pt>
                <pt idx="53">
                  <v>0.004624170743141611</v>
                </pt>
                <pt idx="54">
                  <v>0.003246802967777272</v>
                </pt>
                <pt idx="55">
                  <v>-0.004379823393266621</v>
                </pt>
                <pt idx="56">
                  <v>0.01316103097847681</v>
                </pt>
                <pt idx="57">
                  <v>0.00416447114866258</v>
                </pt>
                <pt idx="58">
                  <v>-0.001571469668404003</v>
                </pt>
                <pt idx="59">
                  <v>0.002317689499536024</v>
                </pt>
                <pt idx="60">
                  <v>0.00371834749402437</v>
                </pt>
                <pt idx="61">
                  <v>-0.00563460582673754</v>
                </pt>
                <pt idx="62">
                  <v>0.01444822273892775</v>
                </pt>
                <pt idx="63">
                  <v>-0.001357582308590737</v>
                </pt>
                <pt idx="64">
                  <v>0.01029861375948734</v>
                </pt>
                <pt idx="65">
                  <v>0.007167440408352187</v>
                </pt>
                <pt idx="66">
                  <v>0.007571523620549375</v>
                </pt>
                <pt idx="67">
                  <v>-1.320675467551076e-06</v>
                </pt>
                <pt idx="68">
                  <v>0.004868005223458596</v>
                </pt>
                <pt idx="69">
                  <v>0.00668178083769987</v>
                </pt>
                <pt idx="70">
                  <v>-0.00038774920649827</v>
                </pt>
                <pt idx="71">
                  <v>0.008921691286238348</v>
                </pt>
                <pt idx="72">
                  <v>0.006277079532334</v>
                </pt>
                <pt idx="73">
                  <v>0.001761129596800609</v>
                </pt>
                <pt idx="74">
                  <v>0.01191969806198864</v>
                </pt>
                <pt idx="75">
                  <v>0.006031779475741652</v>
                </pt>
                <pt idx="76">
                  <v>0.0009057125440201127</v>
                </pt>
                <pt idx="77">
                  <v>0.005376425401543538</v>
                </pt>
                <pt idx="78">
                  <v>0.004556679569379762</v>
                </pt>
                <pt idx="79">
                  <v>0.0080275529917963</v>
                </pt>
                <pt idx="80">
                  <v>0.01030084253416192</v>
                </pt>
                <pt idx="81">
                  <v>0.009683636825320511</v>
                </pt>
                <pt idx="82">
                  <v>0.008545888345031408</v>
                </pt>
                <pt idx="83">
                  <v>0.007785200653525882</v>
                </pt>
                <pt idx="84">
                  <v>0.004533547289272554</v>
                </pt>
                <pt idx="85">
                  <v>0.00449525811112452</v>
                </pt>
                <pt idx="86">
                  <v>0.001533522735626942</v>
                </pt>
                <pt idx="87">
                  <v>0.0003249020335718345</v>
                </pt>
                <pt idx="88">
                  <v>0.003712128730629518</v>
                </pt>
                <pt idx="89">
                  <v>0.006238916853208236</v>
                </pt>
                <pt idx="90">
                  <v>-0.006021313743777275</v>
                </pt>
                <pt idx="91">
                  <v>-0.003901268264229818</v>
                </pt>
                <pt idx="92">
                  <v>0.0206917974510157</v>
                </pt>
                <pt idx="93">
                  <v>-0.001036817427177612</v>
                </pt>
                <pt idx="94">
                  <v>0.007506194345970614</v>
                </pt>
                <pt idx="95">
                  <v>-0.000876096695846413</v>
                </pt>
                <pt idx="96">
                  <v>0.004037951451416775</v>
                </pt>
                <pt idx="97">
                  <v>0.00440451385112542</v>
                </pt>
                <pt idx="98">
                  <v>0.005638113228903719</v>
                </pt>
                <pt idx="99">
                  <v>0.001916491355894227</v>
                </pt>
                <pt idx="100">
                  <v>0.002219738235514342</v>
                </pt>
                <pt idx="101">
                  <v>0.00621506146205266</v>
                </pt>
                <pt idx="102">
                  <v>-0.0007243552992526365</v>
                </pt>
                <pt idx="103">
                  <v>0.006015945128135448</v>
                </pt>
                <pt idx="104">
                  <v>0.004277471495974299</v>
                </pt>
                <pt idx="105">
                  <v>-0.004476164206861663</v>
                </pt>
                <pt idx="106">
                  <v>0.01314583892366568</v>
                </pt>
                <pt idx="107">
                  <v>0.00519782735110173</v>
                </pt>
                <pt idx="108">
                  <v>0.007686754332353061</v>
                </pt>
                <pt idx="109">
                  <v>-0.0005465766047845824</v>
                </pt>
                <pt idx="110">
                  <v>0.003627680180851088</v>
                </pt>
                <pt idx="111">
                  <v>0.00375676239340459</v>
                </pt>
                <pt idx="112">
                  <v>0.006365080514424965</v>
                </pt>
                <pt idx="113">
                  <v>0.003017346521671997</v>
                </pt>
                <pt idx="114">
                  <v>0.0005153054241581088</v>
                </pt>
                <pt idx="115">
                  <v>-0.002000197020977359</v>
                </pt>
                <pt idx="116">
                  <v>-0.002578215523422219</v>
                </pt>
                <pt idx="117">
                  <v>0.004190883104785649</v>
                </pt>
                <pt idx="118">
                  <v>-0.003764194733614851</v>
                </pt>
                <pt idx="119">
                  <v>0.0001268791326300413</v>
                </pt>
                <pt idx="120">
                  <v>-0.00295547860220849</v>
                </pt>
                <pt idx="121">
                  <v>-0.005751637938319055</v>
                </pt>
                <pt idx="122">
                  <v>-0.006768584045620123</v>
                </pt>
                <pt idx="123">
                  <v>-0.0024524657383621</v>
                </pt>
                <pt idx="124">
                  <v>-0.003116355997855664</v>
                </pt>
                <pt idx="125">
                  <v>-0.005912904074155667</v>
                </pt>
                <pt idx="126">
                  <v>-0.005537176841799719</v>
                </pt>
                <pt idx="127">
                  <v>-0.006157796881759759</v>
                </pt>
                <pt idx="128">
                  <v>-0.001050539914021137</v>
                </pt>
                <pt idx="129">
                  <v>-0.005119495924723675</v>
                </pt>
                <pt idx="130">
                  <v>-0.003257757558267844</v>
                </pt>
                <pt idx="131">
                  <v>-0.005987375397121241</v>
                </pt>
                <pt idx="132">
                  <v>-0.0001827348485838221</v>
                </pt>
                <pt idx="133">
                  <v>0.006594414553616865</v>
                </pt>
                <pt idx="134">
                  <v>1.917207960528701e-05</v>
                </pt>
                <pt idx="135">
                  <v>0.007782588249483479</v>
                </pt>
                <pt idx="136">
                  <v>0.004821938534543189</v>
                </pt>
                <pt idx="137">
                  <v>0.004116120021699744</v>
                </pt>
                <pt idx="138">
                  <v>0.008261712973399733</v>
                </pt>
                <pt idx="139">
                  <v>-0.0003487049507839067</v>
                </pt>
                <pt idx="140">
                  <v>-0.001002463803291602</v>
                </pt>
                <pt idx="141">
                  <v>0.001190725349687471</v>
                </pt>
                <pt idx="142">
                  <v>-0.002906711291852704</v>
                </pt>
                <pt idx="143">
                  <v>0.005601965818042216</v>
                </pt>
                <pt idx="144">
                  <v>-0.005477492027452434</v>
                </pt>
                <pt idx="145">
                  <v>0.008250457318147573</v>
                </pt>
                <pt idx="146">
                  <v>0.001190564767858981</v>
                </pt>
                <pt idx="147">
                  <v>-0.002983802214456636</v>
                </pt>
                <pt idx="148">
                  <v>-0.006316527994567277</v>
                </pt>
                <pt idx="149">
                  <v>-0.0003144140619640883</v>
                </pt>
                <pt idx="150">
                  <v>0.001334197042886936</v>
                </pt>
                <pt idx="151">
                  <v>0.005131302274513662</v>
                </pt>
                <pt idx="152">
                  <v>-0.002093137492713188</v>
                </pt>
                <pt idx="153">
                  <v>0.006851851244118959</v>
                </pt>
                <pt idx="154">
                  <v>0.001109831883268241</v>
                </pt>
                <pt idx="155">
                  <v>0.006685401344279513</v>
                </pt>
                <pt idx="156">
                  <v>0.0005565752216001504</v>
                </pt>
                <pt idx="157">
                  <v>0.001757539610635653</v>
                </pt>
                <pt idx="158">
                  <v>0.005886718747556585</v>
                </pt>
                <pt idx="159">
                  <v>-0.003962014488076689</v>
                </pt>
                <pt idx="160">
                  <v>0.004153534114559757</v>
                </pt>
                <pt idx="161">
                  <v>0.007210699533521278</v>
                </pt>
                <pt idx="162">
                  <v>-0.007775301979147792</v>
                </pt>
                <pt idx="163">
                  <v>0.007488097376949423</v>
                </pt>
                <pt idx="164">
                  <v>0.0009278554982454915</v>
                </pt>
                <pt idx="165">
                  <v>0.000934453970122561</v>
                </pt>
                <pt idx="166">
                  <v>0.009175073695681017</v>
                </pt>
                <pt idx="167">
                  <v>0.002496803833584843</v>
                </pt>
                <pt idx="168">
                  <v>0.007422302052821136</v>
                </pt>
                <pt idx="169">
                  <v>0.003896878421484305</v>
                </pt>
                <pt idx="170">
                  <v>0.00732029081653033</v>
                </pt>
                <pt idx="171">
                  <v>-0.001523445569268209</v>
                </pt>
                <pt idx="172">
                  <v>0.001978846104265986</v>
                </pt>
                <pt idx="173">
                  <v>0.00101585938360362</v>
                </pt>
                <pt idx="174">
                  <v>0.004030436596626855</v>
                </pt>
                <pt idx="175">
                  <v>-0.003189424051764353</v>
                </pt>
                <pt idx="176">
                  <v>0.003535564310989927</v>
                </pt>
                <pt idx="177">
                  <v>-0.01926978937041138</v>
                </pt>
                <pt idx="178">
                  <v>0.01188893192857018</v>
                </pt>
                <pt idx="179">
                  <v>0.01064830384056265</v>
                </pt>
                <pt idx="180">
                  <v>0.005499950856026254</v>
                </pt>
                <pt idx="181">
                  <v>0.001267681350244117</v>
                </pt>
                <pt idx="182">
                  <v>5.999880208308978e-05</v>
                </pt>
                <pt idx="183">
                  <v>0.002545220111432725</v>
                </pt>
                <pt idx="184">
                  <v>0.003171673020917978</v>
                </pt>
                <pt idx="185">
                  <v>-4.347642088338277e-05</v>
                </pt>
                <pt idx="186">
                  <v>0.003125382336955357</v>
                </pt>
                <pt idx="187">
                  <v>-0.0006219193827965472</v>
                </pt>
                <pt idx="188">
                  <v>0.004379342649509376</v>
                </pt>
                <pt idx="189">
                  <v>-0.001689068756086482</v>
                </pt>
                <pt idx="190">
                  <v>-0.001209093752402714</v>
                </pt>
                <pt idx="191">
                  <v>-0.0005589512178461634</v>
                </pt>
                <pt idx="192">
                  <v>0.01022797810465519</v>
                </pt>
                <pt idx="193">
                  <v>-0.003916107915467268</v>
                </pt>
                <pt idx="194">
                  <v>0.009509313034589037</v>
                </pt>
                <pt idx="195">
                  <v>0.002143645054716087</v>
                </pt>
                <pt idx="196">
                  <v>0.007166493277227797</v>
                </pt>
                <pt idx="197">
                  <v>0.0006398053227853123</v>
                </pt>
                <pt idx="198">
                  <v>0.0002710804397699026</v>
                </pt>
                <pt idx="199">
                  <v>-0.001193019811506672</v>
                </pt>
                <pt idx="200">
                  <v>0.002388889605734061</v>
                </pt>
                <pt idx="201">
                  <v>0.002338082393775793</v>
                </pt>
                <pt idx="202">
                  <v>-0.003082122415844258</v>
                </pt>
                <pt idx="203">
                  <v>0.005735749210582539</v>
                </pt>
                <pt idx="204">
                  <v>-9.368440733662449e-05</v>
                </pt>
                <pt idx="205">
                  <v>-0.001437604729608605</v>
                </pt>
                <pt idx="206">
                  <v>-0.003678842163189065</v>
                </pt>
                <pt idx="207">
                  <v>-0.003413826395359905</v>
                </pt>
                <pt idx="208">
                  <v>-0.006699451914518964</v>
                </pt>
                <pt idx="209">
                  <v>-0.005970678764959319</v>
                </pt>
                <pt idx="210">
                  <v>-0.002213198836985502</v>
                </pt>
                <pt idx="211">
                  <v>-0.004724969601607547</v>
                </pt>
                <pt idx="212">
                  <v>-0.0155834012645056</v>
                </pt>
                <pt idx="213">
                  <v>-0.04298384357809369</v>
                </pt>
                <pt idx="214">
                  <v>0.009148053545746642</v>
                </pt>
                <pt idx="215">
                  <v>-0.0129868347114413</v>
                </pt>
                <pt idx="216">
                  <v>-0.02833631278318458</v>
                </pt>
                <pt idx="217">
                  <v>-0.02468483347378634</v>
                </pt>
                <pt idx="218">
                  <v>-0.006503505186869193</v>
                </pt>
                <pt idx="219">
                  <v>-0.01593511417551558</v>
                </pt>
                <pt idx="220">
                  <v>-0.007665883417307504</v>
                </pt>
                <pt idx="221">
                  <v>-0.01020588638459103</v>
                </pt>
                <pt idx="222">
                  <v>-0.003284605031893314</v>
                </pt>
                <pt idx="223">
                  <v>0.01135826174499007</v>
                </pt>
                <pt idx="224">
                  <v>0.01122253697274235</v>
                </pt>
                <pt idx="225">
                  <v>0.008047570393327149</v>
                </pt>
                <pt idx="226">
                  <v>0.002886489894332636</v>
                </pt>
                <pt idx="227">
                  <v>0.003953935403346659</v>
                </pt>
                <pt idx="228">
                  <v>0.003133873675530034</v>
                </pt>
                <pt idx="229">
                  <v>0.01124239509590289</v>
                </pt>
                <pt idx="230">
                  <v>0.003252892214890873</v>
                </pt>
                <pt idx="231">
                  <v>0.007422558855892933</v>
                </pt>
                <pt idx="232">
                  <v>0.003760406786157331</v>
                </pt>
                <pt idx="233">
                  <v>0.01386568678350386</v>
                </pt>
                <pt idx="234">
                  <v>0.001985304606252774</v>
                </pt>
                <pt idx="235">
                  <v>0.004235547294404927</v>
                </pt>
                <pt idx="236">
                  <v>0.003410294956496573</v>
                </pt>
                <pt idx="237">
                  <v>0.002301756631482792</v>
                </pt>
                <pt idx="238">
                  <v>-0.00229969911427602</v>
                </pt>
                <pt idx="239">
                  <v>0.0004530182336675424</v>
                </pt>
                <pt idx="240">
                  <v>0.009656778450868516</v>
                </pt>
                <pt idx="241">
                  <v>-0.001840912679722369</v>
                </pt>
                <pt idx="242">
                  <v>-0.004440674046849081</v>
                </pt>
                <pt idx="243">
                  <v>0.01034474977291304</v>
                </pt>
                <pt idx="244">
                  <v>-0.003438469167087139</v>
                </pt>
                <pt idx="245">
                  <v>0.001578423304645512</v>
                </pt>
                <pt idx="246">
                  <v>0.002508284581420933</v>
                </pt>
                <pt idx="247">
                  <v>0.005353703695631047</v>
                </pt>
                <pt idx="248">
                  <v>0.006051501200441222</v>
                </pt>
                <pt idx="249">
                  <v>-0.0007881421473413168</v>
                </pt>
                <pt idx="250">
                  <v>0.006359539582468236</v>
                </pt>
                <pt idx="251">
                  <v>0.0004232408293760599</v>
                </pt>
                <pt idx="252">
                  <v>0.004951389674619115</v>
                </pt>
                <pt idx="253">
                  <v>0.005950852712126775</v>
                </pt>
                <pt idx="254">
                  <v>0.002829178779789382</v>
                </pt>
                <pt idx="255">
                  <v>-0.004941731667453266</v>
                </pt>
                <pt idx="256">
                  <v>0.007688611745020325</v>
                </pt>
                <pt idx="257">
                  <v>0.001572231709097926</v>
                </pt>
                <pt idx="258">
                  <v>-9.439101459509155e-05</v>
                </pt>
                <pt idx="259">
                  <v>0.002266624394420746</v>
                </pt>
                <pt idx="260">
                  <v>-0.004037731912967449</v>
                </pt>
                <pt idx="261">
                  <v>-0.0005622701362543707</v>
                </pt>
                <pt idx="262">
                  <v>0.003135879544656232</v>
                </pt>
                <pt idx="263">
                  <v>0.004606579835100611</v>
                </pt>
                <pt idx="264">
                  <v>0.002332020532483665</v>
                </pt>
                <pt idx="265">
                  <v>-0.0004663371808912</v>
                </pt>
                <pt idx="266">
                  <v>0.004883544681453307</v>
                </pt>
                <pt idx="267">
                  <v>0.004195819792225506</v>
                </pt>
                <pt idx="268">
                  <v>-0.0006763598205298144</v>
                </pt>
                <pt idx="269">
                  <v>0.0008071302305693839</v>
                </pt>
                <pt idx="270">
                  <v>0.00135153412330096</v>
                </pt>
                <pt idx="271">
                  <v>-0.002883883617729721</v>
                </pt>
                <pt idx="272">
                  <v>0.005855212877264334</v>
                </pt>
                <pt idx="273">
                  <v>0.005600022519574818</v>
                </pt>
                <pt idx="274">
                  <v>-0.001399205253795592</v>
                </pt>
                <pt idx="275">
                  <v>0.002596160008980999</v>
                </pt>
                <pt idx="276">
                  <v>0.001892665116101252</v>
                </pt>
                <pt idx="277">
                  <v>-0.003266052773119965</v>
                </pt>
                <pt idx="278">
                  <v>0.00753513664355519</v>
                </pt>
                <pt idx="279">
                  <v>0.009786510410324301</v>
                </pt>
                <pt idx="280">
                  <v>0.0005453034164241729</v>
                </pt>
                <pt idx="281">
                  <v>0.003916188847883082</v>
                </pt>
                <pt idx="282">
                  <v>0.003322818086667093</v>
                </pt>
                <pt idx="283">
                  <v>0.002687862791767626</v>
                </pt>
                <pt idx="284">
                  <v>-0.001932951472937341</v>
                </pt>
                <pt idx="285">
                  <v>0.003280106687017486</v>
                </pt>
                <pt idx="286">
                  <v>5.14634042459445e-05</v>
                </pt>
                <pt idx="287">
                  <v>0.006561732033544206</v>
                </pt>
                <pt idx="288">
                  <v>-0.0005112528645000348</v>
                </pt>
                <pt idx="289">
                  <v>-0.007392830497153315</v>
                </pt>
                <pt idx="290">
                  <v>-0.00601567946727657</v>
                </pt>
                <pt idx="291">
                  <v>-0.003274015641888999</v>
                </pt>
                <pt idx="292">
                  <v>-0.005972844458535904</v>
                </pt>
                <pt idx="293">
                  <v>-0.004394491235850656</v>
                </pt>
                <pt idx="294">
                  <v>-0.003317109745393275</v>
                </pt>
                <pt idx="295">
                  <v>0.006733906235491059</v>
                </pt>
                <pt idx="296">
                  <v>-0.002684242731085426</v>
                </pt>
                <pt idx="297">
                  <v>-0.003403972783527832</v>
                </pt>
                <pt idx="298">
                  <v>-0.004068888717579755</v>
                </pt>
                <pt idx="299">
                  <v>-0.007477126319309821</v>
                </pt>
                <pt idx="300">
                  <v>-0.005804250884281318</v>
                </pt>
                <pt idx="301">
                  <v>0.006544379454143713</v>
                </pt>
                <pt idx="302">
                  <v>-0.005241270335416689</v>
                </pt>
                <pt idx="303">
                  <v>-0.007709307859139949</v>
                </pt>
                <pt idx="304">
                  <v>0.002768968814770192</v>
                </pt>
                <pt idx="305">
                  <v>-0.001811768984769596</v>
                </pt>
                <pt idx="306">
                  <v>0.004387067102863562</v>
                </pt>
                <pt idx="307">
                  <v>0.001814220211749368</v>
                </pt>
                <pt idx="308">
                  <v>-0.001762400504539031</v>
                </pt>
                <pt idx="309">
                  <v>-0.001204356753230392</v>
                </pt>
                <pt idx="310">
                  <v>0.000652090135119374</v>
                </pt>
                <pt idx="311">
                  <v>-0.004474497389901032</v>
                </pt>
                <pt idx="312">
                  <v>0.006790269242209842</v>
                </pt>
                <pt idx="313">
                  <v>-0.001528881906910459</v>
                </pt>
                <pt idx="314">
                  <v>-0.003817930302047927</v>
                </pt>
                <pt idx="315">
                  <v>0.007511619681879885</v>
                </pt>
                <pt idx="316">
                  <v>0.009381826624273823</v>
                </pt>
                <pt idx="317">
                  <v>0.00110659830158747</v>
                </pt>
                <pt idx="318">
                  <v>0.001569692549122341</v>
                </pt>
                <pt idx="319">
                  <v>-0.0009471188599220246</v>
                </pt>
                <pt idx="320">
                  <v>-0.005026484594007949</v>
                </pt>
                <pt idx="321">
                  <v>0.000431270082403833</v>
                </pt>
                <pt idx="322">
                  <v>0.01242625202653119</v>
                </pt>
                <pt idx="323">
                  <v>0.002822117485900567</v>
                </pt>
                <pt idx="324">
                  <v>0.0009538573867164626</v>
                </pt>
                <pt idx="325">
                  <v>-0.000133176013301076</v>
                </pt>
                <pt idx="326">
                  <v>0.00289474436612985</v>
                </pt>
                <pt idx="327">
                  <v>0.006379765763295615</v>
                </pt>
                <pt idx="328">
                  <v>0.01086531505869064</v>
                </pt>
                <pt idx="329">
                  <v>-0.008400582147975113</v>
                </pt>
                <pt idx="330">
                  <v>0.007447767129779938</v>
                </pt>
                <pt idx="331">
                  <v>0.002351301254735269</v>
                </pt>
                <pt idx="332">
                  <v>0.005973109897792563</v>
                </pt>
                <pt idx="333">
                  <v>-0.0003302424302611139</v>
                </pt>
                <pt idx="334">
                  <v>-0.001383827184024285</v>
                </pt>
                <pt idx="335">
                  <v>-0.0007183562636954311</v>
                </pt>
                <pt idx="336">
                  <v>-0.0004397922413990421</v>
                </pt>
                <pt idx="337">
                  <v>-0.005436760476991999</v>
                </pt>
                <pt idx="338">
                  <v>-0.005559411551734113</v>
                </pt>
                <pt idx="339">
                  <v>0.001319017212149409</v>
                </pt>
                <pt idx="340">
                  <v>-0.005922411740078008</v>
                </pt>
                <pt idx="341">
                  <v>0.001932437072198061</v>
                </pt>
                <pt idx="342">
                  <v>-0.0006627500311738913</v>
                </pt>
                <pt idx="343">
                  <v>-0.00319581184636366</v>
                </pt>
                <pt idx="344">
                  <v>0.006186750904323584</v>
                </pt>
                <pt idx="345">
                  <v>-0.003641119423278784</v>
                </pt>
                <pt idx="346">
                  <v>-0.008305779351913088</v>
                </pt>
                <pt idx="347">
                  <v>0.00515549773949575</v>
                </pt>
                <pt idx="348">
                  <v>-0.003624950485824344</v>
                </pt>
                <pt idx="349">
                  <v>-0.005177237475853943</v>
                </pt>
                <pt idx="350">
                  <v>0.002303846603698264</v>
                </pt>
                <pt idx="351">
                  <v>-0.03826312834291966</v>
                </pt>
                <pt idx="352">
                  <v>-0.1359282979428133</v>
                </pt>
                <pt idx="353">
                  <v>0.01949602027406749</v>
                </pt>
                <pt idx="354">
                  <v>0.06195933524621935</v>
                </pt>
                <pt idx="355">
                  <v>0.04087768834786432</v>
                </pt>
                <pt idx="356">
                  <v>0.01057765571322787</v>
                </pt>
                <pt idx="357">
                  <v>-0.003029437160457319</v>
                </pt>
                <pt idx="358">
                  <v>0.01091505503267054</v>
                </pt>
                <pt idx="359">
                  <v>0.005333932089744658</v>
                </pt>
                <pt idx="360">
                  <v>0.01157358567034963</v>
                </pt>
                <pt idx="361">
                  <v>0.01141776906652907</v>
                </pt>
                <pt idx="362">
                  <v>-0.03028943460885326</v>
                </pt>
                <pt idx="363">
                  <v>0.02868565903635985</v>
                </pt>
                <pt idx="364">
                  <v>0.0008047453812826858</v>
                </pt>
                <pt idx="365">
                  <v>0.006862041721066487</v>
                </pt>
                <pt idx="366">
                  <v>0.005482243252733053</v>
                </pt>
                <pt idx="367">
                  <v>0.007701770872882847</v>
                </pt>
                <pt idx="368">
                  <v>-0.001364028754092832</v>
                </pt>
                <pt idx="369">
                  <v>-0.01013786507777605</v>
                </pt>
                <pt idx="370">
                  <v>0.0167853870573258</v>
                </pt>
                <pt idx="371">
                  <v>0.005151285854535357</v>
                </pt>
                <pt idx="372">
                  <v>-0.003838287459057444</v>
                </pt>
                <pt idx="373">
                  <v>0.01545843368544554</v>
                </pt>
                <pt idx="374">
                  <v>0.001095994206105832</v>
                </pt>
                <pt idx="375">
                  <v>0.009694818850258266</v>
                </pt>
                <pt idx="376">
                  <v>0.00967631205571585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country'!$A$5:$A$381</f>
              <numCache>
                <formatCode>mmm\-yy</formatCode>
                <ptCount val="37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</numCache>
            </numRef>
          </cat>
          <val>
            <numRef>
              <f>'Per country'!$D$5:$D$381</f>
              <numCache>
                <formatCode>0.0%</formatCode>
                <ptCount val="377"/>
                <pt idx="12">
                  <v>0.008254385759399182</v>
                </pt>
                <pt idx="13">
                  <v>0.00671420934978942</v>
                </pt>
                <pt idx="14">
                  <v>0.02119309648564862</v>
                </pt>
                <pt idx="15">
                  <v>0.0352725826288338</v>
                </pt>
                <pt idx="16">
                  <v>0.04011988069678862</v>
                </pt>
                <pt idx="17">
                  <v>0.03330660460984572</v>
                </pt>
                <pt idx="18">
                  <v>0.02581193928070265</v>
                </pt>
                <pt idx="19">
                  <v>0.03235951068559031</v>
                </pt>
                <pt idx="20">
                  <v>0.02662459020052594</v>
                </pt>
                <pt idx="21">
                  <v>0.02095427823726866</v>
                </pt>
                <pt idx="22">
                  <v>0.02964750260980832</v>
                </pt>
                <pt idx="23">
                  <v>0.03514453833333762</v>
                </pt>
                <pt idx="24">
                  <v>0.04102744125883817</v>
                </pt>
                <pt idx="25">
                  <v>0.05091915097090742</v>
                </pt>
                <pt idx="26">
                  <v>0.0482008849674415</v>
                </pt>
                <pt idx="27">
                  <v>0.03887293674236515</v>
                </pt>
                <pt idx="28">
                  <v>0.0340548212739759</v>
                </pt>
                <pt idx="29">
                  <v>0.02678988278108866</v>
                </pt>
                <pt idx="30">
                  <v>0.02848549241870037</v>
                </pt>
                <pt idx="31">
                  <v>0.02164872761159464</v>
                </pt>
                <pt idx="32">
                  <v>0.02609431840322877</v>
                </pt>
                <pt idx="33">
                  <v>0.02818672550859795</v>
                </pt>
                <pt idx="34">
                  <v>0.02883426710481614</v>
                </pt>
                <pt idx="35">
                  <v>0.02973994393111135</v>
                </pt>
                <pt idx="36">
                  <v>0.03390994574957527</v>
                </pt>
                <pt idx="37">
                  <v>0.03295907726868336</v>
                </pt>
                <pt idx="38">
                  <v>0.02898692951692789</v>
                </pt>
                <pt idx="39">
                  <v>0.04018845773245942</v>
                </pt>
                <pt idx="40">
                  <v>0.04346269259508657</v>
                </pt>
                <pt idx="41">
                  <v>0.05244756856290313</v>
                </pt>
                <pt idx="42">
                  <v>0.05698713114146355</v>
                </pt>
                <pt idx="43">
                  <v>0.05588481744660974</v>
                </pt>
                <pt idx="44">
                  <v>0.06400006123671537</v>
                </pt>
                <pt idx="45">
                  <v>0.06205354558442713</v>
                </pt>
                <pt idx="46">
                  <v>0.06212214645288482</v>
                </pt>
                <pt idx="47">
                  <v>0.06413660011715021</v>
                </pt>
                <pt idx="48">
                  <v>0.06920118073033131</v>
                </pt>
                <pt idx="49">
                  <v>0.06751755154011328</v>
                </pt>
                <pt idx="50">
                  <v>0.06522069560733532</v>
                </pt>
                <pt idx="51">
                  <v>0.05631521173365793</v>
                </pt>
                <pt idx="52">
                  <v>0.04844216064705173</v>
                </pt>
                <pt idx="53">
                  <v>0.0483247121708672</v>
                </pt>
                <pt idx="54">
                  <v>0.04490812171565459</v>
                </pt>
                <pt idx="55">
                  <v>0.03893352410693719</v>
                </pt>
                <pt idx="56">
                  <v>0.04573469875842946</v>
                </pt>
                <pt idx="57">
                  <v>0.04673141126107642</v>
                </pt>
                <pt idx="58">
                  <v>0.03701115927601237</v>
                </pt>
                <pt idx="59">
                  <v>0.0324550405643638</v>
                </pt>
                <pt idx="60">
                  <v>0.0258796926632363</v>
                </pt>
                <pt idx="61">
                  <v>0.01836079864524396</v>
                </pt>
                <pt idx="62">
                  <v>0.0345859907439122</v>
                </pt>
                <pt idx="63">
                  <v>0.0315435735552114</v>
                </pt>
                <pt idx="64">
                  <v>0.04365827015488136</v>
                </pt>
                <pt idx="65">
                  <v>0.04630035711299985</v>
                </pt>
                <pt idx="66">
                  <v>0.05081066977985691</v>
                </pt>
                <pt idx="67">
                  <v>0.05543188726984831</v>
                </pt>
                <pt idx="68">
                  <v>0.04679286192622328</v>
                </pt>
                <pt idx="69">
                  <v>0.04941703544505696</v>
                </pt>
                <pt idx="70">
                  <v>0.05066120704091091</v>
                </pt>
                <pt idx="71">
                  <v>0.05758373126771715</v>
                </pt>
                <pt idx="72">
                  <v>0.06027977979880755</v>
                </pt>
                <pt idx="73">
                  <v>0.06816576293163662</v>
                </pt>
                <pt idx="74">
                  <v>0.06550334662482701</v>
                </pt>
                <pt idx="75">
                  <v>0.07338743964065235</v>
                </pt>
                <pt idx="76">
                  <v>0.06340799193167219</v>
                </pt>
                <pt idx="77">
                  <v>0.06151696607490138</v>
                </pt>
                <pt idx="78">
                  <v>0.05834070708448576</v>
                </pt>
                <pt idx="79">
                  <v>0.06683800214075891</v>
                </pt>
                <pt idx="80">
                  <v>0.07260588137701506</v>
                </pt>
                <pt idx="81">
                  <v>0.07580431850844836</v>
                </pt>
                <pt idx="82">
                  <v>0.08541889240977428</v>
                </pt>
                <pt idx="83">
                  <v>0.08419623220289518</v>
                </pt>
                <pt idx="84">
                  <v>0.08231769285513421</v>
                </pt>
                <pt idx="85">
                  <v>0.08527168615569633</v>
                </pt>
                <pt idx="86">
                  <v>0.07413263823446617</v>
                </pt>
                <pt idx="87">
                  <v>0.06803944769307688</v>
                </pt>
                <pt idx="88">
                  <v>0.07103409859413405</v>
                </pt>
                <pt idx="89">
                  <v>0.07195291639325829</v>
                </pt>
                <pt idx="90">
                  <v>0.06066523993632829</v>
                </pt>
                <pt idx="91">
                  <v>0.04811351352554884</v>
                </pt>
                <pt idx="92">
                  <v>0.05889337216594281</v>
                </pt>
                <pt idx="93">
                  <v>0.04765042681102826</v>
                </pt>
                <pt idx="94">
                  <v>0.0465704205619757</v>
                </pt>
                <pt idx="95">
                  <v>0.03757578797194891</v>
                </pt>
                <pt idx="96">
                  <v>0.03706389044163104</v>
                </pt>
                <pt idx="97">
                  <v>0.03697020399109779</v>
                </pt>
                <pt idx="98">
                  <v>0.04122002483532396</v>
                </pt>
                <pt idx="99">
                  <v>0.04287668125799946</v>
                </pt>
                <pt idx="100">
                  <v>0.04132605812399887</v>
                </pt>
                <pt idx="101">
                  <v>0.04130137090506807</v>
                </pt>
                <pt idx="102">
                  <v>0.04685051412732914</v>
                </pt>
                <pt idx="103">
                  <v>0.05727301503787337</v>
                </pt>
                <pt idx="104">
                  <v>0.04027040569424934</v>
                </pt>
                <pt idx="105">
                  <v>0.03668884159635095</v>
                </pt>
                <pt idx="106">
                  <v>0.04249183976854698</v>
                </pt>
                <pt idx="107">
                  <v>0.04882940834575455</v>
                </pt>
                <pt idx="108">
                  <v>0.0526409891343597</v>
                </pt>
                <pt idx="109">
                  <v>0.04745212281314036</v>
                </pt>
                <pt idx="110">
                  <v>0.04535809680492254</v>
                </pt>
                <pt idx="111">
                  <v>0.04727815925121849</v>
                </pt>
                <pt idx="112">
                  <v>0.05160987041764095</v>
                </pt>
                <pt idx="113">
                  <v>0.04826789242220117</v>
                </pt>
                <pt idx="114">
                  <v>0.04956833093557805</v>
                </pt>
                <pt idx="115">
                  <v>0.04120515441066219</v>
                </pt>
                <pt idx="116">
                  <v>0.03409738104700316</v>
                </pt>
                <pt idx="117">
                  <v>0.0431002502944727</v>
                </pt>
                <pt idx="118">
                  <v>0.02569025889665355</v>
                </pt>
                <pt idx="119">
                  <v>0.02051593196365369</v>
                </pt>
                <pt idx="120">
                  <v>0.009738209407814315</v>
                </pt>
                <pt idx="121">
                  <v>0.004479585856426808</v>
                </pt>
                <pt idx="122">
                  <v>-0.005925502993631628</v>
                </pt>
                <pt idx="123">
                  <v>-0.01207483673975347</v>
                </pt>
                <pt idx="124">
                  <v>-0.02138254215968754</v>
                </pt>
                <pt idx="125">
                  <v>-0.03009555112834846</v>
                </pt>
                <pt idx="126">
                  <v>-0.03596285715019948</v>
                </pt>
                <pt idx="127">
                  <v>-0.03997897085977867</v>
                </pt>
                <pt idx="128">
                  <v>-0.03850857916234921</v>
                </pt>
                <pt idx="129">
                  <v>-0.0474230691385402</v>
                </pt>
                <pt idx="130">
                  <v>-0.04693882598283752</v>
                </pt>
                <pt idx="131">
                  <v>-0.05276534531948234</v>
                </pt>
                <pt idx="132">
                  <v>-0.05013112095375379</v>
                </pt>
                <pt idx="133">
                  <v>-0.03833614950733992</v>
                </pt>
                <pt idx="134">
                  <v>-0.03176412652585055</v>
                </pt>
                <pt idx="135">
                  <v>-0.02182981653298204</v>
                </pt>
                <pt idx="136">
                  <v>-0.0140405393531519</v>
                </pt>
                <pt idx="137">
                  <v>-0.004093512348285242</v>
                </pt>
                <pt idx="138">
                  <v>0.009725409354293224</v>
                </pt>
                <pt idx="139">
                  <v>0.01562733997223003</v>
                </pt>
                <pt idx="140">
                  <v>0.01567621873377643</v>
                </pt>
                <pt idx="141">
                  <v>0.0221183408349875</v>
                </pt>
                <pt idx="142">
                  <v>0.0224783244015569</v>
                </pt>
                <pt idx="143">
                  <v>0.03439955144968661</v>
                </pt>
                <pt idx="144">
                  <v>0.0289216559964337</v>
                </pt>
                <pt idx="145">
                  <v>0.03061443139737557</v>
                </pt>
                <pt idx="146">
                  <v>0.03182166246159313</v>
                </pt>
                <pt idx="147">
                  <v>0.02079845662658298</v>
                </pt>
                <pt idx="148">
                  <v>0.009482890150511323</v>
                </pt>
                <pt idx="149">
                  <v>0.00502867587936641</v>
                </pt>
                <pt idx="150">
                  <v>-0.001876626655869474</v>
                </pt>
                <pt idx="151">
                  <v>0.003595004626711844</v>
                </pt>
                <pt idx="152">
                  <v>0.002499311567699377</v>
                </pt>
                <pt idx="153">
                  <v>0.0081678367229673</v>
                </pt>
                <pt idx="154">
                  <v>0.01222899096984073</v>
                </pt>
                <pt idx="155">
                  <v>0.01331956645276743</v>
                </pt>
                <pt idx="156">
                  <v>0.01946768111054609</v>
                </pt>
                <pt idx="157">
                  <v>0.01290252687642299</v>
                </pt>
                <pt idx="158">
                  <v>0.01765361662899112</v>
                </pt>
                <pt idx="159">
                  <v>0.01665515616235943</v>
                </pt>
                <pt idx="160">
                  <v>0.02736726210803017</v>
                </pt>
                <pt idx="161">
                  <v>0.03510074897669541</v>
                </pt>
                <pt idx="162">
                  <v>0.02568406343019473</v>
                </pt>
                <pt idx="163">
                  <v>0.02808904989501631</v>
                </pt>
                <pt idx="164">
                  <v>0.03120141431549</v>
                </pt>
                <pt idx="165">
                  <v>0.02514091154095398</v>
                </pt>
                <pt idx="166">
                  <v>0.03339975495658744</v>
                </pt>
                <pt idx="167">
                  <v>0.02910000487042986</v>
                </pt>
                <pt idx="168">
                  <v>0.03616159408029909</v>
                </pt>
                <pt idx="169">
                  <v>0.03837440568877311</v>
                </pt>
                <pt idx="170">
                  <v>0.03985427863807111</v>
                </pt>
                <pt idx="171">
                  <v>0.0424001216288618</v>
                </pt>
                <pt idx="172">
                  <v>0.04014260326197785</v>
                </pt>
                <pt idx="173">
                  <v>0.03374521574086491</v>
                </pt>
                <pt idx="174">
                  <v>0.04604497586106496</v>
                </pt>
                <pt idx="175">
                  <v>0.03495882241246895</v>
                </pt>
                <pt idx="176">
                  <v>0.03765519181332766</v>
                </pt>
                <pt idx="177">
                  <v>0.01670972638768582</v>
                </pt>
                <pt idx="178">
                  <v>0.01944384669380008</v>
                </pt>
                <pt idx="179">
                  <v>0.0277331464617996</v>
                </pt>
                <pt idx="180">
                  <v>0.02577203835444402</v>
                </pt>
                <pt idx="181">
                  <v>0.02308555043225599</v>
                </pt>
                <pt idx="182">
                  <v>0.01571162982366918</v>
                </pt>
                <pt idx="183">
                  <v>0.01985052625685435</v>
                </pt>
                <pt idx="184">
                  <v>0.02106462889326299</v>
                </pt>
                <pt idx="185">
                  <v>0.01998407626271035</v>
                </pt>
                <pt idx="186">
                  <v>0.01906464105500106</v>
                </pt>
                <pt idx="187">
                  <v>0.02168946595856889</v>
                </pt>
                <pt idx="188">
                  <v>0.02254850819954939</v>
                </pt>
                <pt idx="189">
                  <v>0.04087887004871727</v>
                </pt>
                <pt idx="190">
                  <v>0.02740559473114265</v>
                </pt>
                <pt idx="191">
                  <v>0.0160125151555551</v>
                </pt>
                <pt idx="192">
                  <v>0.02078997422207605</v>
                </pt>
                <pt idx="193">
                  <v>0.01550511363036859</v>
                </pt>
                <pt idx="194">
                  <v>0.02510036485019973</v>
                </pt>
                <pt idx="195">
                  <v>0.02468975520497175</v>
                </pt>
                <pt idx="196">
                  <v>0.02877026455408354</v>
                </pt>
                <pt idx="197">
                  <v>0.029473235056924</v>
                </pt>
                <pt idx="198">
                  <v>0.02654396274494338</v>
                </pt>
                <pt idx="199">
                  <v>0.02595733821456408</v>
                </pt>
                <pt idx="200">
                  <v>0.02392412245641659</v>
                </pt>
                <pt idx="201">
                  <v>0.02805459631788591</v>
                </pt>
                <pt idx="202">
                  <v>0.02612668957139729</v>
                </pt>
                <pt idx="203">
                  <v>0.03258946205841677</v>
                </pt>
                <pt idx="204">
                  <v>0.02203932865110182</v>
                </pt>
                <pt idx="205">
                  <v>0.02458241538532604</v>
                </pt>
                <pt idx="206">
                  <v>0.01119734629032399</v>
                </pt>
                <pt idx="207">
                  <v>0.005589666782368571</v>
                </pt>
                <pt idx="208">
                  <v>-0.008254569794267823</v>
                </pt>
                <pt idx="209">
                  <v>-0.01480629535085174</v>
                </pt>
                <pt idx="210">
                  <v>-0.01725312836633162</v>
                </pt>
                <pt idx="211">
                  <v>-0.02072828690630676</v>
                </pt>
                <pt idx="212">
                  <v>-0.03828609929949898</v>
                </pt>
                <pt idx="213">
                  <v>-0.081771153872675</v>
                </pt>
                <pt idx="214">
                  <v>-0.07050633395755841</v>
                </pt>
                <pt idx="215">
                  <v>-0.08780960987385027</v>
                </pt>
                <pt idx="216">
                  <v>-0.1135746778553267</v>
                </pt>
                <pt idx="217">
                  <v>-0.1342112773569019</v>
                </pt>
                <pt idx="218">
                  <v>-0.1366658688025748</v>
                </pt>
                <pt idx="219">
                  <v>-0.1475129539754042</v>
                </pt>
                <pt idx="220">
                  <v>-0.1483423810189966</v>
                </pt>
                <pt idx="221">
                  <v>-0.1519709931335209</v>
                </pt>
                <pt idx="222">
                  <v>-0.1528815920012942</v>
                </pt>
                <pt idx="223">
                  <v>-0.1391925101719721</v>
                </pt>
                <pt idx="224">
                  <v>-0.1157524824071715</v>
                </pt>
                <pt idx="225">
                  <v>-0.06860134413152102</v>
                </pt>
                <pt idx="226">
                  <v>-0.07438048818087092</v>
                </pt>
                <pt idx="227">
                  <v>-0.05849345859002876</v>
                </pt>
                <pt idx="228">
                  <v>-0.02799999999928917</v>
                </pt>
                <pt idx="229">
                  <v>0.007805109331823528</v>
                </pt>
                <pt idx="230">
                  <v>0.01770202109900088</v>
                </pt>
                <pt idx="231">
                  <v>0.04185810205937145</v>
                </pt>
                <pt idx="232">
                  <v>0.05385463913899673</v>
                </pt>
                <pt idx="233">
                  <v>0.07948415007022407</v>
                </pt>
                <pt idx="234">
                  <v>0.08519168098165646</v>
                </pt>
                <pt idx="235">
                  <v>0.0775489783310187</v>
                </pt>
                <pt idx="236">
                  <v>0.06922432861713756</v>
                </pt>
                <pt idx="237">
                  <v>0.06312981081628617</v>
                </pt>
                <pt idx="238">
                  <v>0.05763208779863882</v>
                </pt>
                <pt idx="239">
                  <v>0.05394398797173766</v>
                </pt>
                <pt idx="240">
                  <v>0.06079728687080746</v>
                </pt>
                <pt idx="241">
                  <v>0.04707284507625354</v>
                </pt>
                <pt idx="242">
                  <v>0.03904324020097824</v>
                </pt>
                <pt idx="243">
                  <v>0.04205715198230134</v>
                </pt>
                <pt idx="244">
                  <v>0.03458361534687</v>
                </pt>
                <pt idx="245">
                  <v>0.0220452666894592</v>
                </pt>
                <pt idx="246">
                  <v>0.02257871683661882</v>
                </pt>
                <pt idx="247">
                  <v>0.02371729726336133</v>
                </pt>
                <pt idx="248">
                  <v>0.02641195619914926</v>
                </pt>
                <pt idx="249">
                  <v>0.02324773042677412</v>
                </pt>
                <pt idx="250">
                  <v>0.03212870032905957</v>
                </pt>
                <pt idx="251">
                  <v>0.03209798013227832</v>
                </pt>
                <pt idx="252">
                  <v>0.02728800672809301</v>
                </pt>
                <pt idx="253">
                  <v>0.03530715642072842</v>
                </pt>
                <pt idx="254">
                  <v>0.04286725902971994</v>
                </pt>
                <pt idx="255">
                  <v>0.02708871313881826</v>
                </pt>
                <pt idx="256">
                  <v>0.03855664448216057</v>
                </pt>
                <pt idx="257">
                  <v>0.0385502242932405</v>
                </pt>
                <pt idx="258">
                  <v>0.03585397792243511</v>
                </pt>
                <pt idx="259">
                  <v>0.03267324325903666</v>
                </pt>
                <pt idx="260">
                  <v>0.02231703279785433</v>
                </pt>
                <pt idx="261">
                  <v>0.02254812773768294</v>
                </pt>
                <pt idx="262">
                  <v>0.01927261098002882</v>
                </pt>
                <pt idx="263">
                  <v>0.02353476993131881</v>
                </pt>
                <pt idx="264">
                  <v>0.02086696388636289</v>
                </pt>
                <pt idx="265">
                  <v>0.01435462071859757</v>
                </pt>
                <pt idx="266">
                  <v>0.0164325972963584</v>
                </pt>
                <pt idx="267">
                  <v>0.02576642774495529</v>
                </pt>
                <pt idx="268">
                  <v>0.01725138956652081</v>
                </pt>
                <pt idx="269">
                  <v>0.01647431077224907</v>
                </pt>
                <pt idx="270">
                  <v>0.0179441952741097</v>
                </pt>
                <pt idx="271">
                  <v>0.0127131224177735</v>
                </pt>
                <pt idx="272">
                  <v>0.02277245431160664</v>
                </pt>
                <pt idx="273">
                  <v>0.0290786232658726</v>
                </pt>
                <pt idx="274">
                  <v>0.02442625371559471</v>
                </pt>
                <pt idx="275">
                  <v>0.02237617073564317</v>
                </pt>
                <pt idx="276">
                  <v>0.02192802930247376</v>
                </pt>
                <pt idx="277">
                  <v>0.01906558660124025</v>
                </pt>
                <pt idx="278">
                  <v>0.02175460079854514</v>
                </pt>
                <pt idx="279">
                  <v>0.0274430469642199</v>
                </pt>
                <pt idx="280">
                  <v>0.02869908589702725</v>
                </pt>
                <pt idx="281">
                  <v>0.03189479230340951</v>
                </pt>
                <pt idx="282">
                  <v>0.03392620443654183</v>
                </pt>
                <pt idx="283">
                  <v>0.03970364050703252</v>
                </pt>
                <pt idx="284">
                  <v>0.03165339358868224</v>
                </pt>
                <pt idx="285">
                  <v>0.02927337271765914</v>
                </pt>
                <pt idx="286">
                  <v>0.03076859946914364</v>
                </pt>
                <pt idx="287">
                  <v>0.0348456020399658</v>
                </pt>
                <pt idx="288">
                  <v>0.03236261754820713</v>
                </pt>
                <pt idx="289">
                  <v>0.02808832643463984</v>
                </pt>
                <pt idx="290">
                  <v>0.01426108076297129</v>
                </pt>
                <pt idx="291">
                  <v>0.001142680851223603</v>
                </pt>
                <pt idx="292">
                  <v>-0.005379358696051452</v>
                </pt>
                <pt idx="293">
                  <v>-0.01361308781246447</v>
                </pt>
                <pt idx="294">
                  <v>-0.02014093487559022</v>
                </pt>
                <pt idx="295">
                  <v>-0.01618701013655812</v>
                </pt>
                <pt idx="296">
                  <v>-0.01692757170506971</v>
                </pt>
                <pt idx="297">
                  <v>-0.02347702304196853</v>
                </pt>
                <pt idx="298">
                  <v>-0.02750043450363861</v>
                </pt>
                <pt idx="299">
                  <v>-0.04106421625066863</v>
                </pt>
                <pt idx="300">
                  <v>-0.0461424577206494</v>
                </pt>
                <pt idx="301">
                  <v>-0.03274933178037039</v>
                </pt>
                <pt idx="302">
                  <v>-0.03199575072804011</v>
                </pt>
                <pt idx="303">
                  <v>-0.03630323521268179</v>
                </pt>
                <pt idx="304">
                  <v>-0.02782815772320318</v>
                </pt>
                <pt idx="305">
                  <v>-0.0253062252641919</v>
                </pt>
                <pt idx="306">
                  <v>-0.01777202026590862</v>
                </pt>
                <pt idx="307">
                  <v>-0.02257195124478588</v>
                </pt>
                <pt idx="308">
                  <v>-0.02166849169129318</v>
                </pt>
                <pt idx="309">
                  <v>-0.01950918781103251</v>
                </pt>
                <pt idx="310">
                  <v>-0.01486140009040443</v>
                </pt>
                <pt idx="311">
                  <v>-0.01188111042856893</v>
                </pt>
                <pt idx="312">
                  <v>0.0006364277455205397</v>
                </pt>
                <pt idx="313">
                  <v>-0.00738944729136771</v>
                </pt>
                <pt idx="314">
                  <v>-0.005969180954332525</v>
                </pt>
                <pt idx="315">
                  <v>0.009278438710013699</v>
                </pt>
                <pt idx="316">
                  <v>0.01593422385389962</v>
                </pt>
                <pt idx="317">
                  <v>0.01890447446582106</v>
                </pt>
                <pt idx="318">
                  <v>0.01604637758955067</v>
                </pt>
                <pt idx="319">
                  <v>0.01324580987503451</v>
                </pt>
                <pt idx="320">
                  <v>0.00993265123584303</v>
                </pt>
                <pt idx="321">
                  <v>0.01158651602561609</v>
                </pt>
                <pt idx="322">
                  <v>0.02348933771986404</v>
                </pt>
                <pt idx="323">
                  <v>0.03099091101683256</v>
                </pt>
                <pt idx="324">
                  <v>0.02501420687119789</v>
                </pt>
                <pt idx="325">
                  <v>0.02644701583646443</v>
                </pt>
                <pt idx="326">
                  <v>0.03336362786053072</v>
                </pt>
                <pt idx="327">
                  <v>0.03220273140170308</v>
                </pt>
                <pt idx="328">
                  <v>0.03371975971905346</v>
                </pt>
                <pt idx="329">
                  <v>0.02390286279059384</v>
                </pt>
                <pt idx="330">
                  <v>0.02991200767147965</v>
                </pt>
                <pt idx="331">
                  <v>0.03331231064498599</v>
                </pt>
                <pt idx="332">
                  <v>0.04473574677116511</v>
                </pt>
                <pt idx="333">
                  <v>0.04394051038923048</v>
                </pt>
                <pt idx="334">
                  <v>0.02970055848090602</v>
                </pt>
                <pt idx="335">
                  <v>0.02606519012027825</v>
                </pt>
                <pt idx="336">
                  <v>0.02463657744240041</v>
                </pt>
                <pt idx="337">
                  <v>0.01920160700165175</v>
                </pt>
                <pt idx="338">
                  <v>0.01060998824431601</v>
                </pt>
                <pt idx="339">
                  <v>0.005527967313676346</v>
                </pt>
                <pt idx="340">
                  <v>-0.01117112063831565</v>
                </pt>
                <pt idx="341">
                  <v>-0.0008669719750987628</v>
                </pt>
                <pt idx="342">
                  <v>-0.008910550842674763</v>
                </pt>
                <pt idx="343">
                  <v>-0.01439533971948827</v>
                </pt>
                <pt idx="344">
                  <v>-0.01418602441116419</v>
                </pt>
                <pt idx="345">
                  <v>-0.01745101145959419</v>
                </pt>
                <pt idx="346">
                  <v>-0.02426159322907002</v>
                </pt>
                <pt idx="347">
                  <v>-0.01852612817514452</v>
                </pt>
                <pt idx="348">
                  <v>-0.02165365323092979</v>
                </pt>
                <pt idx="349">
                  <v>-0.0213983618930077</v>
                </pt>
                <pt idx="350">
                  <v>-0.01366034576499382</v>
                </pt>
                <pt idx="351">
                  <v>-0.05265035702970029</v>
                </pt>
                <pt idx="352">
                  <v>-0.1765451428419278</v>
                </pt>
                <pt idx="353">
                  <v>-0.1621102195261981</v>
                </pt>
                <pt idx="354">
                  <v>-0.1096050164153129</v>
                </pt>
                <pt idx="355">
                  <v>-0.07023637817288315</v>
                </pt>
                <pt idx="356">
                  <v>-0.06617897674660146</v>
                </pt>
                <pt idx="357">
                  <v>-0.06560568757569221</v>
                </pt>
                <pt idx="358">
                  <v>-0.04749542943859478</v>
                </pt>
                <pt idx="359">
                  <v>-0.04732634163622046</v>
                </pt>
                <pt idx="360">
                  <v>-0.03279441909486779</v>
                </pt>
                <pt idx="361">
                  <v>-0.01666010497621547</v>
                </pt>
                <pt idx="362">
                  <v>-0.04863670951049247</v>
                </pt>
                <pt idx="363">
                  <v>0.01758994825057566</v>
                </pt>
                <pt idx="364">
                  <v>0.1786161340972474</v>
                </pt>
                <pt idx="365">
                  <v>0.1640102791804204</v>
                </pt>
                <pt idx="366">
                  <v>0.1021059167093337</v>
                </pt>
                <pt idx="367">
                  <v>0.06697847056388602</v>
                </pt>
                <pt idx="368">
                  <v>0.0543703150630543</v>
                </pt>
                <pt idx="369">
                  <v>0.04685262531157401</v>
                </pt>
                <pt idx="370">
                  <v>0.05293164496893025</v>
                </pt>
                <pt idx="371">
                  <v>0.05274035131540106</v>
                </pt>
                <pt idx="372">
                  <v>0.03670128014696143</v>
                </pt>
                <pt idx="373">
                  <v>0.04084295365833486</v>
                </pt>
                <pt idx="374">
                  <v>0.07453063696868284</v>
                </pt>
                <pt idx="375">
                  <v>0.05469344042327934</v>
                </pt>
                <pt idx="376">
                  <v>0.06404269982775759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country'!$A$5:$A$381</f>
              <numCache>
                <formatCode>mmm\-yy</formatCode>
                <ptCount val="37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</numCache>
            </numRef>
          </cat>
          <val>
            <numRef>
              <f>'Per country'!$B$5:$B$381</f>
              <numCache>
                <formatCode>0.00</formatCode>
                <ptCount val="377"/>
                <pt idx="0">
                  <v>61.04874108</v>
                </pt>
                <pt idx="1">
                  <v>60.821659964</v>
                </pt>
                <pt idx="2">
                  <v>60.38861003</v>
                </pt>
                <pt idx="3">
                  <v>60.051407953</v>
                </pt>
                <pt idx="4">
                  <v>60.224964931</v>
                </pt>
                <pt idx="5">
                  <v>60.816505787</v>
                </pt>
                <pt idx="6">
                  <v>61.294654764</v>
                </pt>
                <pt idx="7">
                  <v>61.460084002</v>
                </pt>
                <pt idx="8">
                  <v>61.467617029</v>
                </pt>
                <pt idx="9">
                  <v>61.994532443</v>
                </pt>
                <pt idx="10">
                  <v>61.906812326</v>
                </pt>
                <pt idx="11">
                  <v>61.821371941</v>
                </pt>
                <pt idx="12">
                  <v>61.552660939</v>
                </pt>
                <pt idx="13">
                  <v>61.230029322</v>
                </pt>
                <pt idx="14">
                  <v>61.668431669</v>
                </pt>
                <pt idx="15">
                  <v>62.169576202</v>
                </pt>
                <pt idx="16">
                  <v>62.641183339</v>
                </pt>
                <pt idx="17">
                  <v>62.842097099</v>
                </pt>
                <pt idx="18">
                  <v>62.876788671</v>
                </pt>
                <pt idx="19">
                  <v>63.448902247</v>
                </pt>
                <pt idx="20">
                  <v>63.104167143</v>
                </pt>
                <pt idx="21">
                  <v>63.293583125</v>
                </pt>
                <pt idx="22">
                  <v>63.742194706</v>
                </pt>
                <pt idx="23">
                  <v>63.994055517</v>
                </pt>
                <pt idx="24">
                  <v>64.07800912</v>
                </pt>
                <pt idx="25">
                  <v>64.34781042900001</v>
                </pt>
                <pt idx="26">
                  <v>64.64090465</v>
                </pt>
                <pt idx="27">
                  <v>64.586290205</v>
                </pt>
                <pt idx="28">
                  <v>64.774417642</v>
                </pt>
                <pt idx="29">
                  <v>64.525629514</v>
                </pt>
                <pt idx="30">
                  <v>64.667864958</v>
                </pt>
                <pt idx="31">
                  <v>64.822490249</v>
                </pt>
                <pt idx="32">
                  <v>64.75082737300001</v>
                </pt>
                <pt idx="33">
                  <v>65.077621979</v>
                </pt>
                <pt idx="34">
                  <v>65.580154174</v>
                </pt>
                <pt idx="35">
                  <v>65.89723514000001</v>
                </pt>
                <pt idx="36">
                  <v>66.25089093299999</v>
                </pt>
                <pt idx="37">
                  <v>66.46865488500001</v>
                </pt>
                <pt idx="38">
                  <v>66.514645997</v>
                </pt>
                <pt idx="39">
                  <v>67.181913599</v>
                </pt>
                <pt idx="40">
                  <v>67.589688244</v>
                </pt>
                <pt idx="41">
                  <v>67.909841892</v>
                </pt>
                <pt idx="42">
                  <v>68.353101059</v>
                </pt>
                <pt idx="43">
                  <v>68.445083283</v>
                </pt>
                <pt idx="44">
                  <v>68.89488428999999</v>
                </pt>
                <pt idx="45">
                  <v>69.11591916099999</v>
                </pt>
                <pt idx="46">
                  <v>69.65413411599999</v>
                </pt>
                <pt idx="47">
                  <v>70.12365975900001</v>
                </pt>
                <pt idx="48">
                  <v>70.83553080999999</v>
                </pt>
                <pt idx="49">
                  <v>70.956455717</v>
                </pt>
                <pt idx="50">
                  <v>70.852777477</v>
                </pt>
                <pt idx="51">
                  <v>70.965277288</v>
                </pt>
                <pt idx="52">
                  <v>70.86387877999999</v>
                </pt>
                <pt idx="53">
                  <v>71.191565455</v>
                </pt>
                <pt idx="54">
                  <v>71.42271044100001</v>
                </pt>
                <pt idx="55">
                  <v>71.10989158300001</v>
                </pt>
                <pt idx="56">
                  <v>72.045771069</v>
                </pt>
                <pt idx="57">
                  <v>72.345803604</v>
                </pt>
                <pt idx="58">
                  <v>72.232114368</v>
                </pt>
                <pt idx="59">
                  <v>72.399525981</v>
                </pt>
                <pt idx="60">
                  <v>72.668732577</v>
                </pt>
                <pt idx="61">
                  <v>72.259272913</v>
                </pt>
                <pt idx="62">
                  <v>73.303290983</v>
                </pt>
                <pt idx="63">
                  <v>73.203775732</v>
                </pt>
                <pt idx="64">
                  <v>73.957673144</v>
                </pt>
                <pt idx="65">
                  <v>74.48776035900001</v>
                </pt>
                <pt idx="66">
                  <v>75.051746196</v>
                </pt>
                <pt idx="67">
                  <v>75.051647077</v>
                </pt>
                <pt idx="68">
                  <v>75.41699888700001</v>
                </pt>
                <pt idx="69">
                  <v>75.92091874499999</v>
                </pt>
                <pt idx="70">
                  <v>75.891480469</v>
                </pt>
                <pt idx="71">
                  <v>76.56856082900001</v>
                </pt>
                <pt idx="72">
                  <v>77.04918777499999</v>
                </pt>
                <pt idx="73">
                  <v>77.18488137999999</v>
                </pt>
                <pt idx="74">
                  <v>78.104901861</v>
                </pt>
                <pt idx="75">
                  <v>78.576013405</v>
                </pt>
                <pt idx="76">
                  <v>78.647180686</v>
                </pt>
                <pt idx="77">
                  <v>79.07002138599999</v>
                </pt>
                <pt idx="78">
                  <v>79.430318137</v>
                </pt>
                <pt idx="79">
                  <v>80.06794922500001</v>
                </pt>
                <pt idx="80">
                  <v>80.892716562</v>
                </pt>
                <pt idx="81">
                  <v>81.676052251</v>
                </pt>
                <pt idx="82">
                  <v>82.374046674</v>
                </pt>
                <pt idx="83">
                  <v>83.015345156</v>
                </pt>
                <pt idx="84">
                  <v>83.391699149</v>
                </pt>
                <pt idx="85">
                  <v>83.766566361</v>
                </pt>
                <pt idx="86">
                  <v>83.895024295</v>
                </pt>
                <pt idx="87">
                  <v>83.922281959</v>
                </pt>
                <pt idx="88">
                  <v>84.233812273</v>
                </pt>
                <pt idx="89">
                  <v>84.759340024</v>
                </pt>
                <pt idx="90">
                  <v>84.24897744499999</v>
                </pt>
                <pt idx="91">
                  <v>83.920299583</v>
                </pt>
                <pt idx="92">
                  <v>85.656761424</v>
                </pt>
                <pt idx="93">
                  <v>85.567951001</v>
                </pt>
                <pt idx="94">
                  <v>86.21024067099999</v>
                </pt>
                <pt idx="95">
                  <v>86.13471216400001</v>
                </pt>
                <pt idx="96">
                  <v>86.48251995</v>
                </pt>
                <pt idx="97">
                  <v>86.863433407</v>
                </pt>
                <pt idx="98">
                  <v>87.35317928000001</v>
                </pt>
                <pt idx="99">
                  <v>87.520590893</v>
                </pt>
                <pt idx="100">
                  <v>87.71486369500001</v>
                </pt>
                <pt idx="101">
                  <v>88.260016964</v>
                </pt>
                <pt idx="102">
                  <v>88.196085353</v>
                </pt>
                <pt idx="103">
                  <v>88.726668163</v>
                </pt>
                <pt idx="104">
                  <v>89.106193957</v>
                </pt>
                <pt idx="105">
                  <v>88.70734000100001</v>
                </pt>
                <pt idx="106">
                  <v>89.873472404</v>
                </pt>
                <pt idx="107">
                  <v>90.340619197</v>
                </pt>
                <pt idx="108">
                  <v>91.03504534299999</v>
                </pt>
                <pt idx="109">
                  <v>90.98528771700001</v>
                </pt>
                <pt idx="110">
                  <v>91.315353242</v>
                </pt>
                <pt idx="111">
                  <v>91.658403327</v>
                </pt>
                <pt idx="112">
                  <v>92.24181644399999</v>
                </pt>
                <pt idx="113">
                  <v>92.520141968</v>
                </pt>
                <pt idx="114">
                  <v>92.56781809899999</v>
                </pt>
                <pt idx="115">
                  <v>92.382664225</v>
                </pt>
                <pt idx="116">
                  <v>92.144481806</v>
                </pt>
                <pt idx="117">
                  <v>92.530648558</v>
                </pt>
                <pt idx="118">
                  <v>92.18234517800001</v>
                </pt>
                <pt idx="119">
                  <v>92.19404119399999</v>
                </pt>
                <pt idx="120">
                  <v>91.921563678</v>
                </pt>
                <pt idx="121">
                  <v>91.392864125</v>
                </pt>
                <pt idx="122">
                  <v>90.774263843</v>
                </pt>
                <pt idx="123">
                  <v>90.551643071</v>
                </pt>
                <pt idx="124">
                  <v>90.269451915</v>
                </pt>
                <pt idx="125">
                  <v>89.735697305</v>
                </pt>
                <pt idx="126">
                  <v>89.23881488000001</v>
                </pt>
                <pt idx="127">
                  <v>88.68930038400001</v>
                </pt>
                <pt idx="128">
                  <v>88.596128734</v>
                </pt>
                <pt idx="129">
                  <v>88.142561214</v>
                </pt>
                <pt idx="130">
                  <v>87.855414119</v>
                </pt>
                <pt idx="131">
                  <v>87.329390774</v>
                </pt>
                <pt idx="132">
                  <v>87.313432651</v>
                </pt>
                <pt idx="133">
                  <v>87.889213622</v>
                </pt>
                <pt idx="134">
                  <v>87.89089864100001</v>
                </pt>
                <pt idx="135">
                  <v>88.574917316</v>
                </pt>
                <pt idx="136">
                  <v>89.00202012299999</v>
                </pt>
                <pt idx="137">
                  <v>89.36836312</v>
                </pt>
                <pt idx="138">
                  <v>90.106698885</v>
                </pt>
                <pt idx="139">
                  <v>90.07527823300001</v>
                </pt>
                <pt idx="140">
                  <v>89.984981027</v>
                </pt>
                <pt idx="141">
                  <v>90.092128425</v>
                </pt>
                <pt idx="142">
                  <v>89.83025661800001</v>
                </pt>
                <pt idx="143">
                  <v>90.333482645</v>
                </pt>
                <pt idx="144">
                  <v>89.838681714</v>
                </pt>
                <pt idx="145">
                  <v>90.57989192300001</v>
                </pt>
                <pt idx="146">
                  <v>90.687733151</v>
                </pt>
                <pt idx="147">
                  <v>90.417138892</v>
                </pt>
                <pt idx="148">
                  <v>89.846016503</v>
                </pt>
                <pt idx="149">
                  <v>89.817767652</v>
                </pt>
                <pt idx="150">
                  <v>89.937602252</v>
                </pt>
                <pt idx="151">
                  <v>90.399099275</v>
                </pt>
                <pt idx="152">
                  <v>90.20988153099999</v>
                </pt>
                <pt idx="153">
                  <v>90.82798622</v>
                </pt>
                <pt idx="154">
                  <v>90.928790015</v>
                </pt>
                <pt idx="155">
                  <v>91.53668546999999</v>
                </pt>
                <pt idx="156">
                  <v>91.587632521</v>
                </pt>
                <pt idx="157">
                  <v>91.748601413</v>
                </pt>
                <pt idx="158">
                  <v>92.28869962500001</v>
                </pt>
                <pt idx="159">
                  <v>91.92305046</v>
                </pt>
                <pt idx="160">
                  <v>92.30485598600001</v>
                </pt>
                <pt idx="161">
                  <v>92.97043856800001</v>
                </pt>
                <pt idx="162">
                  <v>92.247565333</v>
                </pt>
                <pt idx="163">
                  <v>92.938324085</v>
                </pt>
                <pt idx="164">
                  <v>93.02455741999999</v>
                </pt>
                <pt idx="165">
                  <v>93.11148458700001</v>
                </pt>
                <pt idx="166">
                  <v>93.96578932</v>
                </pt>
                <pt idx="167">
                  <v>94.200403463</v>
                </pt>
                <pt idx="168">
                  <v>94.899587311</v>
                </pt>
                <pt idx="169">
                  <v>95.26939946500001</v>
                </pt>
                <pt idx="170">
                  <v>95.96679917500001</v>
                </pt>
                <pt idx="171">
                  <v>95.82059898</v>
                </pt>
                <pt idx="172">
                  <v>96.01021319900001</v>
                </pt>
                <pt idx="173">
                  <v>96.10774607499999</v>
                </pt>
                <pt idx="174">
                  <v>96.495102252</v>
                </pt>
                <pt idx="175">
                  <v>96.18733845200001</v>
                </pt>
                <pt idx="176">
                  <v>96.52741497300001</v>
                </pt>
                <pt idx="177">
                  <v>94.667352018</v>
                </pt>
                <pt idx="178">
                  <v>95.792845722</v>
                </pt>
                <pt idx="179">
                  <v>96.81287704899999</v>
                </pt>
                <pt idx="180">
                  <v>97.34534311500001</v>
                </pt>
                <pt idx="181">
                  <v>97.46874599100001</v>
                </pt>
                <pt idx="182">
                  <v>97.47459399900001</v>
                </pt>
                <pt idx="183">
                  <v>97.722688296</v>
                </pt>
                <pt idx="184">
                  <v>98.03263271</v>
                </pt>
                <pt idx="185">
                  <v>98.028370602</v>
                </pt>
                <pt idx="186">
                  <v>98.33474674</v>
                </pt>
                <pt idx="187">
                  <v>98.273590455</v>
                </pt>
                <pt idx="188">
                  <v>98.703964181</v>
                </pt>
                <pt idx="189">
                  <v>98.537246399</v>
                </pt>
                <pt idx="190">
                  <v>98.41810563</v>
                </pt>
                <pt idx="191">
                  <v>98.36309471</v>
                </pt>
                <pt idx="192">
                  <v>99.369150289</v>
                </pt>
                <pt idx="193">
                  <v>98.98000997299999</v>
                </pt>
                <pt idx="194">
                  <v>99.921241872</v>
                </pt>
                <pt idx="195">
                  <v>100.135437548</v>
                </pt>
                <pt idx="196">
                  <v>100.853057488</v>
                </pt>
                <pt idx="197">
                  <v>100.917583811</v>
                </pt>
                <pt idx="198">
                  <v>100.944940594</v>
                </pt>
                <pt idx="199">
                  <v>100.82451128</v>
                </pt>
                <pt idx="200">
                  <v>101.065369907</v>
                </pt>
                <pt idx="201">
                  <v>101.301669069</v>
                </pt>
                <pt idx="202">
                  <v>100.989444924</v>
                </pt>
                <pt idx="203">
                  <v>101.568695053</v>
                </pt>
                <pt idx="204">
                  <v>101.55917965</v>
                </pt>
                <pt idx="205">
                  <v>101.413177693</v>
                </pt>
                <pt idx="206">
                  <v>101.040094619</v>
                </pt>
                <pt idx="207">
                  <v>100.695161277</v>
                </pt>
                <pt idx="208">
                  <v>100.020558886</v>
                </pt>
                <pt idx="209">
                  <v>99.423368259</v>
                </pt>
                <pt idx="210">
                  <v>99.203324576</v>
                </pt>
                <pt idx="211">
                  <v>98.73459188299999</v>
                </pt>
                <pt idx="212">
                  <v>97.19597111900001</v>
                </pt>
                <pt idx="213">
                  <v>93.0181147</v>
                </pt>
                <pt idx="214">
                  <v>93.869049394</v>
                </pt>
                <pt idx="215">
                  <v>92.649987565</v>
                </pt>
                <pt idx="216">
                  <v>90.024628538</v>
                </pt>
                <pt idx="217">
                  <v>87.802385574</v>
                </pt>
                <pt idx="218">
                  <v>87.231362304</v>
                </pt>
                <pt idx="219">
                  <v>85.84132058599999</v>
                </pt>
                <pt idx="220">
                  <v>85.18327103</v>
                </pt>
                <pt idx="221">
                  <v>84.313900244</v>
                </pt>
                <pt idx="222">
                  <v>84.036962383</v>
                </pt>
                <pt idx="223">
                  <v>84.991476198</v>
                </pt>
                <pt idx="224">
                  <v>85.94529618200001</v>
                </pt>
                <pt idx="225">
                  <v>86.636947003</v>
                </pt>
                <pt idx="226">
                  <v>86.88702367499999</v>
                </pt>
                <pt idx="227">
                  <v>87.230569354</v>
                </pt>
                <pt idx="228">
                  <v>87.50393893899999</v>
                </pt>
                <pt idx="229">
                  <v>88.48769279299999</v>
                </pt>
                <pt idx="230">
                  <v>88.77553372</v>
                </pt>
                <pt idx="231">
                  <v>89.43447534400001</v>
                </pt>
                <pt idx="232">
                  <v>89.770785352</v>
                </pt>
                <pt idx="233">
                  <v>91.01551894399999</v>
                </pt>
                <pt idx="234">
                  <v>91.196212473</v>
                </pt>
                <pt idx="235">
                  <v>91.58247834399999</v>
                </pt>
                <pt idx="236">
                  <v>91.89480160799999</v>
                </pt>
                <pt idx="237">
                  <v>92.106321077</v>
                </pt>
                <pt idx="238">
                  <v>91.894504252</v>
                </pt>
                <pt idx="239">
                  <v>91.936134138</v>
                </pt>
                <pt idx="240">
                  <v>92.823941017</v>
                </pt>
                <pt idx="241">
                  <v>92.653060247</v>
                </pt>
                <pt idx="242">
                  <v>92.241618207</v>
                </pt>
                <pt idx="243">
                  <v>93.195834666</v>
                </pt>
                <pt idx="244">
                  <v>92.875383662</v>
                </pt>
                <pt idx="245">
                  <v>93.021980332</v>
                </pt>
                <pt idx="246">
                  <v>93.255305931</v>
                </pt>
                <pt idx="247">
                  <v>93.75456720699999</v>
                </pt>
                <pt idx="248">
                  <v>94.321923083</v>
                </pt>
                <pt idx="249">
                  <v>94.247584</v>
                </pt>
                <pt idx="250">
                  <v>94.846955241</v>
                </pt>
                <pt idx="251">
                  <v>94.887098345</v>
                </pt>
                <pt idx="252">
                  <v>95.356921344</v>
                </pt>
                <pt idx="253">
                  <v>95.924376338</v>
                </pt>
                <pt idx="254">
                  <v>96.195763548</v>
                </pt>
                <pt idx="255">
                  <v>95.720389897</v>
                </pt>
                <pt idx="256">
                  <v>96.456346811</v>
                </pt>
                <pt idx="257">
                  <v>96.607998538</v>
                </pt>
                <pt idx="258">
                  <v>96.598879611</v>
                </pt>
                <pt idx="259">
                  <v>96.81783298800001</v>
                </pt>
                <pt idx="260">
                  <v>96.42690853400001</v>
                </pt>
                <pt idx="261">
                  <v>96.37269056300001</v>
                </pt>
                <pt idx="262">
                  <v>96.674903712</v>
                </pt>
                <pt idx="263">
                  <v>97.12024437399999</v>
                </pt>
                <pt idx="264">
                  <v>97.34673077799999</v>
                </pt>
                <pt idx="265">
                  <v>97.30133437800001</v>
                </pt>
                <pt idx="266">
                  <v>97.776509792</v>
                </pt>
                <pt idx="267">
                  <v>98.186762407</v>
                </pt>
                <pt idx="268">
                  <v>98.120352826</v>
                </pt>
                <pt idx="269">
                  <v>98.199548729</v>
                </pt>
                <pt idx="270">
                  <v>98.33226877</v>
                </pt>
                <pt idx="271">
                  <v>98.048689951</v>
                </pt>
                <pt idx="272">
                  <v>98.62278590299999</v>
                </pt>
                <pt idx="273">
                  <v>99.175075725</v>
                </pt>
                <pt idx="274">
                  <v>99.036309438</v>
                </pt>
                <pt idx="275">
                  <v>99.29342354400001</v>
                </pt>
                <pt idx="276">
                  <v>99.481352743</v>
                </pt>
                <pt idx="277">
                  <v>99.156441395</v>
                </pt>
                <pt idx="278">
                  <v>99.90359873</v>
                </pt>
                <pt idx="279">
                  <v>100.881306339</v>
                </pt>
                <pt idx="280">
                  <v>100.93631726</v>
                </pt>
                <pt idx="281">
                  <v>101.33160294</v>
                </pt>
                <pt idx="282">
                  <v>101.668309423</v>
                </pt>
                <pt idx="283">
                  <v>101.941579889</v>
                </pt>
                <pt idx="284">
                  <v>101.744531762</v>
                </pt>
                <pt idx="285">
                  <v>102.078264681</v>
                </pt>
                <pt idx="286">
                  <v>102.083517976</v>
                </pt>
                <pt idx="287">
                  <v>102.753362666</v>
                </pt>
                <pt idx="288">
                  <v>102.700829715</v>
                </pt>
                <pt idx="289">
                  <v>101.941579889</v>
                </pt>
                <pt idx="290">
                  <v>101.32833202</v>
                </pt>
                <pt idx="291">
                  <v>100.996581476</v>
                </pt>
                <pt idx="292">
                  <v>100.393344604</v>
                </pt>
                <pt idx="293">
                  <v>99.95216693099999</v>
                </pt>
                <pt idx="294">
                  <v>99.620614624</v>
                </pt>
                <pt idx="295">
                  <v>100.291450502</v>
                </pt>
                <pt idx="296">
                  <v>100.022243905</v>
                </pt>
                <pt idx="297">
                  <v>99.68177090899999</v>
                </pt>
                <pt idx="298">
                  <v>99.27617687599999</v>
                </pt>
                <pt idx="299">
                  <v>98.533876361</v>
                </pt>
                <pt idx="300">
                  <v>97.961961022</v>
                </pt>
                <pt idx="301">
                  <v>98.603061267</v>
                </pt>
                <pt idx="302">
                  <v>98.086255967</v>
                </pt>
                <pt idx="303">
                  <v>97.33007882299999</v>
                </pt>
                <pt idx="304">
                  <v>97.59958277600001</v>
                </pt>
                <pt idx="305">
                  <v>97.422754879</v>
                </pt>
                <pt idx="306">
                  <v>97.850155042</v>
                </pt>
                <pt idx="307">
                  <v>98.027676771</v>
                </pt>
                <pt idx="308">
                  <v>97.854912744</v>
                </pt>
                <pt idx="309">
                  <v>97.737060519</v>
                </pt>
                <pt idx="310">
                  <v>97.800793892</v>
                </pt>
                <pt idx="311">
                  <v>97.363184495</v>
                </pt>
                <pt idx="312">
                  <v>98.024306732</v>
                </pt>
                <pt idx="313">
                  <v>97.874439143</v>
                </pt>
                <pt idx="314">
                  <v>97.500761356</v>
                </pt>
                <pt idx="315">
                  <v>98.233149994</v>
                </pt>
                <pt idx="316">
                  <v>99.15475637599999</v>
                </pt>
                <pt idx="317">
                  <v>99.264480861</v>
                </pt>
                <pt idx="318">
                  <v>99.420295577</v>
                </pt>
                <pt idx="319">
                  <v>99.32613274000001</v>
                </pt>
                <pt idx="320">
                  <v>98.82687146400001</v>
                </pt>
                <pt idx="321">
                  <v>98.869492537</v>
                </pt>
                <pt idx="322">
                  <v>100.098069769</v>
                </pt>
                <pt idx="323">
                  <v>100.380558282</v>
                </pt>
                <pt idx="324">
                  <v>100.476307019</v>
                </pt>
                <pt idx="325">
                  <v>100.462925985</v>
                </pt>
                <pt idx="326">
                  <v>100.753740474</v>
                </pt>
                <pt idx="327">
                  <v>101.396525738</v>
                </pt>
                <pt idx="328">
                  <v>102.498230936</v>
                </pt>
                <pt idx="329">
                  <v>101.637186127</v>
                </pt>
                <pt idx="330">
                  <v>102.394156221</v>
                </pt>
                <pt idx="331">
                  <v>102.634915729</v>
                </pt>
                <pt idx="332">
                  <v>103.24796536</v>
                </pt>
                <pt idx="333">
                  <v>103.213868501</v>
                </pt>
                <pt idx="334">
                  <v>103.071038344</v>
                </pt>
                <pt idx="335">
                  <v>102.996996618</v>
                </pt>
                <pt idx="336">
                  <v>102.951699338</v>
                </pt>
                <pt idx="337">
                  <v>102.391975608</v>
                </pt>
                <pt idx="338">
                  <v>101.822736476</v>
                </pt>
                <pt idx="339">
                  <v>101.957042418</v>
                </pt>
                <pt idx="340">
                  <v>101.353210833</v>
                </pt>
                <pt idx="341">
                  <v>101.549069535</v>
                </pt>
                <pt idx="342">
                  <v>101.481767886</v>
                </pt>
                <pt idx="343">
                  <v>101.15745125</v>
                </pt>
                <pt idx="344">
                  <v>101.783287203</v>
                </pt>
                <pt idx="345">
                  <v>101.412682099</v>
                </pt>
                <pt idx="346">
                  <v>100.570370738</v>
                </pt>
                <pt idx="347">
                  <v>101.088861057</v>
                </pt>
                <pt idx="348">
                  <v>100.722418941</v>
                </pt>
                <pt idx="349">
                  <v>100.200955059</v>
                </pt>
                <pt idx="350">
                  <v>100.431802689</v>
                </pt>
                <pt idx="351">
                  <v>96.588967733</v>
                </pt>
                <pt idx="352">
                  <v>83.459793749</v>
                </pt>
                <pt idx="353">
                  <v>85.08692757999999</v>
                </pt>
                <pt idx="354">
                  <v>90.358857051</v>
                </pt>
                <pt idx="355">
                  <v>94.052518249</v>
                </pt>
                <pt idx="356">
                  <v>95.04737340600001</v>
                </pt>
                <pt idx="357">
                  <v>94.75943336100001</v>
                </pt>
                <pt idx="358">
                  <v>95.793737791</v>
                </pt>
                <pt idx="359">
                  <v>96.304695083</v>
                </pt>
                <pt idx="360">
                  <v>97.419285722</v>
                </pt>
                <pt idx="361">
                  <v>98.53159662900001</v>
                </pt>
                <pt idx="362">
                  <v>95.547130276</v>
                </pt>
                <pt idx="363">
                  <v>98.287962677</v>
                </pt>
                <pt idx="364">
                  <v>98.367059461</v>
                </pt>
                <pt idx="365">
                  <v>99.04205832700001</v>
                </pt>
                <pt idx="366">
                  <v>99.585030983</v>
                </pt>
                <pt idx="367">
                  <v>100.352012074</v>
                </pt>
                <pt idx="368">
                  <v>100.215129044</v>
                </pt>
                <pt idx="369">
                  <v>99.19916158700001</v>
                </pt>
                <pt idx="370">
                  <v>100.86425791</v>
                </pt>
                <pt idx="371">
                  <v>101.383838535</v>
                </pt>
                <pt idx="372">
                  <v>100.994698219</v>
                </pt>
                <pt idx="373">
                  <v>102.555918064</v>
                </pt>
                <pt idx="374">
                  <v>102.668318756</v>
                </pt>
                <pt idx="375">
                  <v>103.663669508</v>
                </pt>
                <pt idx="376">
                  <v>104.666751523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country'!$A$300:$A$384</f>
              <numCache>
                <formatCode>mmm\-yy</formatCode>
                <ptCount val="85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  <pt idx="48">
                  <v>43647</v>
                </pt>
                <pt idx="49">
                  <v>43678</v>
                </pt>
                <pt idx="50">
                  <v>43709</v>
                </pt>
                <pt idx="51">
                  <v>43739</v>
                </pt>
                <pt idx="52">
                  <v>43770</v>
                </pt>
                <pt idx="53">
                  <v>43800</v>
                </pt>
                <pt idx="54">
                  <v>43831</v>
                </pt>
                <pt idx="55">
                  <v>43862</v>
                </pt>
                <pt idx="56">
                  <v>43891</v>
                </pt>
                <pt idx="57">
                  <v>43922</v>
                </pt>
                <pt idx="58">
                  <v>43952</v>
                </pt>
                <pt idx="59">
                  <v>43983</v>
                </pt>
                <pt idx="60">
                  <v>44013</v>
                </pt>
                <pt idx="61">
                  <v>44044</v>
                </pt>
                <pt idx="62">
                  <v>44075</v>
                </pt>
                <pt idx="63">
                  <v>44105</v>
                </pt>
                <pt idx="64">
                  <v>44136</v>
                </pt>
                <pt idx="65">
                  <v>44166</v>
                </pt>
                <pt idx="66">
                  <v>44197</v>
                </pt>
                <pt idx="67">
                  <v>44228</v>
                </pt>
                <pt idx="68">
                  <v>44256</v>
                </pt>
                <pt idx="69">
                  <v>44287</v>
                </pt>
                <pt idx="70">
                  <v>44317</v>
                </pt>
                <pt idx="71">
                  <v>44348</v>
                </pt>
                <pt idx="72">
                  <v>44378</v>
                </pt>
                <pt idx="73">
                  <v>44409</v>
                </pt>
                <pt idx="74">
                  <v>44440</v>
                </pt>
                <pt idx="75">
                  <v>44470</v>
                </pt>
                <pt idx="76">
                  <v>44501</v>
                </pt>
                <pt idx="77">
                  <v>44531</v>
                </pt>
                <pt idx="78">
                  <v>44562</v>
                </pt>
                <pt idx="79">
                  <v>44593</v>
                </pt>
                <pt idx="80">
                  <v>44621</v>
                </pt>
                <pt idx="81">
                  <v>44652</v>
                </pt>
              </numCache>
            </numRef>
          </cat>
          <val>
            <numRef>
              <f>'Per country'!$C$300:$C$384</f>
              <numCache>
                <formatCode>0.0%</formatCode>
                <ptCount val="85"/>
                <pt idx="0">
                  <v>0.006733906235491059</v>
                </pt>
                <pt idx="1">
                  <v>-0.002684242731085426</v>
                </pt>
                <pt idx="2">
                  <v>-0.003403972783527832</v>
                </pt>
                <pt idx="3">
                  <v>-0.004068888717579755</v>
                </pt>
                <pt idx="4">
                  <v>-0.007477126319309821</v>
                </pt>
                <pt idx="5">
                  <v>-0.005804250884281318</v>
                </pt>
                <pt idx="6">
                  <v>0.006544379454143713</v>
                </pt>
                <pt idx="7">
                  <v>-0.005241270335416689</v>
                </pt>
                <pt idx="8">
                  <v>-0.007709307859139949</v>
                </pt>
                <pt idx="9">
                  <v>0.002768968814770192</v>
                </pt>
                <pt idx="10">
                  <v>-0.001811768984769596</v>
                </pt>
                <pt idx="11">
                  <v>0.004387067102863562</v>
                </pt>
                <pt idx="12">
                  <v>0.001814220211749368</v>
                </pt>
                <pt idx="13">
                  <v>-0.001762400504539031</v>
                </pt>
                <pt idx="14">
                  <v>-0.001204356753230392</v>
                </pt>
                <pt idx="15">
                  <v>0.000652090135119374</v>
                </pt>
                <pt idx="16">
                  <v>-0.004474497389901032</v>
                </pt>
                <pt idx="17">
                  <v>0.006790269242209842</v>
                </pt>
                <pt idx="18">
                  <v>-0.001528881906910459</v>
                </pt>
                <pt idx="19">
                  <v>-0.003817930302047927</v>
                </pt>
                <pt idx="20">
                  <v>0.007511619681879885</v>
                </pt>
                <pt idx="21">
                  <v>0.009381826624273823</v>
                </pt>
                <pt idx="22">
                  <v>0.00110659830158747</v>
                </pt>
                <pt idx="23">
                  <v>0.001569692549122341</v>
                </pt>
                <pt idx="24">
                  <v>-0.0009471188599220246</v>
                </pt>
                <pt idx="25">
                  <v>-0.005026484594007949</v>
                </pt>
                <pt idx="26">
                  <v>0.000431270082403833</v>
                </pt>
                <pt idx="27">
                  <v>0.01242625202653119</v>
                </pt>
                <pt idx="28">
                  <v>0.002822117485900567</v>
                </pt>
                <pt idx="29">
                  <v>0.0009538573867164626</v>
                </pt>
                <pt idx="30">
                  <v>-0.000133176013301076</v>
                </pt>
                <pt idx="31">
                  <v>0.00289474436612985</v>
                </pt>
                <pt idx="32">
                  <v>0.006379765763295615</v>
                </pt>
                <pt idx="33">
                  <v>0.01086531505869064</v>
                </pt>
                <pt idx="34">
                  <v>-0.008400582147975113</v>
                </pt>
                <pt idx="35">
                  <v>0.007447767129779938</v>
                </pt>
                <pt idx="36">
                  <v>0.002351301254735269</v>
                </pt>
                <pt idx="37">
                  <v>0.005973109897792563</v>
                </pt>
                <pt idx="38">
                  <v>-0.0003302424302611139</v>
                </pt>
                <pt idx="39">
                  <v>-0.001383827184024285</v>
                </pt>
                <pt idx="40">
                  <v>-0.0007183562636954311</v>
                </pt>
                <pt idx="41">
                  <v>-0.0004397922413990421</v>
                </pt>
                <pt idx="42">
                  <v>-0.005436760476991999</v>
                </pt>
                <pt idx="43">
                  <v>-0.005559411551734113</v>
                </pt>
                <pt idx="44">
                  <v>0.001319017212149409</v>
                </pt>
                <pt idx="45">
                  <v>-0.005922411740078008</v>
                </pt>
                <pt idx="46">
                  <v>0.001932437072198061</v>
                </pt>
                <pt idx="47">
                  <v>-0.0006627500311738913</v>
                </pt>
                <pt idx="48">
                  <v>-0.00319581184636366</v>
                </pt>
                <pt idx="49">
                  <v>0.006186750904323584</v>
                </pt>
                <pt idx="50">
                  <v>-0.003641119423278784</v>
                </pt>
                <pt idx="51">
                  <v>-0.008305779351913088</v>
                </pt>
                <pt idx="52">
                  <v>0.00515549773949575</v>
                </pt>
                <pt idx="53">
                  <v>-0.003624950485824344</v>
                </pt>
                <pt idx="54">
                  <v>-0.005177237475853943</v>
                </pt>
                <pt idx="55">
                  <v>0.002303846603698264</v>
                </pt>
                <pt idx="56">
                  <v>-0.03826312834291966</v>
                </pt>
                <pt idx="57">
                  <v>-0.1359282979428133</v>
                </pt>
                <pt idx="58">
                  <v>0.01949602027406749</v>
                </pt>
                <pt idx="59">
                  <v>0.06195933524621935</v>
                </pt>
                <pt idx="60">
                  <v>0.04087768834786432</v>
                </pt>
                <pt idx="61">
                  <v>0.01057765571322787</v>
                </pt>
                <pt idx="62">
                  <v>-0.003029437160457319</v>
                </pt>
                <pt idx="63">
                  <v>0.01091505503267054</v>
                </pt>
                <pt idx="64">
                  <v>0.005333932089744658</v>
                </pt>
                <pt idx="65">
                  <v>0.01157358567034963</v>
                </pt>
                <pt idx="66">
                  <v>0.01141776906652907</v>
                </pt>
                <pt idx="67">
                  <v>-0.03028943460885326</v>
                </pt>
                <pt idx="68">
                  <v>0.02868565903635985</v>
                </pt>
                <pt idx="69">
                  <v>0.0008047453812826858</v>
                </pt>
                <pt idx="70">
                  <v>0.006862041721066487</v>
                </pt>
                <pt idx="71">
                  <v>0.005482243252733053</v>
                </pt>
                <pt idx="72">
                  <v>0.007701770872882847</v>
                </pt>
                <pt idx="73">
                  <v>-0.001364028754092832</v>
                </pt>
                <pt idx="74">
                  <v>-0.01013786507777605</v>
                </pt>
                <pt idx="75">
                  <v>0.0167853870573258</v>
                </pt>
                <pt idx="76">
                  <v>0.005151285854535357</v>
                </pt>
                <pt idx="77">
                  <v>-0.003838287459057444</v>
                </pt>
                <pt idx="78">
                  <v>0.01545843368544554</v>
                </pt>
                <pt idx="79">
                  <v>0.001095994206105832</v>
                </pt>
                <pt idx="80">
                  <v>0.009694818850258266</v>
                </pt>
                <pt idx="81">
                  <v>0.00967631205571585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</numCache>
            </numRef>
          </cat>
          <val>
            <numRef>
              <f>China!$B$8:$B$382</f>
              <numCache>
                <formatCode>0.0%</formatCode>
                <ptCount val="375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  <pt idx="371">
                  <v>#N/A</v>
                </pt>
                <pt idx="372">
                  <v>0.006999999999999999</v>
                </pt>
                <pt idx="373">
                  <v>0.039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158748</colOff>
      <row>359</row>
      <rowOff>105833</rowOff>
    </from>
    <to>
      <col>28</col>
      <colOff>518582</colOff>
      <row>389</row>
      <rowOff>137583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173160</rowOff>
    </from>
    <to>
      <col>13</col>
      <colOff>498231</colOff>
      <row>377</row>
      <rowOff>117230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89" headerRowCount="1" totalsRowShown="0" headerRowDxfId="31" dataDxfId="29" headerRowBorderDxfId="30">
  <autoFilter ref="A1:Q389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0">
      <calculatedColumnFormula>IF(VLOOKUP(A2,Database!$A:$AU,MATCH($N$1,Database!$A$1:$AU$1,0),FALSE)=0,#N/A,VLOOKUP(A2,Database!$A:$AU,MATCH($N$1,Database!$A$1:$AU$1,0),FALSE))</calculatedColumnFormula>
    </tableColumn>
    <tableColumn id="15" name="USA " dataDxfId="15">
      <calculatedColumnFormula>(((Table134567891011121314151617343[[#This Row],[USA]]-VLOOKUP($U$1,A:N,14,))/VLOOKUP($U$1,A:N,14,))*100)+100</calculatedColumnFormula>
    </tableColumn>
    <tableColumn id="16" name="JPN" dataDxfId="14">
      <calculatedColumnFormula>IF(VLOOKUP(A2,Database!$A:$AS,MATCH($P$1,Database!$A$1:$AS$1,0),FALSE)=0,#N/A,VLOOKUP(A2,Database!$A:$AS,MATCH($P$1,Database!$A$1:$AS$1,0),FALSE))</calculatedColumnFormula>
    </tableColumn>
    <tableColumn id="17" name="JPN " dataDxfId="13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81" headerRowCount="1" totalsRowShown="0" headerRowDxfId="12" dataDxfId="11">
  <autoFilter ref="A4:D381"/>
  <tableColumns count="4">
    <tableColumn id="1" name="Month" dataDxfId="10">
      <calculatedColumnFormula>IF(Database!#REF!="",#N/A,Database!#REF!)</calculatedColumnFormula>
    </tableColumn>
    <tableColumn id="2" name="USA" dataDxfId="9">
      <calculatedColumnFormula>VLOOKUP(A5,Database!$A:$AU,MATCH($B$4,Database!$A$1:$AU$1,0),FALSE)</calculatedColumnFormula>
    </tableColumn>
    <tableColumn id="3" name="mom" dataDxfId="8">
      <calculatedColumnFormula>(B5/B4)-1</calculatedColumnFormula>
    </tableColumn>
    <tableColumn id="4" name="yoy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81" headerRowCount="1" totalsRowShown="0" headerRowDxfId="6" dataDxfId="4" headerRowBorderDxfId="5">
  <autoFilter ref="A7:C381"/>
  <sortState ref="A8:B340">
    <sortCondition ref="A8:A340"/>
  </sortState>
  <tableColumns count="3">
    <tableColumn id="1" name="Date" dataDxfId="3"/>
    <tableColumn id="2" name="China Industrial Production YoY" dataDxfId="2">
      <calculatedColumnFormula>VLOOKUP(A8,'China Production data'!$A$1:$C$508,3,FALSE)</calculatedColumnFormula>
    </tableColumn>
    <tableColumn id="3" name="HSBC China PMI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zoomScale="150" zoomScaleNormal="150" workbookViewId="0">
      <selection activeCell="P16" sqref="P16"/>
    </sheetView>
  </sheetViews>
  <sheetFormatPr baseColWidth="10" defaultColWidth="9.1640625" defaultRowHeight="15"/>
  <cols>
    <col width="9.1640625" customWidth="1" style="87" min="1" max="1"/>
    <col width="12.83203125" customWidth="1" style="87" min="2" max="10"/>
    <col width="9.1640625" customWidth="1" style="87" min="11" max="14"/>
    <col width="19.1640625" customWidth="1" style="87" min="15" max="16"/>
    <col width="9.1640625" customWidth="1" style="87" min="17" max="49"/>
    <col width="9.1640625" customWidth="1" style="87" min="50" max="16384"/>
  </cols>
  <sheetData>
    <row r="1">
      <c r="B1" s="93" t="n"/>
    </row>
    <row r="2" ht="16" customHeight="1" s="81" thickBot="1">
      <c r="B2" s="94" t="n"/>
      <c r="C2" s="94" t="n"/>
      <c r="D2" s="94" t="n"/>
      <c r="E2" s="94" t="n"/>
      <c r="F2" s="94" t="n"/>
      <c r="G2" s="94" t="n"/>
      <c r="H2" s="94" t="n"/>
      <c r="I2" s="94" t="n"/>
      <c r="J2" s="94" t="n"/>
    </row>
    <row r="3" ht="16" customHeight="1" s="81" thickBot="1">
      <c r="B3" s="95" t="inlineStr">
        <is>
          <t>Global Industrial Production</t>
        </is>
      </c>
      <c r="C3" s="96" t="n"/>
      <c r="D3" s="96" t="n"/>
      <c r="E3" s="96" t="n"/>
      <c r="F3" s="96" t="n"/>
      <c r="G3" s="96" t="n"/>
      <c r="H3" s="96" t="n"/>
      <c r="I3" s="96" t="n"/>
      <c r="J3" s="97" t="n"/>
    </row>
    <row r="5">
      <c r="B5" s="98" t="inlineStr">
        <is>
          <t>Definition</t>
        </is>
      </c>
      <c r="C5" s="99" t="n"/>
      <c r="D5" s="99" t="n"/>
      <c r="E5" s="99" t="n"/>
      <c r="F5" s="99" t="n"/>
      <c r="G5" s="99" t="n"/>
      <c r="H5" s="99" t="n"/>
      <c r="I5" s="99" t="n"/>
      <c r="J5" s="100" t="n"/>
    </row>
    <row r="7" ht="63" customHeight="1" s="81">
      <c r="B7" s="101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1">
      <c r="B8" s="92" t="inlineStr">
        <is>
          <t>https://data.oecd.org/industry/industrial-production.htm</t>
        </is>
      </c>
    </row>
    <row r="9">
      <c r="B9" s="62" t="n"/>
      <c r="C9" s="62" t="n"/>
      <c r="D9" s="62" t="n"/>
      <c r="E9" s="62" t="n"/>
    </row>
    <row r="10">
      <c r="B10" s="98" t="inlineStr">
        <is>
          <t>Process / TO DO LIST</t>
        </is>
      </c>
      <c r="C10" s="99" t="n"/>
      <c r="D10" s="99" t="n"/>
      <c r="E10" s="99" t="n"/>
      <c r="F10" s="99" t="n"/>
      <c r="G10" s="99" t="n"/>
      <c r="H10" s="99" t="n"/>
      <c r="I10" s="99" t="n"/>
      <c r="J10" s="100" t="n"/>
    </row>
    <row r="12">
      <c r="B12" s="98" t="inlineStr">
        <is>
          <t>TO DO LIST</t>
        </is>
      </c>
      <c r="C12" s="99" t="n"/>
      <c r="D12" s="99" t="n"/>
      <c r="E12" s="99" t="n"/>
      <c r="F12" s="100" t="n"/>
      <c r="G12" s="98" t="inlineStr">
        <is>
          <t>Comments</t>
        </is>
      </c>
      <c r="H12" s="99" t="n"/>
      <c r="I12" s="99" t="n"/>
      <c r="J12" s="100" t="n"/>
      <c r="O12" s="98" t="inlineStr">
        <is>
          <t xml:space="preserve">Ticker </t>
        </is>
      </c>
      <c r="P12" s="98" t="inlineStr">
        <is>
          <t>Country</t>
        </is>
      </c>
    </row>
    <row r="13">
      <c r="O13" s="63" t="inlineStr">
        <is>
          <t>ABW</t>
        </is>
      </c>
      <c r="P13" s="63" t="inlineStr">
        <is>
          <t>Aruba</t>
        </is>
      </c>
    </row>
    <row r="14">
      <c r="B14" s="87" t="inlineStr">
        <is>
          <t>https://data.oecd.org/industry/industrial-production.htm</t>
        </is>
      </c>
      <c r="G14" s="87" t="inlineStr">
        <is>
          <t>Industrial Production</t>
        </is>
      </c>
      <c r="O14" s="63" t="inlineStr">
        <is>
          <t>AFG</t>
        </is>
      </c>
      <c r="P14" s="63" t="inlineStr">
        <is>
          <t>Afghanistan</t>
        </is>
      </c>
    </row>
    <row r="15">
      <c r="B15" s="87" t="inlineStr">
        <is>
          <t>Total</t>
        </is>
      </c>
      <c r="G15" s="87" t="inlineStr">
        <is>
          <t>In Database</t>
        </is>
      </c>
      <c r="O15" s="63" t="inlineStr">
        <is>
          <t>AFRI</t>
        </is>
      </c>
      <c r="P15" s="63" t="inlineStr">
        <is>
          <t>Africa</t>
        </is>
      </c>
    </row>
    <row r="16" ht="15.75" customHeight="1" s="81">
      <c r="B16" s="87" t="inlineStr">
        <is>
          <t>Monthly</t>
        </is>
      </c>
      <c r="G16" s="88" t="inlineStr">
        <is>
          <t>Manually or create macro</t>
        </is>
      </c>
      <c r="O16" s="63" t="inlineStr">
        <is>
          <t>AGO</t>
        </is>
      </c>
      <c r="P16" s="63" t="inlineStr">
        <is>
          <t>Angola</t>
        </is>
      </c>
    </row>
    <row r="17" ht="15.75" customHeight="1" s="81">
      <c r="B17" s="87" t="inlineStr">
        <is>
          <t>Unclik latest data available</t>
        </is>
      </c>
      <c r="G17" s="88" t="n"/>
      <c r="O17" s="63" t="inlineStr">
        <is>
          <t>AIA</t>
        </is>
      </c>
      <c r="P17" s="63" t="inlineStr">
        <is>
          <t>Anguilla</t>
        </is>
      </c>
    </row>
    <row r="18" ht="15.75" customHeight="1" s="81">
      <c r="B18" s="87" t="inlineStr">
        <is>
          <t>Table</t>
        </is>
      </c>
      <c r="G18" s="90" t="n"/>
      <c r="O18" s="63" t="inlineStr">
        <is>
          <t>ALB</t>
        </is>
      </c>
      <c r="P18" s="63" t="inlineStr">
        <is>
          <t>Albania</t>
        </is>
      </c>
    </row>
    <row r="19" ht="15.75" customHeight="1" s="81">
      <c r="B19" s="87" t="inlineStr">
        <is>
          <t>Download</t>
        </is>
      </c>
      <c r="G19" s="88" t="n"/>
      <c r="O19" s="63" t="inlineStr">
        <is>
          <t>AND</t>
        </is>
      </c>
      <c r="P19" s="63" t="inlineStr">
        <is>
          <t>Andorra</t>
        </is>
      </c>
    </row>
    <row r="20" ht="15.75" customHeight="1" s="81">
      <c r="G20" s="88" t="n"/>
      <c r="O20" s="63" t="inlineStr">
        <is>
          <t>ANT</t>
        </is>
      </c>
      <c r="P20" s="63" t="inlineStr">
        <is>
          <t>Netherlands Antilles</t>
        </is>
      </c>
    </row>
    <row r="21" ht="31.5" customHeight="1" s="81">
      <c r="B21" s="91" t="inlineStr">
        <is>
          <t>https://www.investing.com/economic-calendar/chinese-industrial-production-462</t>
        </is>
      </c>
      <c r="G21" s="88" t="inlineStr">
        <is>
          <t>China Industrial Production</t>
        </is>
      </c>
      <c r="O21" s="63" t="inlineStr">
        <is>
          <t>ARE</t>
        </is>
      </c>
      <c r="P21" s="63" t="inlineStr">
        <is>
          <t>United Arab Emirates</t>
        </is>
      </c>
    </row>
    <row r="22" ht="15.75" customHeight="1" s="81">
      <c r="G22" s="88" t="n"/>
      <c r="O22" s="63" t="inlineStr">
        <is>
          <t>ARG</t>
        </is>
      </c>
      <c r="P22" s="63" t="inlineStr">
        <is>
          <t>Argentina</t>
        </is>
      </c>
    </row>
    <row r="23" ht="15.75" customHeight="1" s="81">
      <c r="B23" s="92" t="inlineStr">
        <is>
          <t>https://tradingeconomics.com/country-list/industrial-production</t>
        </is>
      </c>
      <c r="G23" s="88" t="inlineStr">
        <is>
          <t>World Production data</t>
        </is>
      </c>
      <c r="O23" s="63" t="inlineStr">
        <is>
          <t>ASIA</t>
        </is>
      </c>
      <c r="P23" s="63" t="inlineStr">
        <is>
          <t>Asia</t>
        </is>
      </c>
    </row>
    <row r="24" ht="15.75" customHeight="1" s="81">
      <c r="G24" s="88" t="n"/>
      <c r="O24" s="63" t="inlineStr">
        <is>
          <t>ASM</t>
        </is>
      </c>
      <c r="P24" s="63" t="inlineStr">
        <is>
          <t>American Samoa</t>
        </is>
      </c>
    </row>
    <row r="25" ht="15.75" customHeight="1" s="81">
      <c r="B25" s="10" t="inlineStr">
        <is>
          <t>https://www.theglobaleconomy.com/rankings/Capital_investment/</t>
        </is>
      </c>
      <c r="G25" s="88" t="n"/>
      <c r="O25" s="63" t="inlineStr">
        <is>
          <t>ATG</t>
        </is>
      </c>
      <c r="P25" s="63" t="inlineStr">
        <is>
          <t>Antigua and Barbuda</t>
        </is>
      </c>
    </row>
    <row r="26" ht="15.75" customHeight="1" s="81">
      <c r="G26" s="88" t="n"/>
      <c r="O26" s="63" t="inlineStr">
        <is>
          <t>AUS</t>
        </is>
      </c>
      <c r="P26" s="63" t="inlineStr">
        <is>
          <t>Australia</t>
        </is>
      </c>
    </row>
    <row r="27" ht="15.75" customHeight="1" s="81">
      <c r="B27" s="87" t="n"/>
      <c r="G27" s="88" t="n"/>
      <c r="O27" s="63" t="inlineStr">
        <is>
          <t>AUT</t>
        </is>
      </c>
      <c r="P27" s="63" t="inlineStr">
        <is>
          <t>Austria</t>
        </is>
      </c>
    </row>
    <row r="28">
      <c r="O28" s="63" t="inlineStr">
        <is>
          <t>BDI</t>
        </is>
      </c>
      <c r="P28" s="63" t="inlineStr">
        <is>
          <t>Burundi</t>
        </is>
      </c>
    </row>
    <row r="29">
      <c r="O29" s="63" t="inlineStr">
        <is>
          <t>BEL</t>
        </is>
      </c>
      <c r="P29" s="63" t="inlineStr">
        <is>
          <t>Belgium</t>
        </is>
      </c>
    </row>
    <row r="30">
      <c r="B30" s="64" t="n"/>
      <c r="O30" s="63" t="inlineStr">
        <is>
          <t>BEN</t>
        </is>
      </c>
      <c r="P30" s="63" t="inlineStr">
        <is>
          <t>Benin</t>
        </is>
      </c>
    </row>
    <row r="31" ht="33.75" customHeight="1" s="81">
      <c r="B31" s="89" t="n"/>
      <c r="O31" s="63" t="inlineStr">
        <is>
          <t>BFA</t>
        </is>
      </c>
      <c r="P31" s="63" t="inlineStr">
        <is>
          <t>Burkina Faso</t>
        </is>
      </c>
    </row>
    <row r="32">
      <c r="B32" s="65" t="n"/>
      <c r="O32" s="63" t="inlineStr">
        <is>
          <t>BGD</t>
        </is>
      </c>
      <c r="P32" s="63" t="inlineStr">
        <is>
          <t>Bangladesh</t>
        </is>
      </c>
    </row>
    <row r="33">
      <c r="O33" s="63" t="inlineStr">
        <is>
          <t>BGR</t>
        </is>
      </c>
      <c r="P33" s="63" t="inlineStr">
        <is>
          <t>Bulgaria</t>
        </is>
      </c>
    </row>
    <row r="34">
      <c r="O34" s="63" t="inlineStr">
        <is>
          <t>BHR</t>
        </is>
      </c>
      <c r="P34" s="63" t="inlineStr">
        <is>
          <t>Bahrain</t>
        </is>
      </c>
    </row>
    <row r="35">
      <c r="O35" s="63" t="inlineStr">
        <is>
          <t>BHS</t>
        </is>
      </c>
      <c r="P35" s="63" t="inlineStr">
        <is>
          <t>Bahamas</t>
        </is>
      </c>
    </row>
    <row r="36">
      <c r="O36" s="63" t="inlineStr">
        <is>
          <t>BLZ</t>
        </is>
      </c>
      <c r="P36" s="63" t="inlineStr">
        <is>
          <t>Belize</t>
        </is>
      </c>
    </row>
    <row r="37">
      <c r="O37" s="63" t="inlineStr">
        <is>
          <t>BMU</t>
        </is>
      </c>
      <c r="P37" s="63" t="inlineStr">
        <is>
          <t>Bermuda</t>
        </is>
      </c>
    </row>
    <row r="38">
      <c r="O38" s="63" t="inlineStr">
        <is>
          <t>BOL</t>
        </is>
      </c>
      <c r="P38" s="63" t="inlineStr">
        <is>
          <t>Bolivia</t>
        </is>
      </c>
    </row>
    <row r="39">
      <c r="O39" s="63" t="inlineStr">
        <is>
          <t>BRA</t>
        </is>
      </c>
      <c r="P39" s="63" t="inlineStr">
        <is>
          <t>Brazil</t>
        </is>
      </c>
    </row>
    <row r="40">
      <c r="O40" s="63" t="inlineStr">
        <is>
          <t>BRB</t>
        </is>
      </c>
      <c r="P40" s="63" t="inlineStr">
        <is>
          <t>Barbados</t>
        </is>
      </c>
    </row>
    <row r="41">
      <c r="O41" s="63" t="inlineStr">
        <is>
          <t>BRN</t>
        </is>
      </c>
      <c r="P41" s="63" t="inlineStr">
        <is>
          <t>Brunei Darussalam</t>
        </is>
      </c>
    </row>
    <row r="42">
      <c r="O42" s="63" t="inlineStr">
        <is>
          <t>BTN</t>
        </is>
      </c>
      <c r="P42" s="63" t="inlineStr">
        <is>
          <t>Bhutan</t>
        </is>
      </c>
    </row>
    <row r="43">
      <c r="O43" s="63" t="inlineStr">
        <is>
          <t>BWA</t>
        </is>
      </c>
      <c r="P43" s="63" t="inlineStr">
        <is>
          <t>Botswana</t>
        </is>
      </c>
    </row>
    <row r="44">
      <c r="O44" s="63" t="inlineStr">
        <is>
          <t>CAF</t>
        </is>
      </c>
      <c r="P44" s="63" t="inlineStr">
        <is>
          <t>Central African Republic</t>
        </is>
      </c>
    </row>
    <row r="45">
      <c r="O45" s="63" t="inlineStr">
        <is>
          <t>CAN</t>
        </is>
      </c>
      <c r="P45" s="63" t="inlineStr">
        <is>
          <t>Canada</t>
        </is>
      </c>
    </row>
    <row r="46">
      <c r="O46" s="63" t="inlineStr">
        <is>
          <t>CCK</t>
        </is>
      </c>
      <c r="P46" s="63" t="inlineStr">
        <is>
          <t>Cocos (Keeling) Islands</t>
        </is>
      </c>
    </row>
    <row r="47">
      <c r="O47" s="63" t="inlineStr">
        <is>
          <t>CHE</t>
        </is>
      </c>
      <c r="P47" s="63" t="inlineStr">
        <is>
          <t>Switzerland</t>
        </is>
      </c>
    </row>
    <row r="48">
      <c r="O48" s="63" t="inlineStr">
        <is>
          <t>CHL</t>
        </is>
      </c>
      <c r="P48" s="63" t="inlineStr">
        <is>
          <t>Chile</t>
        </is>
      </c>
    </row>
    <row r="49">
      <c r="O49" s="63" t="inlineStr">
        <is>
          <t>CHN</t>
        </is>
      </c>
      <c r="P49" s="63" t="inlineStr">
        <is>
          <t>China</t>
        </is>
      </c>
    </row>
    <row r="50">
      <c r="O50" s="63" t="inlineStr">
        <is>
          <t>CIV</t>
        </is>
      </c>
      <c r="P50" s="63" t="inlineStr">
        <is>
          <t>Côte d'Ivoire</t>
        </is>
      </c>
    </row>
    <row r="51">
      <c r="O51" s="63" t="inlineStr">
        <is>
          <t>CMR</t>
        </is>
      </c>
      <c r="P51" s="63" t="inlineStr">
        <is>
          <t>Cameroon</t>
        </is>
      </c>
    </row>
    <row r="52">
      <c r="O52" s="63" t="inlineStr">
        <is>
          <t>COD</t>
        </is>
      </c>
      <c r="P52" s="63" t="inlineStr">
        <is>
          <t>Congo, Dem. Rep. Of</t>
        </is>
      </c>
    </row>
    <row r="53">
      <c r="O53" s="63" t="inlineStr">
        <is>
          <t>COG</t>
        </is>
      </c>
      <c r="P53" s="63" t="inlineStr">
        <is>
          <t>Congo</t>
        </is>
      </c>
    </row>
    <row r="54">
      <c r="O54" s="63" t="inlineStr">
        <is>
          <t>COK</t>
        </is>
      </c>
      <c r="P54" s="63" t="inlineStr">
        <is>
          <t>Cook Islands</t>
        </is>
      </c>
    </row>
    <row r="55">
      <c r="O55" s="63" t="inlineStr">
        <is>
          <t>COL</t>
        </is>
      </c>
      <c r="P55" s="63" t="inlineStr">
        <is>
          <t>Colombia</t>
        </is>
      </c>
    </row>
    <row r="56">
      <c r="O56" s="63" t="inlineStr">
        <is>
          <t>COM</t>
        </is>
      </c>
      <c r="P56" s="63" t="inlineStr">
        <is>
          <t>Comoros</t>
        </is>
      </c>
    </row>
    <row r="57">
      <c r="O57" s="63" t="inlineStr">
        <is>
          <t>CPV</t>
        </is>
      </c>
      <c r="P57" s="63" t="inlineStr">
        <is>
          <t>Cape Verde</t>
        </is>
      </c>
    </row>
    <row r="58">
      <c r="O58" s="63" t="inlineStr">
        <is>
          <t>CRI</t>
        </is>
      </c>
      <c r="P58" s="63" t="inlineStr">
        <is>
          <t>Costa Rica</t>
        </is>
      </c>
    </row>
    <row r="59">
      <c r="O59" s="63" t="inlineStr">
        <is>
          <t>CSFR</t>
        </is>
      </c>
      <c r="P59" s="63" t="inlineStr">
        <is>
          <t>Former Czechoslovakia</t>
        </is>
      </c>
    </row>
    <row r="60">
      <c r="O60" s="63" t="inlineStr">
        <is>
          <t>CSFR-CZE</t>
        </is>
      </c>
      <c r="P60" s="63" t="inlineStr">
        <is>
          <t>Czech Republic</t>
        </is>
      </c>
    </row>
    <row r="61">
      <c r="O61" s="63" t="inlineStr">
        <is>
          <t>CSFR-SVK</t>
        </is>
      </c>
      <c r="P61" s="63" t="inlineStr">
        <is>
          <t>Slovak Republic</t>
        </is>
      </c>
    </row>
    <row r="62">
      <c r="O62" s="63" t="inlineStr">
        <is>
          <t>CUB</t>
        </is>
      </c>
      <c r="P62" s="63" t="inlineStr">
        <is>
          <t>Cuba</t>
        </is>
      </c>
    </row>
    <row r="63">
      <c r="O63" s="63" t="inlineStr">
        <is>
          <t>CYM</t>
        </is>
      </c>
      <c r="P63" s="63" t="inlineStr">
        <is>
          <t>Cayman Islands</t>
        </is>
      </c>
    </row>
    <row r="64">
      <c r="O64" s="63" t="inlineStr">
        <is>
          <t>CYP</t>
        </is>
      </c>
      <c r="P64" s="63" t="inlineStr">
        <is>
          <t>Cyprus</t>
        </is>
      </c>
    </row>
    <row r="65">
      <c r="O65" s="63" t="inlineStr">
        <is>
          <t>DEU</t>
        </is>
      </c>
      <c r="P65" s="63" t="inlineStr">
        <is>
          <t>Germany</t>
        </is>
      </c>
    </row>
    <row r="66">
      <c r="O66" s="63" t="inlineStr">
        <is>
          <t>DJI</t>
        </is>
      </c>
      <c r="P66" s="63" t="inlineStr">
        <is>
          <t>Djibouti</t>
        </is>
      </c>
    </row>
    <row r="67">
      <c r="O67" s="63" t="inlineStr">
        <is>
          <t>DMA</t>
        </is>
      </c>
      <c r="P67" s="63" t="inlineStr">
        <is>
          <t>Dominica</t>
        </is>
      </c>
    </row>
    <row r="68">
      <c r="O68" s="63" t="inlineStr">
        <is>
          <t>DNK</t>
        </is>
      </c>
      <c r="P68" s="63" t="inlineStr">
        <is>
          <t>Denmark</t>
        </is>
      </c>
    </row>
    <row r="69">
      <c r="O69" s="63" t="inlineStr">
        <is>
          <t>DOM</t>
        </is>
      </c>
      <c r="P69" s="63" t="inlineStr">
        <is>
          <t>Dominican Republic</t>
        </is>
      </c>
    </row>
    <row r="70">
      <c r="O70" s="63" t="inlineStr">
        <is>
          <t>DZA</t>
        </is>
      </c>
      <c r="P70" s="63" t="inlineStr">
        <is>
          <t>Algeria</t>
        </is>
      </c>
    </row>
    <row r="71">
      <c r="O71" s="63" t="inlineStr">
        <is>
          <t>ECU</t>
        </is>
      </c>
      <c r="P71" s="63" t="inlineStr">
        <is>
          <t>Ecuador</t>
        </is>
      </c>
    </row>
    <row r="72">
      <c r="O72" s="63" t="inlineStr">
        <is>
          <t>EGY</t>
        </is>
      </c>
      <c r="P72" s="63" t="inlineStr">
        <is>
          <t>Egypt</t>
        </is>
      </c>
    </row>
    <row r="73">
      <c r="O73" s="63" t="inlineStr">
        <is>
          <t>ERI</t>
        </is>
      </c>
      <c r="P73" s="63" t="inlineStr">
        <is>
          <t>Eritrea</t>
        </is>
      </c>
    </row>
    <row r="74">
      <c r="O74" s="63" t="inlineStr">
        <is>
          <t>ESH</t>
        </is>
      </c>
      <c r="P74" s="63" t="inlineStr">
        <is>
          <t>Western Sahara</t>
        </is>
      </c>
    </row>
    <row r="75">
      <c r="O75" s="63" t="inlineStr">
        <is>
          <t>ESP</t>
        </is>
      </c>
      <c r="P75" s="63" t="inlineStr">
        <is>
          <t>Spain</t>
        </is>
      </c>
    </row>
    <row r="76">
      <c r="O76" s="63" t="inlineStr">
        <is>
          <t>ETH</t>
        </is>
      </c>
      <c r="P76" s="63" t="inlineStr">
        <is>
          <t>Ethiopia</t>
        </is>
      </c>
    </row>
    <row r="77">
      <c r="O77" s="63" t="inlineStr">
        <is>
          <t>EURO</t>
        </is>
      </c>
      <c r="P77" s="63" t="inlineStr">
        <is>
          <t>Europe</t>
        </is>
      </c>
    </row>
    <row r="78">
      <c r="O78" s="63" t="inlineStr">
        <is>
          <t>FIN</t>
        </is>
      </c>
      <c r="P78" s="63" t="inlineStr">
        <is>
          <t>Finland</t>
        </is>
      </c>
    </row>
    <row r="79">
      <c r="O79" s="63" t="inlineStr">
        <is>
          <t>FJI</t>
        </is>
      </c>
      <c r="P79" s="63" t="inlineStr">
        <is>
          <t>Fiji</t>
        </is>
      </c>
    </row>
    <row r="80">
      <c r="O80" s="63" t="inlineStr">
        <is>
          <t>FLK</t>
        </is>
      </c>
      <c r="P80" s="63" t="inlineStr">
        <is>
          <t>Falkland Islands</t>
        </is>
      </c>
    </row>
    <row r="81">
      <c r="O81" s="63" t="inlineStr">
        <is>
          <t>FRA</t>
        </is>
      </c>
      <c r="P81" s="63" t="inlineStr">
        <is>
          <t>France</t>
        </is>
      </c>
    </row>
    <row r="82">
      <c r="O82" s="63" t="inlineStr">
        <is>
          <t>FSM</t>
        </is>
      </c>
      <c r="P82" s="63" t="inlineStr">
        <is>
          <t>Micronesia, Federated states of</t>
        </is>
      </c>
    </row>
    <row r="83">
      <c r="O83" s="63" t="inlineStr">
        <is>
          <t>FYUG</t>
        </is>
      </c>
      <c r="P83" s="63" t="inlineStr">
        <is>
          <t>Former Yugoslavia</t>
        </is>
      </c>
    </row>
    <row r="84">
      <c r="O84" s="63" t="inlineStr">
        <is>
          <t>FYUG-BIH</t>
        </is>
      </c>
      <c r="P84" s="63" t="inlineStr">
        <is>
          <t>Bosnia-Herzegovina</t>
        </is>
      </c>
    </row>
    <row r="85">
      <c r="O85" s="63" t="inlineStr">
        <is>
          <t>FYUG-HRV</t>
        </is>
      </c>
      <c r="P85" s="63" t="inlineStr">
        <is>
          <t>Croatia</t>
        </is>
      </c>
    </row>
    <row r="86">
      <c r="O86" s="63" t="inlineStr">
        <is>
          <t>FYUG-MKD</t>
        </is>
      </c>
      <c r="P86" s="63" t="inlineStr">
        <is>
          <t>Macedonia</t>
        </is>
      </c>
    </row>
    <row r="87">
      <c r="O87" s="63" t="inlineStr">
        <is>
          <t>FYUG-SVN</t>
        </is>
      </c>
      <c r="P87" s="63" t="inlineStr">
        <is>
          <t>Slovenia</t>
        </is>
      </c>
    </row>
    <row r="88">
      <c r="O88" s="63" t="inlineStr">
        <is>
          <t>FYUG-YUG</t>
        </is>
      </c>
      <c r="P88" s="63" t="inlineStr">
        <is>
          <t>Serbia and Montenegro</t>
        </is>
      </c>
    </row>
    <row r="89">
      <c r="O89" s="63" t="inlineStr">
        <is>
          <t>GAB</t>
        </is>
      </c>
      <c r="P89" s="63" t="inlineStr">
        <is>
          <t>Gabon</t>
        </is>
      </c>
    </row>
    <row r="90">
      <c r="O90" s="63" t="inlineStr">
        <is>
          <t>GBR</t>
        </is>
      </c>
      <c r="P90" s="63" t="inlineStr">
        <is>
          <t>United Kingdom</t>
        </is>
      </c>
    </row>
    <row r="91">
      <c r="O91" s="63" t="inlineStr">
        <is>
          <t>GHA</t>
        </is>
      </c>
      <c r="P91" s="63" t="inlineStr">
        <is>
          <t>Ghana</t>
        </is>
      </c>
    </row>
    <row r="92">
      <c r="O92" s="63" t="inlineStr">
        <is>
          <t>GIB</t>
        </is>
      </c>
      <c r="P92" s="63" t="inlineStr">
        <is>
          <t>Gibraltar</t>
        </is>
      </c>
    </row>
    <row r="93">
      <c r="O93" s="63" t="inlineStr">
        <is>
          <t>GIN</t>
        </is>
      </c>
      <c r="P93" s="63" t="inlineStr">
        <is>
          <t>Guinea</t>
        </is>
      </c>
    </row>
    <row r="94">
      <c r="O94" s="63" t="inlineStr">
        <is>
          <t>GMB</t>
        </is>
      </c>
      <c r="P94" s="63" t="inlineStr">
        <is>
          <t>Gambia</t>
        </is>
      </c>
    </row>
    <row r="95">
      <c r="O95" s="63" t="inlineStr">
        <is>
          <t>GNB</t>
        </is>
      </c>
      <c r="P95" s="63" t="inlineStr">
        <is>
          <t>Guinea-Bissau</t>
        </is>
      </c>
    </row>
    <row r="96">
      <c r="O96" s="63" t="inlineStr">
        <is>
          <t>GNQ</t>
        </is>
      </c>
      <c r="P96" s="63" t="inlineStr">
        <is>
          <t>Equatorial Guinea</t>
        </is>
      </c>
    </row>
    <row r="97">
      <c r="O97" s="63" t="inlineStr">
        <is>
          <t>GRC</t>
        </is>
      </c>
      <c r="P97" s="63" t="inlineStr">
        <is>
          <t>Greece</t>
        </is>
      </c>
    </row>
    <row r="98">
      <c r="O98" s="63" t="inlineStr">
        <is>
          <t>GRD</t>
        </is>
      </c>
      <c r="P98" s="63" t="inlineStr">
        <is>
          <t>Grenada</t>
        </is>
      </c>
    </row>
    <row r="99">
      <c r="O99" s="63" t="inlineStr">
        <is>
          <t>GTM</t>
        </is>
      </c>
      <c r="P99" s="63" t="inlineStr">
        <is>
          <t>Guatemala</t>
        </is>
      </c>
    </row>
    <row r="100">
      <c r="O100" s="63" t="inlineStr">
        <is>
          <t>GUM</t>
        </is>
      </c>
      <c r="P100" s="63" t="inlineStr">
        <is>
          <t>Guam</t>
        </is>
      </c>
    </row>
    <row r="101">
      <c r="O101" s="63" t="inlineStr">
        <is>
          <t>GUY</t>
        </is>
      </c>
      <c r="P101" s="63" t="inlineStr">
        <is>
          <t>Guyana</t>
        </is>
      </c>
    </row>
    <row r="102">
      <c r="O102" s="63" t="inlineStr">
        <is>
          <t>HKG</t>
        </is>
      </c>
      <c r="P102" s="63" t="inlineStr">
        <is>
          <t>Hong Kong</t>
        </is>
      </c>
    </row>
    <row r="103">
      <c r="O103" s="63" t="inlineStr">
        <is>
          <t>HND</t>
        </is>
      </c>
      <c r="P103" s="63" t="inlineStr">
        <is>
          <t>Honduras</t>
        </is>
      </c>
    </row>
    <row r="104">
      <c r="O104" s="63" t="inlineStr">
        <is>
          <t>HTI</t>
        </is>
      </c>
      <c r="P104" s="63" t="inlineStr">
        <is>
          <t>Haiti</t>
        </is>
      </c>
    </row>
    <row r="105">
      <c r="O105" s="63" t="inlineStr">
        <is>
          <t>HUN</t>
        </is>
      </c>
      <c r="P105" s="63" t="inlineStr">
        <is>
          <t>Hungary</t>
        </is>
      </c>
    </row>
    <row r="106">
      <c r="O106" s="63" t="inlineStr">
        <is>
          <t>IDN</t>
        </is>
      </c>
      <c r="P106" s="63" t="inlineStr">
        <is>
          <t>Indonesia</t>
        </is>
      </c>
    </row>
    <row r="107">
      <c r="O107" s="63" t="inlineStr">
        <is>
          <t>IND</t>
        </is>
      </c>
      <c r="P107" s="63" t="inlineStr">
        <is>
          <t>India</t>
        </is>
      </c>
    </row>
    <row r="108">
      <c r="O108" s="63" t="inlineStr">
        <is>
          <t>IOT</t>
        </is>
      </c>
      <c r="P108" s="63" t="inlineStr">
        <is>
          <t>British Indian Ocean Territory</t>
        </is>
      </c>
    </row>
    <row r="109">
      <c r="O109" s="63" t="inlineStr">
        <is>
          <t>IRL</t>
        </is>
      </c>
      <c r="P109" s="63" t="inlineStr">
        <is>
          <t>Ireland</t>
        </is>
      </c>
    </row>
    <row r="110">
      <c r="O110" s="63" t="inlineStr">
        <is>
          <t>IRN</t>
        </is>
      </c>
      <c r="P110" s="63" t="inlineStr">
        <is>
          <t>Iran</t>
        </is>
      </c>
    </row>
    <row r="111">
      <c r="O111" s="63" t="inlineStr">
        <is>
          <t>IRQ</t>
        </is>
      </c>
      <c r="P111" s="63" t="inlineStr">
        <is>
          <t>Iraq</t>
        </is>
      </c>
    </row>
    <row r="112">
      <c r="O112" s="63" t="inlineStr">
        <is>
          <t>ISL</t>
        </is>
      </c>
      <c r="P112" s="63" t="inlineStr">
        <is>
          <t>Iceland</t>
        </is>
      </c>
    </row>
    <row r="113">
      <c r="O113" s="63" t="inlineStr">
        <is>
          <t>ISR</t>
        </is>
      </c>
      <c r="P113" s="63" t="inlineStr">
        <is>
          <t>Israel</t>
        </is>
      </c>
    </row>
    <row r="114">
      <c r="O114" s="63" t="inlineStr">
        <is>
          <t>ITA</t>
        </is>
      </c>
      <c r="P114" s="63" t="inlineStr">
        <is>
          <t>Italy</t>
        </is>
      </c>
    </row>
    <row r="115">
      <c r="O115" s="63" t="inlineStr">
        <is>
          <t>JAM</t>
        </is>
      </c>
      <c r="P115" s="63" t="inlineStr">
        <is>
          <t>Jamaica</t>
        </is>
      </c>
    </row>
    <row r="116">
      <c r="O116" s="63" t="inlineStr">
        <is>
          <t>JOR</t>
        </is>
      </c>
      <c r="P116" s="63" t="inlineStr">
        <is>
          <t>Jordan</t>
        </is>
      </c>
    </row>
    <row r="117">
      <c r="O117" s="63" t="inlineStr">
        <is>
          <t>JPN</t>
        </is>
      </c>
      <c r="P117" s="63" t="inlineStr">
        <is>
          <t>Japan</t>
        </is>
      </c>
    </row>
    <row r="118">
      <c r="O118" s="63" t="inlineStr">
        <is>
          <t>KEN</t>
        </is>
      </c>
      <c r="P118" s="63" t="inlineStr">
        <is>
          <t>Kenya</t>
        </is>
      </c>
    </row>
    <row r="119">
      <c r="O119" s="63" t="inlineStr">
        <is>
          <t>KHM</t>
        </is>
      </c>
      <c r="P119" s="63" t="inlineStr">
        <is>
          <t>Cambodia</t>
        </is>
      </c>
    </row>
    <row r="120">
      <c r="O120" s="63" t="inlineStr">
        <is>
          <t>KIR</t>
        </is>
      </c>
      <c r="P120" s="63" t="inlineStr">
        <is>
          <t>Kiribati</t>
        </is>
      </c>
    </row>
    <row r="121">
      <c r="O121" s="63" t="inlineStr">
        <is>
          <t>KNA</t>
        </is>
      </c>
      <c r="P121" s="63" t="inlineStr">
        <is>
          <t>Saint Kitts and Nevis</t>
        </is>
      </c>
    </row>
    <row r="122">
      <c r="O122" s="63" t="inlineStr">
        <is>
          <t>KOREA-NO</t>
        </is>
      </c>
      <c r="P122" s="63" t="inlineStr">
        <is>
          <t>North Korea</t>
        </is>
      </c>
    </row>
    <row r="123">
      <c r="O123" s="63" t="inlineStr">
        <is>
          <t>KOREA-NS</t>
        </is>
      </c>
      <c r="P123" s="63" t="inlineStr">
        <is>
          <t>South Korea</t>
        </is>
      </c>
    </row>
    <row r="124">
      <c r="O124" s="63" t="inlineStr">
        <is>
          <t>KOREA-SO</t>
        </is>
      </c>
      <c r="P124" s="63" t="inlineStr">
        <is>
          <t>North and South Korea</t>
        </is>
      </c>
    </row>
    <row r="125">
      <c r="O125" s="63" t="inlineStr">
        <is>
          <t>KWT</t>
        </is>
      </c>
      <c r="P125" s="63" t="inlineStr">
        <is>
          <t>Kuwait</t>
        </is>
      </c>
    </row>
    <row r="126">
      <c r="O126" s="63" t="inlineStr">
        <is>
          <t>LAO</t>
        </is>
      </c>
      <c r="P126" s="63" t="inlineStr">
        <is>
          <t>Laos</t>
        </is>
      </c>
    </row>
    <row r="127">
      <c r="O127" s="63" t="inlineStr">
        <is>
          <t>LBN</t>
        </is>
      </c>
      <c r="P127" s="63" t="inlineStr">
        <is>
          <t>Lebanon</t>
        </is>
      </c>
    </row>
    <row r="128">
      <c r="O128" s="63" t="inlineStr">
        <is>
          <t>LBR</t>
        </is>
      </c>
      <c r="P128" s="63" t="inlineStr">
        <is>
          <t>Liberia</t>
        </is>
      </c>
    </row>
    <row r="129">
      <c r="O129" s="63" t="inlineStr">
        <is>
          <t>LBY</t>
        </is>
      </c>
      <c r="P129" s="63" t="inlineStr">
        <is>
          <t>Libya</t>
        </is>
      </c>
    </row>
    <row r="130">
      <c r="O130" s="63" t="inlineStr">
        <is>
          <t>LCA</t>
        </is>
      </c>
      <c r="P130" s="63" t="inlineStr">
        <is>
          <t>Saint Lucia</t>
        </is>
      </c>
    </row>
    <row r="131">
      <c r="O131" s="63" t="inlineStr">
        <is>
          <t>LIE</t>
        </is>
      </c>
      <c r="P131" s="63" t="inlineStr">
        <is>
          <t>Liechtenstein</t>
        </is>
      </c>
    </row>
    <row r="132">
      <c r="O132" s="63" t="inlineStr">
        <is>
          <t>LKA</t>
        </is>
      </c>
      <c r="P132" s="63" t="inlineStr">
        <is>
          <t>Sri Lanka</t>
        </is>
      </c>
    </row>
    <row r="133">
      <c r="O133" s="63" t="inlineStr">
        <is>
          <t>LSO</t>
        </is>
      </c>
      <c r="P133" s="63" t="inlineStr">
        <is>
          <t>Lesotho</t>
        </is>
      </c>
    </row>
    <row r="134">
      <c r="O134" s="63" t="inlineStr">
        <is>
          <t>LUX</t>
        </is>
      </c>
      <c r="P134" s="63" t="inlineStr">
        <is>
          <t>Luxembourg</t>
        </is>
      </c>
    </row>
    <row r="135">
      <c r="O135" s="63" t="inlineStr">
        <is>
          <t>MAC</t>
        </is>
      </c>
      <c r="P135" s="63" t="inlineStr">
        <is>
          <t>Macau</t>
        </is>
      </c>
    </row>
    <row r="136">
      <c r="O136" s="63" t="inlineStr">
        <is>
          <t>MAR</t>
        </is>
      </c>
      <c r="P136" s="63" t="inlineStr">
        <is>
          <t>Morocco</t>
        </is>
      </c>
    </row>
    <row r="137">
      <c r="O137" s="63" t="inlineStr">
        <is>
          <t>MCO</t>
        </is>
      </c>
      <c r="P137" s="63" t="inlineStr">
        <is>
          <t>Monaco</t>
        </is>
      </c>
    </row>
    <row r="138">
      <c r="O138" s="63" t="inlineStr">
        <is>
          <t>MDG</t>
        </is>
      </c>
      <c r="P138" s="63" t="inlineStr">
        <is>
          <t>Madagascar</t>
        </is>
      </c>
    </row>
    <row r="139">
      <c r="O139" s="63" t="inlineStr">
        <is>
          <t>MDV</t>
        </is>
      </c>
      <c r="P139" s="63" t="inlineStr">
        <is>
          <t>Maldives</t>
        </is>
      </c>
    </row>
    <row r="140">
      <c r="O140" s="63" t="inlineStr">
        <is>
          <t>MEX</t>
        </is>
      </c>
      <c r="P140" s="63" t="inlineStr">
        <is>
          <t>Mexico</t>
        </is>
      </c>
    </row>
    <row r="141">
      <c r="O141" s="63" t="inlineStr">
        <is>
          <t>MHL</t>
        </is>
      </c>
      <c r="P141" s="63" t="inlineStr">
        <is>
          <t>Marshall Islands</t>
        </is>
      </c>
    </row>
    <row r="142">
      <c r="O142" s="63" t="inlineStr">
        <is>
          <t>MLI</t>
        </is>
      </c>
      <c r="P142" s="63" t="inlineStr">
        <is>
          <t>Mali</t>
        </is>
      </c>
    </row>
    <row r="143">
      <c r="O143" s="63" t="inlineStr">
        <is>
          <t>MLT</t>
        </is>
      </c>
      <c r="P143" s="63" t="inlineStr">
        <is>
          <t>Malta</t>
        </is>
      </c>
    </row>
    <row r="144">
      <c r="O144" s="63" t="inlineStr">
        <is>
          <t>MMR</t>
        </is>
      </c>
      <c r="P144" s="63" t="inlineStr">
        <is>
          <t>Myanmar</t>
        </is>
      </c>
    </row>
    <row r="145">
      <c r="O145" s="63" t="inlineStr">
        <is>
          <t>MNG</t>
        </is>
      </c>
      <c r="P145" s="63" t="inlineStr">
        <is>
          <t>Mongolia</t>
        </is>
      </c>
    </row>
    <row r="146">
      <c r="O146" s="63" t="inlineStr">
        <is>
          <t>MNP</t>
        </is>
      </c>
      <c r="P146" s="63" t="inlineStr">
        <is>
          <t>Northern Mariana Islands</t>
        </is>
      </c>
    </row>
    <row r="147">
      <c r="O147" s="63" t="inlineStr">
        <is>
          <t>MOZ</t>
        </is>
      </c>
      <c r="P147" s="63" t="inlineStr">
        <is>
          <t>Mozambique</t>
        </is>
      </c>
    </row>
    <row r="148">
      <c r="O148" s="63" t="inlineStr">
        <is>
          <t>MRT</t>
        </is>
      </c>
      <c r="P148" s="63" t="inlineStr">
        <is>
          <t>Mauritania</t>
        </is>
      </c>
    </row>
    <row r="149">
      <c r="O149" s="63" t="inlineStr">
        <is>
          <t>MSR</t>
        </is>
      </c>
      <c r="P149" s="63" t="inlineStr">
        <is>
          <t>Montserrat</t>
        </is>
      </c>
    </row>
    <row r="150">
      <c r="O150" s="63" t="inlineStr">
        <is>
          <t>MUS</t>
        </is>
      </c>
      <c r="P150" s="63" t="inlineStr">
        <is>
          <t>Mauritius</t>
        </is>
      </c>
    </row>
    <row r="151">
      <c r="O151" s="63" t="inlineStr">
        <is>
          <t>MWI</t>
        </is>
      </c>
      <c r="P151" s="63" t="inlineStr">
        <is>
          <t>Malawi</t>
        </is>
      </c>
    </row>
    <row r="152">
      <c r="O152" s="63" t="inlineStr">
        <is>
          <t>MYS</t>
        </is>
      </c>
      <c r="P152" s="63" t="inlineStr">
        <is>
          <t>Malaysia</t>
        </is>
      </c>
    </row>
    <row r="153">
      <c r="O153" s="63" t="inlineStr">
        <is>
          <t>NAM</t>
        </is>
      </c>
      <c r="P153" s="63" t="inlineStr">
        <is>
          <t>Namibia</t>
        </is>
      </c>
    </row>
    <row r="154">
      <c r="O154" s="63" t="inlineStr">
        <is>
          <t>NER</t>
        </is>
      </c>
      <c r="P154" s="63" t="inlineStr">
        <is>
          <t>Niger</t>
        </is>
      </c>
    </row>
    <row r="155">
      <c r="O155" s="63" t="inlineStr">
        <is>
          <t>NFK</t>
        </is>
      </c>
      <c r="P155" s="63" t="inlineStr">
        <is>
          <t>Norfolk Islands</t>
        </is>
      </c>
    </row>
    <row r="156">
      <c r="O156" s="63" t="inlineStr">
        <is>
          <t>NGA</t>
        </is>
      </c>
      <c r="P156" s="63" t="inlineStr">
        <is>
          <t>Nigeria</t>
        </is>
      </c>
    </row>
    <row r="157">
      <c r="O157" s="63" t="inlineStr">
        <is>
          <t>NIC</t>
        </is>
      </c>
      <c r="P157" s="63" t="inlineStr">
        <is>
          <t>Nicaragua</t>
        </is>
      </c>
    </row>
    <row r="158">
      <c r="O158" s="63" t="inlineStr">
        <is>
          <t>NIU</t>
        </is>
      </c>
      <c r="P158" s="63" t="inlineStr">
        <is>
          <t>Niue</t>
        </is>
      </c>
    </row>
    <row r="159">
      <c r="O159" s="63" t="inlineStr">
        <is>
          <t>NLD</t>
        </is>
      </c>
      <c r="P159" s="63" t="inlineStr">
        <is>
          <t>Netherlands</t>
        </is>
      </c>
    </row>
    <row r="160">
      <c r="O160" s="63" t="inlineStr">
        <is>
          <t>NOAM</t>
        </is>
      </c>
      <c r="P160" s="63" t="inlineStr">
        <is>
          <t>North America</t>
        </is>
      </c>
    </row>
    <row r="161">
      <c r="O161" s="63" t="inlineStr">
        <is>
          <t>NOR</t>
        </is>
      </c>
      <c r="P161" s="63" t="inlineStr">
        <is>
          <t>Norway</t>
        </is>
      </c>
    </row>
    <row r="162">
      <c r="O162" s="63" t="inlineStr">
        <is>
          <t>NPL</t>
        </is>
      </c>
      <c r="P162" s="63" t="inlineStr">
        <is>
          <t>Nepal</t>
        </is>
      </c>
    </row>
    <row r="163">
      <c r="O163" s="63" t="inlineStr">
        <is>
          <t>NRU</t>
        </is>
      </c>
      <c r="P163" s="63" t="inlineStr">
        <is>
          <t>Nauru</t>
        </is>
      </c>
    </row>
    <row r="164">
      <c r="O164" s="63" t="inlineStr">
        <is>
          <t>NZL</t>
        </is>
      </c>
      <c r="P164" s="63" t="inlineStr">
        <is>
          <t>New Zealand</t>
        </is>
      </c>
    </row>
    <row r="165">
      <c r="O165" s="63" t="inlineStr">
        <is>
          <t>OCEA</t>
        </is>
      </c>
      <c r="P165" s="63" t="inlineStr">
        <is>
          <t>Oceania</t>
        </is>
      </c>
    </row>
    <row r="166">
      <c r="O166" s="63" t="inlineStr">
        <is>
          <t>OMN</t>
        </is>
      </c>
      <c r="P166" s="63" t="inlineStr">
        <is>
          <t>Oman</t>
        </is>
      </c>
    </row>
    <row r="167">
      <c r="O167" s="63" t="inlineStr">
        <is>
          <t>OTH</t>
        </is>
      </c>
      <c r="P167" s="63" t="inlineStr">
        <is>
          <t>Other</t>
        </is>
      </c>
    </row>
    <row r="168">
      <c r="O168" s="63" t="inlineStr">
        <is>
          <t>PAK</t>
        </is>
      </c>
      <c r="P168" s="63" t="inlineStr">
        <is>
          <t>Pakistan</t>
        </is>
      </c>
    </row>
    <row r="169">
      <c r="O169" s="63" t="inlineStr">
        <is>
          <t>PAN</t>
        </is>
      </c>
      <c r="P169" s="63" t="inlineStr">
        <is>
          <t>Panama</t>
        </is>
      </c>
    </row>
    <row r="170">
      <c r="O170" s="63" t="inlineStr">
        <is>
          <t>PCN</t>
        </is>
      </c>
      <c r="P170" s="63" t="inlineStr">
        <is>
          <t>Pitcairn</t>
        </is>
      </c>
    </row>
    <row r="171">
      <c r="O171" s="63" t="inlineStr">
        <is>
          <t>PER</t>
        </is>
      </c>
      <c r="P171" s="63" t="inlineStr">
        <is>
          <t>Peru</t>
        </is>
      </c>
    </row>
    <row r="172">
      <c r="O172" s="63" t="inlineStr">
        <is>
          <t>PHL</t>
        </is>
      </c>
      <c r="P172" s="63" t="inlineStr">
        <is>
          <t>Philippines</t>
        </is>
      </c>
    </row>
    <row r="173">
      <c r="O173" s="63" t="inlineStr">
        <is>
          <t>PLW</t>
        </is>
      </c>
      <c r="P173" s="63" t="inlineStr">
        <is>
          <t>Pacific Islands (Palau)</t>
        </is>
      </c>
    </row>
    <row r="174">
      <c r="O174" s="63" t="inlineStr">
        <is>
          <t>PNG</t>
        </is>
      </c>
      <c r="P174" s="63" t="inlineStr">
        <is>
          <t>Papua New Guinea</t>
        </is>
      </c>
    </row>
    <row r="175">
      <c r="O175" s="63" t="inlineStr">
        <is>
          <t>POL</t>
        </is>
      </c>
      <c r="P175" s="63" t="inlineStr">
        <is>
          <t>Poland</t>
        </is>
      </c>
    </row>
    <row r="176">
      <c r="O176" s="63" t="inlineStr">
        <is>
          <t>PRI</t>
        </is>
      </c>
      <c r="P176" s="63" t="inlineStr">
        <is>
          <t>Puerto Rico</t>
        </is>
      </c>
    </row>
    <row r="177">
      <c r="O177" s="63" t="inlineStr">
        <is>
          <t>PRT</t>
        </is>
      </c>
      <c r="P177" s="63" t="inlineStr">
        <is>
          <t>Portugal</t>
        </is>
      </c>
    </row>
    <row r="178">
      <c r="O178" s="63" t="inlineStr">
        <is>
          <t>PRY</t>
        </is>
      </c>
      <c r="P178" s="63" t="inlineStr">
        <is>
          <t>Paraguay</t>
        </is>
      </c>
    </row>
    <row r="179">
      <c r="O179" s="63" t="inlineStr">
        <is>
          <t>PSE</t>
        </is>
      </c>
      <c r="P179" s="63" t="inlineStr">
        <is>
          <t>Occupied Palestinian Territory</t>
        </is>
      </c>
    </row>
    <row r="180">
      <c r="O180" s="63" t="inlineStr">
        <is>
          <t>QAT</t>
        </is>
      </c>
      <c r="P180" s="63" t="inlineStr">
        <is>
          <t>Qatar</t>
        </is>
      </c>
    </row>
    <row r="181">
      <c r="O181" s="63" t="inlineStr">
        <is>
          <t>ROU</t>
        </is>
      </c>
      <c r="P181" s="63" t="inlineStr">
        <is>
          <t>Romania</t>
        </is>
      </c>
    </row>
    <row r="182">
      <c r="O182" s="63" t="inlineStr">
        <is>
          <t>RWA</t>
        </is>
      </c>
      <c r="P182" s="63" t="inlineStr">
        <is>
          <t>Rwanda</t>
        </is>
      </c>
    </row>
    <row r="183">
      <c r="O183" s="63" t="inlineStr">
        <is>
          <t>SAU</t>
        </is>
      </c>
      <c r="P183" s="63" t="inlineStr">
        <is>
          <t>Saudi Arabia</t>
        </is>
      </c>
    </row>
    <row r="184">
      <c r="O184" s="63" t="inlineStr">
        <is>
          <t>SCAC</t>
        </is>
      </c>
      <c r="P184" s="63" t="inlineStr">
        <is>
          <t>South and Central America</t>
        </is>
      </c>
    </row>
    <row r="185">
      <c r="O185" s="63" t="inlineStr">
        <is>
          <t>SDN</t>
        </is>
      </c>
      <c r="P185" s="63" t="inlineStr">
        <is>
          <t>Sudan</t>
        </is>
      </c>
    </row>
    <row r="186">
      <c r="O186" s="63" t="inlineStr">
        <is>
          <t>SEN</t>
        </is>
      </c>
      <c r="P186" s="63" t="inlineStr">
        <is>
          <t>Senegal</t>
        </is>
      </c>
    </row>
    <row r="187">
      <c r="O187" s="63" t="inlineStr">
        <is>
          <t>SGP</t>
        </is>
      </c>
      <c r="P187" s="63" t="inlineStr">
        <is>
          <t>Singapore</t>
        </is>
      </c>
    </row>
    <row r="188">
      <c r="O188" s="63" t="inlineStr">
        <is>
          <t>SHN</t>
        </is>
      </c>
      <c r="P188" s="63" t="inlineStr">
        <is>
          <t>Saint Helena</t>
        </is>
      </c>
    </row>
    <row r="189">
      <c r="O189" s="63" t="inlineStr">
        <is>
          <t>SJM</t>
        </is>
      </c>
      <c r="P189" s="63" t="inlineStr">
        <is>
          <t>Svalbard and Jan Mayen Islands</t>
        </is>
      </c>
    </row>
    <row r="190">
      <c r="O190" s="63" t="inlineStr">
        <is>
          <t>SLB</t>
        </is>
      </c>
      <c r="P190" s="63" t="inlineStr">
        <is>
          <t>Solomon Islands</t>
        </is>
      </c>
    </row>
    <row r="191">
      <c r="O191" s="63" t="inlineStr">
        <is>
          <t>SLE</t>
        </is>
      </c>
      <c r="P191" s="63" t="inlineStr">
        <is>
          <t>Sierra Leone</t>
        </is>
      </c>
    </row>
    <row r="192">
      <c r="O192" s="63" t="inlineStr">
        <is>
          <t>SLV</t>
        </is>
      </c>
      <c r="P192" s="63" t="inlineStr">
        <is>
          <t>El Salvador</t>
        </is>
      </c>
    </row>
    <row r="193">
      <c r="O193" s="63" t="inlineStr">
        <is>
          <t>SMR</t>
        </is>
      </c>
      <c r="P193" s="63" t="inlineStr">
        <is>
          <t>San Marino</t>
        </is>
      </c>
    </row>
    <row r="194">
      <c r="O194" s="63" t="inlineStr">
        <is>
          <t>SOM</t>
        </is>
      </c>
      <c r="P194" s="63" t="inlineStr">
        <is>
          <t>Somalia</t>
        </is>
      </c>
    </row>
    <row r="195">
      <c r="O195" s="63" t="inlineStr">
        <is>
          <t>STP</t>
        </is>
      </c>
      <c r="P195" s="63" t="inlineStr">
        <is>
          <t>Sao Tome and Principe</t>
        </is>
      </c>
    </row>
    <row r="196">
      <c r="O196" s="63" t="inlineStr">
        <is>
          <t>SUR</t>
        </is>
      </c>
      <c r="P196" s="63" t="inlineStr">
        <is>
          <t>Suriname</t>
        </is>
      </c>
    </row>
    <row r="197">
      <c r="O197" s="63" t="inlineStr">
        <is>
          <t>SWE</t>
        </is>
      </c>
      <c r="P197" s="63" t="inlineStr">
        <is>
          <t>Sweden</t>
        </is>
      </c>
    </row>
    <row r="198">
      <c r="O198" s="63" t="inlineStr">
        <is>
          <t>SWZ</t>
        </is>
      </c>
      <c r="P198" s="63" t="inlineStr">
        <is>
          <t>Swaziland</t>
        </is>
      </c>
    </row>
    <row r="199">
      <c r="O199" s="63" t="inlineStr">
        <is>
          <t>SYC</t>
        </is>
      </c>
      <c r="P199" s="63" t="inlineStr">
        <is>
          <t>Seychelles</t>
        </is>
      </c>
    </row>
    <row r="200">
      <c r="O200" s="63" t="inlineStr">
        <is>
          <t>SYR</t>
        </is>
      </c>
      <c r="P200" s="63" t="inlineStr">
        <is>
          <t>Syria</t>
        </is>
      </c>
    </row>
    <row r="201">
      <c r="O201" s="63" t="inlineStr">
        <is>
          <t>TCA</t>
        </is>
      </c>
      <c r="P201" s="63" t="inlineStr">
        <is>
          <t>Turks and Caicos Islands</t>
        </is>
      </c>
    </row>
    <row r="202">
      <c r="O202" s="63" t="inlineStr">
        <is>
          <t>TCD</t>
        </is>
      </c>
      <c r="P202" s="63" t="inlineStr">
        <is>
          <t>Chad</t>
        </is>
      </c>
    </row>
    <row r="203">
      <c r="O203" s="63" t="inlineStr">
        <is>
          <t>TGO</t>
        </is>
      </c>
      <c r="P203" s="63" t="inlineStr">
        <is>
          <t>Togo</t>
        </is>
      </c>
    </row>
    <row r="204">
      <c r="O204" s="63" t="inlineStr">
        <is>
          <t>THA</t>
        </is>
      </c>
      <c r="P204" s="63" t="inlineStr">
        <is>
          <t>Thailand</t>
        </is>
      </c>
    </row>
    <row r="205">
      <c r="O205" s="63" t="inlineStr">
        <is>
          <t>TKL</t>
        </is>
      </c>
      <c r="P205" s="63" t="inlineStr">
        <is>
          <t>Tokelau</t>
        </is>
      </c>
    </row>
    <row r="206">
      <c r="O206" s="63" t="inlineStr">
        <is>
          <t>TLS</t>
        </is>
      </c>
      <c r="P206" s="63" t="inlineStr">
        <is>
          <t>Timor-Leste</t>
        </is>
      </c>
    </row>
    <row r="207">
      <c r="O207" s="63" t="inlineStr">
        <is>
          <t>TMP</t>
        </is>
      </c>
      <c r="P207" s="63" t="inlineStr">
        <is>
          <t>East Timor</t>
        </is>
      </c>
    </row>
    <row r="208">
      <c r="O208" s="63" t="inlineStr">
        <is>
          <t>TON</t>
        </is>
      </c>
      <c r="P208" s="63" t="inlineStr">
        <is>
          <t>Tonga</t>
        </is>
      </c>
    </row>
    <row r="209">
      <c r="O209" s="63" t="inlineStr">
        <is>
          <t>TTO</t>
        </is>
      </c>
      <c r="P209" s="63" t="inlineStr">
        <is>
          <t>Trinidad and Tobago</t>
        </is>
      </c>
    </row>
    <row r="210">
      <c r="O210" s="63" t="inlineStr">
        <is>
          <t>TUN</t>
        </is>
      </c>
      <c r="P210" s="63" t="inlineStr">
        <is>
          <t>Tunisia</t>
        </is>
      </c>
    </row>
    <row r="211">
      <c r="O211" s="63" t="inlineStr">
        <is>
          <t>TUR</t>
        </is>
      </c>
      <c r="P211" s="63" t="inlineStr">
        <is>
          <t>Turkey</t>
        </is>
      </c>
    </row>
    <row r="212">
      <c r="O212" s="63" t="inlineStr">
        <is>
          <t>TUV</t>
        </is>
      </c>
      <c r="P212" s="63" t="inlineStr">
        <is>
          <t>Tuvalu</t>
        </is>
      </c>
    </row>
    <row r="213">
      <c r="O213" s="63" t="inlineStr">
        <is>
          <t>TWN</t>
        </is>
      </c>
      <c r="P213" s="63" t="inlineStr">
        <is>
          <t>Chinese Taipei</t>
        </is>
      </c>
    </row>
    <row r="214">
      <c r="O214" s="63" t="inlineStr">
        <is>
          <t>TZA</t>
        </is>
      </c>
      <c r="P214" s="63" t="inlineStr">
        <is>
          <t>United Republic of Tanzania</t>
        </is>
      </c>
    </row>
    <row r="215">
      <c r="O215" s="63" t="inlineStr">
        <is>
          <t>UGA</t>
        </is>
      </c>
      <c r="P215" s="63" t="inlineStr">
        <is>
          <t>Unknown</t>
        </is>
      </c>
    </row>
    <row r="216">
      <c r="O216" s="63" t="inlineStr">
        <is>
          <t>UNK</t>
        </is>
      </c>
      <c r="P216" s="63" t="inlineStr">
        <is>
          <t>Unknown</t>
        </is>
      </c>
    </row>
    <row r="217">
      <c r="O217" s="63" t="inlineStr">
        <is>
          <t>URY</t>
        </is>
      </c>
      <c r="P217" s="63" t="inlineStr">
        <is>
          <t>Uruguay</t>
        </is>
      </c>
    </row>
    <row r="218">
      <c r="O218" s="63" t="inlineStr">
        <is>
          <t>USA</t>
        </is>
      </c>
      <c r="P218" s="63" t="inlineStr">
        <is>
          <t>United States</t>
        </is>
      </c>
    </row>
    <row r="219">
      <c r="O219" s="63" t="inlineStr">
        <is>
          <t>USSR</t>
        </is>
      </c>
      <c r="P219" s="63" t="inlineStr">
        <is>
          <t>Former USSR</t>
        </is>
      </c>
    </row>
    <row r="220">
      <c r="O220" s="63" t="inlineStr">
        <is>
          <t>USSR-ARM</t>
        </is>
      </c>
      <c r="P220" s="63" t="inlineStr">
        <is>
          <t>Armenia</t>
        </is>
      </c>
    </row>
    <row r="221">
      <c r="O221" s="63" t="inlineStr">
        <is>
          <t>USSR-AZE</t>
        </is>
      </c>
      <c r="P221" s="63" t="inlineStr">
        <is>
          <t>Azerbaidjan</t>
        </is>
      </c>
    </row>
    <row r="222">
      <c r="O222" s="63" t="inlineStr">
        <is>
          <t>USSR-BLR</t>
        </is>
      </c>
      <c r="P222" s="63" t="inlineStr">
        <is>
          <t>Belarus</t>
        </is>
      </c>
    </row>
    <row r="223">
      <c r="O223" s="63" t="inlineStr">
        <is>
          <t>USSR-EST</t>
        </is>
      </c>
      <c r="P223" s="63" t="inlineStr">
        <is>
          <t>Estonia</t>
        </is>
      </c>
    </row>
    <row r="224">
      <c r="O224" s="63" t="inlineStr">
        <is>
          <t>USSR-GEO</t>
        </is>
      </c>
      <c r="P224" s="63" t="inlineStr">
        <is>
          <t>Georgia</t>
        </is>
      </c>
    </row>
    <row r="225">
      <c r="O225" s="63" t="inlineStr">
        <is>
          <t>USSR-KAZ</t>
        </is>
      </c>
      <c r="P225" s="63" t="inlineStr">
        <is>
          <t>Kazakhstan</t>
        </is>
      </c>
    </row>
    <row r="226">
      <c r="O226" s="63" t="inlineStr">
        <is>
          <t>USSR-KGZ</t>
        </is>
      </c>
      <c r="P226" s="63" t="inlineStr">
        <is>
          <t>Kirghizistan</t>
        </is>
      </c>
    </row>
    <row r="227">
      <c r="O227" s="63" t="inlineStr">
        <is>
          <t>USSR-LTU</t>
        </is>
      </c>
      <c r="P227" s="63" t="inlineStr">
        <is>
          <t>Lithuania</t>
        </is>
      </c>
    </row>
    <row r="228">
      <c r="O228" s="63" t="inlineStr">
        <is>
          <t>USSR-LVA</t>
        </is>
      </c>
      <c r="P228" s="63" t="inlineStr">
        <is>
          <t>Latvia</t>
        </is>
      </c>
    </row>
    <row r="229">
      <c r="O229" s="63" t="inlineStr">
        <is>
          <t>USSR-MDA</t>
        </is>
      </c>
      <c r="P229" s="63" t="inlineStr">
        <is>
          <t>Moldova</t>
        </is>
      </c>
    </row>
    <row r="230">
      <c r="O230" s="63" t="inlineStr">
        <is>
          <t>USSR-RUS</t>
        </is>
      </c>
      <c r="P230" s="63" t="inlineStr">
        <is>
          <t>Russia</t>
        </is>
      </c>
    </row>
    <row r="231">
      <c r="O231" s="63" t="inlineStr">
        <is>
          <t>USSR-TJK</t>
        </is>
      </c>
      <c r="P231" s="63" t="inlineStr">
        <is>
          <t>Tadjikistan</t>
        </is>
      </c>
    </row>
    <row r="232">
      <c r="O232" s="63" t="inlineStr">
        <is>
          <t>USSR-TKM</t>
        </is>
      </c>
      <c r="P232" s="63" t="inlineStr">
        <is>
          <t>Turkménistan</t>
        </is>
      </c>
    </row>
    <row r="233">
      <c r="O233" s="63" t="inlineStr">
        <is>
          <t>USSR-UKR</t>
        </is>
      </c>
      <c r="P233" s="63" t="inlineStr">
        <is>
          <t>Ukraine</t>
        </is>
      </c>
    </row>
    <row r="234">
      <c r="O234" s="63" t="inlineStr">
        <is>
          <t>USSR-UZB</t>
        </is>
      </c>
      <c r="P234" s="63" t="inlineStr">
        <is>
          <t>Uzbekistan</t>
        </is>
      </c>
    </row>
    <row r="235">
      <c r="O235" s="63" t="inlineStr">
        <is>
          <t>VAT</t>
        </is>
      </c>
      <c r="P235" s="63" t="inlineStr">
        <is>
          <t>Holy See</t>
        </is>
      </c>
    </row>
    <row r="236">
      <c r="O236" s="63" t="inlineStr">
        <is>
          <t>VCT</t>
        </is>
      </c>
      <c r="P236" s="63" t="inlineStr">
        <is>
          <t>Saint Vincent and the Grenadines</t>
        </is>
      </c>
    </row>
    <row r="237">
      <c r="O237" s="63" t="inlineStr">
        <is>
          <t>VEN</t>
        </is>
      </c>
      <c r="P237" s="63" t="inlineStr">
        <is>
          <t>Venezuela</t>
        </is>
      </c>
    </row>
    <row r="238">
      <c r="O238" s="63" t="inlineStr">
        <is>
          <t>VGB</t>
        </is>
      </c>
      <c r="P238" s="63" t="inlineStr">
        <is>
          <t>British Virgin Islands</t>
        </is>
      </c>
    </row>
    <row r="239">
      <c r="O239" s="63" t="inlineStr">
        <is>
          <t>VIR</t>
        </is>
      </c>
      <c r="P239" s="63" t="inlineStr">
        <is>
          <t>United States Virgin Islands</t>
        </is>
      </c>
    </row>
    <row r="240">
      <c r="O240" s="63" t="inlineStr">
        <is>
          <t>VNM</t>
        </is>
      </c>
      <c r="P240" s="63" t="inlineStr">
        <is>
          <t>Vietnam</t>
        </is>
      </c>
    </row>
    <row r="241">
      <c r="O241" s="63" t="inlineStr">
        <is>
          <t>VUT</t>
        </is>
      </c>
      <c r="P241" s="63" t="inlineStr">
        <is>
          <t>Vanuatu</t>
        </is>
      </c>
    </row>
    <row r="242">
      <c r="O242" s="63" t="inlineStr">
        <is>
          <t>WSM</t>
        </is>
      </c>
      <c r="P242" s="63" t="inlineStr">
        <is>
          <t>Samoa</t>
        </is>
      </c>
    </row>
    <row r="243">
      <c r="O243" s="63" t="inlineStr">
        <is>
          <t>YEM</t>
        </is>
      </c>
      <c r="P243" s="63" t="inlineStr">
        <is>
          <t>Yemen</t>
        </is>
      </c>
    </row>
    <row r="244">
      <c r="O244" s="63" t="inlineStr">
        <is>
          <t>ZAF</t>
        </is>
      </c>
      <c r="P244" s="63" t="inlineStr">
        <is>
          <t>South Africa</t>
        </is>
      </c>
    </row>
    <row r="245">
      <c r="O245" s="63" t="inlineStr">
        <is>
          <t>ZMB</t>
        </is>
      </c>
      <c r="P245" s="63" t="inlineStr">
        <is>
          <t>Zambia</t>
        </is>
      </c>
    </row>
    <row r="246">
      <c r="O246" s="63" t="inlineStr">
        <is>
          <t>ZWE</t>
        </is>
      </c>
      <c r="P246" s="63" t="inlineStr">
        <is>
          <t>Zimbabwe</t>
        </is>
      </c>
    </row>
  </sheetData>
  <autoFilter ref="O12:P12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102" zoomScale="120" zoomScaleNormal="120" workbookViewId="0">
      <selection activeCell="P27" sqref="P27"/>
    </sheetView>
  </sheetViews>
  <sheetFormatPr baseColWidth="10" defaultColWidth="9.1640625" defaultRowHeight="15"/>
  <cols>
    <col width="15.33203125" customWidth="1" style="87" min="1" max="2"/>
    <col width="9.1640625" customWidth="1" style="87" min="3" max="33"/>
    <col width="9.1640625" customWidth="1" style="87" min="34" max="16384"/>
  </cols>
  <sheetData>
    <row r="1" ht="20" customHeight="1" s="8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17.7</v>
      </c>
      <c r="C2" t="inlineStr">
        <is>
          <t>Dec-21</t>
        </is>
      </c>
      <c r="D2" t="n">
        <v>12.2</v>
      </c>
      <c r="E2" t="inlineStr">
        <is>
          <t>%</t>
        </is>
      </c>
    </row>
    <row r="3">
      <c r="A3" t="inlineStr">
        <is>
          <t>Algeria</t>
        </is>
      </c>
      <c r="B3" t="n">
        <v>2.1</v>
      </c>
      <c r="C3" t="inlineStr">
        <is>
          <t>Dec-21</t>
        </is>
      </c>
      <c r="D3" t="n">
        <v>4.6</v>
      </c>
      <c r="E3" t="inlineStr">
        <is>
          <t>%</t>
        </is>
      </c>
    </row>
    <row r="4">
      <c r="A4" t="inlineStr">
        <is>
          <t>Angola</t>
        </is>
      </c>
      <c r="B4" t="n">
        <v>2.54</v>
      </c>
      <c r="C4" t="inlineStr">
        <is>
          <t>Mar-22</t>
        </is>
      </c>
      <c r="D4" t="n">
        <v>5.2</v>
      </c>
      <c r="E4" t="inlineStr">
        <is>
          <t>%</t>
        </is>
      </c>
    </row>
    <row r="5">
      <c r="A5" t="inlineStr">
        <is>
          <t>Argentina</t>
        </is>
      </c>
      <c r="B5" t="n">
        <v>11.9</v>
      </c>
      <c r="C5" t="inlineStr">
        <is>
          <t>May-22</t>
        </is>
      </c>
      <c r="D5" t="n">
        <v>4.7</v>
      </c>
      <c r="E5" t="inlineStr">
        <is>
          <t>%</t>
        </is>
      </c>
    </row>
    <row r="6">
      <c r="A6" t="inlineStr">
        <is>
          <t>Armenia</t>
        </is>
      </c>
      <c r="B6" t="n">
        <v>19</v>
      </c>
      <c r="C6" t="inlineStr">
        <is>
          <t>Jun-22</t>
        </is>
      </c>
      <c r="D6" t="n">
        <v>2</v>
      </c>
      <c r="E6" t="inlineStr">
        <is>
          <t>%</t>
        </is>
      </c>
    </row>
    <row r="7">
      <c r="A7" t="inlineStr">
        <is>
          <t>Australia</t>
        </is>
      </c>
      <c r="B7" t="n">
        <v>0.21</v>
      </c>
      <c r="C7" t="inlineStr">
        <is>
          <t>Mar-22</t>
        </is>
      </c>
      <c r="D7" t="n">
        <v>1.39</v>
      </c>
      <c r="E7" t="inlineStr">
        <is>
          <t>%</t>
        </is>
      </c>
    </row>
    <row r="8">
      <c r="A8" t="inlineStr">
        <is>
          <t>Austria</t>
        </is>
      </c>
      <c r="B8" t="n">
        <v>11.4</v>
      </c>
      <c r="C8" t="inlineStr">
        <is>
          <t>May-22</t>
        </is>
      </c>
      <c r="D8" t="n">
        <v>7.1</v>
      </c>
      <c r="E8" t="inlineStr">
        <is>
          <t>%</t>
        </is>
      </c>
    </row>
    <row r="9">
      <c r="A9" t="inlineStr">
        <is>
          <t>Azerbaijan</t>
        </is>
      </c>
      <c r="B9" t="n">
        <v>3.9</v>
      </c>
      <c r="C9" t="inlineStr">
        <is>
          <t>Mar-22</t>
        </is>
      </c>
      <c r="D9" t="n">
        <v>4.6</v>
      </c>
      <c r="E9" t="inlineStr">
        <is>
          <t>%</t>
        </is>
      </c>
    </row>
    <row r="10">
      <c r="A10" t="inlineStr">
        <is>
          <t>Belarus</t>
        </is>
      </c>
      <c r="B10" t="n">
        <v>-5.2</v>
      </c>
      <c r="C10" t="inlineStr">
        <is>
          <t>Jun-22</t>
        </is>
      </c>
      <c r="D10" t="n">
        <v>-4.2</v>
      </c>
      <c r="E10" t="inlineStr">
        <is>
          <t>%</t>
        </is>
      </c>
    </row>
    <row r="11">
      <c r="A11" t="inlineStr">
        <is>
          <t>Belgium</t>
        </is>
      </c>
      <c r="B11" t="n">
        <v>-1.3</v>
      </c>
      <c r="C11" t="inlineStr">
        <is>
          <t>May-22</t>
        </is>
      </c>
      <c r="D11" t="n">
        <v>-0.2</v>
      </c>
      <c r="E11" t="inlineStr">
        <is>
          <t>%</t>
        </is>
      </c>
    </row>
    <row r="12">
      <c r="A12" t="inlineStr">
        <is>
          <t>Benin</t>
        </is>
      </c>
      <c r="B12" t="n">
        <v>8</v>
      </c>
      <c r="C12" t="inlineStr">
        <is>
          <t>Sep-21</t>
        </is>
      </c>
      <c r="D12" t="n">
        <v>25.5</v>
      </c>
      <c r="E12" t="inlineStr">
        <is>
          <t>%</t>
        </is>
      </c>
    </row>
    <row r="13">
      <c r="A13" t="inlineStr">
        <is>
          <t>Bosnia and Herzegovina</t>
        </is>
      </c>
      <c r="B13" t="n">
        <v>0.4</v>
      </c>
      <c r="C13" t="inlineStr">
        <is>
          <t>Jun-22</t>
        </is>
      </c>
      <c r="D13" t="n">
        <v>8.5</v>
      </c>
      <c r="E13" t="inlineStr">
        <is>
          <t>%</t>
        </is>
      </c>
    </row>
    <row r="14">
      <c r="A14" t="inlineStr">
        <is>
          <t>Botswana</t>
        </is>
      </c>
      <c r="B14" t="n">
        <v>15.1</v>
      </c>
      <c r="C14" t="inlineStr">
        <is>
          <t>Dec-21</t>
        </is>
      </c>
      <c r="D14" t="n">
        <v>24.1</v>
      </c>
      <c r="E14" t="inlineStr">
        <is>
          <t>%</t>
        </is>
      </c>
    </row>
    <row r="15">
      <c r="A15" t="inlineStr">
        <is>
          <t>Brazil</t>
        </is>
      </c>
      <c r="B15" t="n">
        <v>0.5</v>
      </c>
      <c r="C15" t="inlineStr">
        <is>
          <t>May-22</t>
        </is>
      </c>
      <c r="D15" t="n">
        <v>-0.5</v>
      </c>
      <c r="E15" t="inlineStr">
        <is>
          <t>%</t>
        </is>
      </c>
    </row>
    <row r="16">
      <c r="A16" t="inlineStr">
        <is>
          <t>Bulgaria</t>
        </is>
      </c>
      <c r="B16" t="n">
        <v>20.2</v>
      </c>
      <c r="C16" t="inlineStr">
        <is>
          <t>May-22</t>
        </is>
      </c>
      <c r="D16" t="n">
        <v>17.3</v>
      </c>
      <c r="E16" t="inlineStr">
        <is>
          <t>%</t>
        </is>
      </c>
    </row>
    <row r="17">
      <c r="A17" t="inlineStr">
        <is>
          <t>Burkina Faso</t>
        </is>
      </c>
      <c r="B17" t="n">
        <v>0.6</v>
      </c>
      <c r="C17" t="inlineStr">
        <is>
          <t>Sep-21</t>
        </is>
      </c>
      <c r="D17" t="n">
        <v>12.6</v>
      </c>
      <c r="E17" t="inlineStr">
        <is>
          <t>%</t>
        </is>
      </c>
    </row>
    <row r="18">
      <c r="A18" t="inlineStr">
        <is>
          <t>Burundi</t>
        </is>
      </c>
      <c r="B18" t="n">
        <v>21.5</v>
      </c>
      <c r="C18" t="inlineStr">
        <is>
          <t>Dec-21</t>
        </is>
      </c>
      <c r="D18" t="n">
        <v>-0.9</v>
      </c>
      <c r="E18" t="inlineStr">
        <is>
          <t>%</t>
        </is>
      </c>
    </row>
    <row r="19">
      <c r="A19" t="inlineStr">
        <is>
          <t>Cameroon</t>
        </is>
      </c>
      <c r="B19" t="n">
        <v>5.8</v>
      </c>
      <c r="C19" t="inlineStr">
        <is>
          <t>Sep-21</t>
        </is>
      </c>
      <c r="D19" t="n">
        <v>11.8</v>
      </c>
      <c r="E19" t="inlineStr">
        <is>
          <t>%</t>
        </is>
      </c>
    </row>
    <row r="20">
      <c r="A20" t="inlineStr">
        <is>
          <t>Canada</t>
        </is>
      </c>
      <c r="B20" t="n">
        <v>7.18</v>
      </c>
      <c r="C20" t="inlineStr">
        <is>
          <t>Apr-22</t>
        </is>
      </c>
      <c r="D20" t="n">
        <v>3.55</v>
      </c>
      <c r="E20" t="inlineStr">
        <is>
          <t>%</t>
        </is>
      </c>
    </row>
    <row r="21">
      <c r="A21" t="inlineStr">
        <is>
          <t>Chad</t>
        </is>
      </c>
      <c r="B21" t="n">
        <v>-6.1</v>
      </c>
      <c r="C21" t="inlineStr">
        <is>
          <t>Sep-21</t>
        </is>
      </c>
      <c r="D21" t="n">
        <v>-0.6</v>
      </c>
      <c r="E21" t="inlineStr">
        <is>
          <t>%</t>
        </is>
      </c>
    </row>
    <row r="22">
      <c r="A22" t="inlineStr">
        <is>
          <t>Chile</t>
        </is>
      </c>
      <c r="B22" t="n">
        <v>1.8</v>
      </c>
      <c r="C22" t="inlineStr">
        <is>
          <t>May-22</t>
        </is>
      </c>
      <c r="D22" t="n">
        <v>-3.5</v>
      </c>
      <c r="E22" t="inlineStr">
        <is>
          <t>%</t>
        </is>
      </c>
    </row>
    <row r="23">
      <c r="A23" t="inlineStr">
        <is>
          <t>China</t>
        </is>
      </c>
      <c r="B23" t="n">
        <v>3.9</v>
      </c>
      <c r="C23" t="inlineStr">
        <is>
          <t>Jun-22</t>
        </is>
      </c>
      <c r="D23" t="n">
        <v>0.7</v>
      </c>
      <c r="E23" t="inlineStr">
        <is>
          <t>%</t>
        </is>
      </c>
    </row>
    <row r="24">
      <c r="A24" t="inlineStr">
        <is>
          <t>Colombia</t>
        </is>
      </c>
      <c r="B24" t="n">
        <v>46.2</v>
      </c>
      <c r="C24" t="inlineStr">
        <is>
          <t>May-22</t>
        </is>
      </c>
      <c r="D24" t="n">
        <v>13.7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6.8</v>
      </c>
      <c r="C26" t="inlineStr">
        <is>
          <t>Mar-22</t>
        </is>
      </c>
      <c r="D26" t="n">
        <v>7.7</v>
      </c>
      <c r="E26" t="inlineStr">
        <is>
          <t>%</t>
        </is>
      </c>
    </row>
    <row r="27">
      <c r="A27" t="inlineStr">
        <is>
          <t>Croatia</t>
        </is>
      </c>
      <c r="B27" t="n">
        <v>3</v>
      </c>
      <c r="C27" t="inlineStr">
        <is>
          <t>May-22</t>
        </is>
      </c>
      <c r="D27" t="n">
        <v>1.7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0.6</v>
      </c>
      <c r="C29" t="inlineStr">
        <is>
          <t>Apr-22</t>
        </is>
      </c>
      <c r="D29" t="n">
        <v>6.7</v>
      </c>
      <c r="E29" t="inlineStr">
        <is>
          <t>%</t>
        </is>
      </c>
    </row>
    <row r="30">
      <c r="A30" t="inlineStr">
        <is>
          <t>Czech Republic</t>
        </is>
      </c>
      <c r="B30" t="n">
        <v>3.3</v>
      </c>
      <c r="C30" t="inlineStr">
        <is>
          <t>May-22</t>
        </is>
      </c>
      <c r="D30" t="n">
        <v>-3.8</v>
      </c>
      <c r="E30" t="inlineStr">
        <is>
          <t>%</t>
        </is>
      </c>
    </row>
    <row r="31">
      <c r="A31" t="inlineStr">
        <is>
          <t>Denmark</t>
        </is>
      </c>
      <c r="B31" t="n">
        <v>20.4</v>
      </c>
      <c r="C31" t="inlineStr">
        <is>
          <t>May-22</t>
        </is>
      </c>
      <c r="D31" t="n">
        <v>15.7</v>
      </c>
      <c r="E31" t="inlineStr">
        <is>
          <t>%</t>
        </is>
      </c>
    </row>
    <row r="32">
      <c r="A32" t="inlineStr">
        <is>
          <t>El Salvador</t>
        </is>
      </c>
      <c r="B32" t="n">
        <v>-0.24</v>
      </c>
      <c r="C32" t="inlineStr">
        <is>
          <t>Mar-22</t>
        </is>
      </c>
      <c r="D32" t="n">
        <v>2.12</v>
      </c>
      <c r="E32" t="inlineStr">
        <is>
          <t>%</t>
        </is>
      </c>
    </row>
    <row r="33">
      <c r="A33" t="inlineStr">
        <is>
          <t>Estonia</t>
        </is>
      </c>
      <c r="B33" t="n">
        <v>4.8</v>
      </c>
      <c r="C33" t="inlineStr">
        <is>
          <t>May-22</t>
        </is>
      </c>
      <c r="D33" t="n">
        <v>4</v>
      </c>
      <c r="E33" t="inlineStr">
        <is>
          <t>%</t>
        </is>
      </c>
    </row>
    <row r="34">
      <c r="A34" t="inlineStr">
        <is>
          <t>Euro Area</t>
        </is>
      </c>
      <c r="B34" t="n">
        <v>1.6</v>
      </c>
      <c r="C34" t="inlineStr">
        <is>
          <t>May-22</t>
        </is>
      </c>
      <c r="D34" t="n">
        <v>-2.5</v>
      </c>
      <c r="E34" t="inlineStr">
        <is>
          <t>%</t>
        </is>
      </c>
    </row>
    <row r="35">
      <c r="A35" t="inlineStr">
        <is>
          <t>European Union</t>
        </is>
      </c>
      <c r="B35" t="n">
        <v>2.7</v>
      </c>
      <c r="C35" t="inlineStr">
        <is>
          <t>May-22</t>
        </is>
      </c>
      <c r="D35" t="n">
        <v>-0.8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May-22</t>
        </is>
      </c>
      <c r="D37" t="n">
        <v>6.8</v>
      </c>
      <c r="E37" t="inlineStr">
        <is>
          <t>%</t>
        </is>
      </c>
    </row>
    <row r="38">
      <c r="A38" t="inlineStr">
        <is>
          <t>France</t>
        </is>
      </c>
      <c r="B38" t="n">
        <v>-0.45</v>
      </c>
      <c r="C38" t="inlineStr">
        <is>
          <t>May-22</t>
        </is>
      </c>
      <c r="D38" t="n">
        <v>-0.57</v>
      </c>
      <c r="E38" t="inlineStr">
        <is>
          <t>%</t>
        </is>
      </c>
    </row>
    <row r="39">
      <c r="A39" t="inlineStr">
        <is>
          <t>Georgia</t>
        </is>
      </c>
      <c r="B39" t="n">
        <v>40.6</v>
      </c>
      <c r="C39" t="inlineStr">
        <is>
          <t>Mar-22</t>
        </is>
      </c>
      <c r="D39" t="n">
        <v>37.7</v>
      </c>
      <c r="E39" t="inlineStr">
        <is>
          <t>%</t>
        </is>
      </c>
    </row>
    <row r="40">
      <c r="A40" t="inlineStr">
        <is>
          <t>Germany</t>
        </is>
      </c>
      <c r="B40" t="n">
        <v>-1.5</v>
      </c>
      <c r="C40" t="inlineStr">
        <is>
          <t>May-22</t>
        </is>
      </c>
      <c r="D40" t="n">
        <v>-2.5</v>
      </c>
      <c r="E40" t="inlineStr">
        <is>
          <t>%</t>
        </is>
      </c>
    </row>
    <row r="41">
      <c r="A41" t="inlineStr">
        <is>
          <t>Greece</t>
        </is>
      </c>
      <c r="B41" t="n">
        <v>3.2</v>
      </c>
      <c r="C41" t="inlineStr">
        <is>
          <t>May-22</t>
        </is>
      </c>
      <c r="D41" t="n">
        <v>-4.8</v>
      </c>
      <c r="E41" t="inlineStr">
        <is>
          <t>%</t>
        </is>
      </c>
    </row>
    <row r="42">
      <c r="A42" t="inlineStr">
        <is>
          <t>Guinea Bissau</t>
        </is>
      </c>
      <c r="B42" t="n">
        <v>9.6</v>
      </c>
      <c r="C42" t="inlineStr">
        <is>
          <t>Sep-21</t>
        </is>
      </c>
      <c r="D42" t="n">
        <v>11.1</v>
      </c>
      <c r="E42" t="inlineStr">
        <is>
          <t>%</t>
        </is>
      </c>
    </row>
    <row r="43">
      <c r="A43" t="inlineStr">
        <is>
          <t>Hong Kong</t>
        </is>
      </c>
      <c r="B43" t="n">
        <v>-1.2</v>
      </c>
      <c r="C43" t="inlineStr">
        <is>
          <t>Mar-22</t>
        </is>
      </c>
      <c r="D43" t="n">
        <v>5.8</v>
      </c>
      <c r="E43" t="inlineStr">
        <is>
          <t>%</t>
        </is>
      </c>
    </row>
    <row r="44">
      <c r="A44" t="inlineStr">
        <is>
          <t>Hungary</t>
        </is>
      </c>
      <c r="B44" t="n">
        <v>9.4</v>
      </c>
      <c r="C44" t="inlineStr">
        <is>
          <t>May-22</t>
        </is>
      </c>
      <c r="D44" t="n">
        <v>3.1</v>
      </c>
      <c r="E44" t="inlineStr">
        <is>
          <t>%</t>
        </is>
      </c>
    </row>
    <row r="45">
      <c r="A45" t="inlineStr">
        <is>
          <t>India</t>
        </is>
      </c>
      <c r="B45" t="n">
        <v>19.6</v>
      </c>
      <c r="C45" t="inlineStr">
        <is>
          <t>May-22</t>
        </is>
      </c>
      <c r="D45" t="n">
        <v>6.7</v>
      </c>
      <c r="E45" t="inlineStr">
        <is>
          <t>%</t>
        </is>
      </c>
    </row>
    <row r="46">
      <c r="A46" t="inlineStr">
        <is>
          <t>Indonesia</t>
        </is>
      </c>
      <c r="B46" t="n">
        <v>0.75</v>
      </c>
      <c r="C46" t="inlineStr">
        <is>
          <t>Mar-22</t>
        </is>
      </c>
      <c r="D46" t="n">
        <v>0.82</v>
      </c>
      <c r="E46" t="inlineStr">
        <is>
          <t>%</t>
        </is>
      </c>
    </row>
    <row r="47">
      <c r="A47" t="inlineStr">
        <is>
          <t>Iran</t>
        </is>
      </c>
      <c r="B47" t="n">
        <v>-1.6</v>
      </c>
      <c r="C47" t="inlineStr">
        <is>
          <t>Sep-21</t>
        </is>
      </c>
      <c r="D47" t="n">
        <v>5.8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0</v>
      </c>
      <c r="C49" t="inlineStr">
        <is>
          <t>May-22</t>
        </is>
      </c>
      <c r="D49" t="n">
        <v>-28.7</v>
      </c>
      <c r="E49" t="inlineStr">
        <is>
          <t>%</t>
        </is>
      </c>
    </row>
    <row r="50">
      <c r="A50" t="inlineStr">
        <is>
          <t>Israel</t>
        </is>
      </c>
      <c r="B50" t="n">
        <v>23.5</v>
      </c>
      <c r="C50" t="inlineStr">
        <is>
          <t>May-22</t>
        </is>
      </c>
      <c r="D50" t="n">
        <v>10.1</v>
      </c>
      <c r="E50" t="inlineStr">
        <is>
          <t>%</t>
        </is>
      </c>
    </row>
    <row r="51">
      <c r="A51" t="inlineStr">
        <is>
          <t>Italy</t>
        </is>
      </c>
      <c r="B51" t="n">
        <v>3.4</v>
      </c>
      <c r="C51" t="inlineStr">
        <is>
          <t>May-22</t>
        </is>
      </c>
      <c r="D51" t="n">
        <v>3.9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-3.1</v>
      </c>
      <c r="C53" t="inlineStr">
        <is>
          <t>May-22</t>
        </is>
      </c>
      <c r="D53" t="n">
        <v>-4.9</v>
      </c>
      <c r="E53" t="inlineStr">
        <is>
          <t>%</t>
        </is>
      </c>
    </row>
    <row r="54">
      <c r="A54" t="inlineStr">
        <is>
          <t>Jordan</t>
        </is>
      </c>
      <c r="B54" t="n">
        <v>4.8</v>
      </c>
      <c r="C54" t="inlineStr">
        <is>
          <t>Apr-22</t>
        </is>
      </c>
      <c r="D54" t="n">
        <v>10.4</v>
      </c>
      <c r="E54" t="inlineStr">
        <is>
          <t>%</t>
        </is>
      </c>
    </row>
    <row r="55">
      <c r="A55" t="inlineStr">
        <is>
          <t>Kazakhstan</t>
        </is>
      </c>
      <c r="B55" t="n">
        <v>-1.3</v>
      </c>
      <c r="C55" t="inlineStr">
        <is>
          <t>Jun-22</t>
        </is>
      </c>
      <c r="D55" t="n">
        <v>3.1</v>
      </c>
      <c r="E55" t="inlineStr">
        <is>
          <t>%</t>
        </is>
      </c>
    </row>
    <row r="56">
      <c r="A56" t="inlineStr">
        <is>
          <t>Kosovo</t>
        </is>
      </c>
      <c r="B56" t="n">
        <v>28.3</v>
      </c>
      <c r="C56" t="inlineStr">
        <is>
          <t>Dec-21</t>
        </is>
      </c>
      <c r="D56" t="n">
        <v>3.33</v>
      </c>
      <c r="E56" t="inlineStr">
        <is>
          <t>%</t>
        </is>
      </c>
    </row>
    <row r="57">
      <c r="A57" t="inlineStr">
        <is>
          <t>Kyrgyzstan</t>
        </is>
      </c>
      <c r="B57" t="n">
        <v>28.6</v>
      </c>
      <c r="C57" t="inlineStr">
        <is>
          <t>Jun-22</t>
        </is>
      </c>
      <c r="D57" t="n">
        <v>16.8</v>
      </c>
      <c r="E57" t="inlineStr">
        <is>
          <t>%</t>
        </is>
      </c>
    </row>
    <row r="58">
      <c r="A58" t="inlineStr">
        <is>
          <t>Latvia</t>
        </is>
      </c>
      <c r="B58" t="n">
        <v>5.3</v>
      </c>
      <c r="C58" t="inlineStr">
        <is>
          <t>May-22</t>
        </is>
      </c>
      <c r="D58" t="n">
        <v>3.7</v>
      </c>
      <c r="E58" t="inlineStr">
        <is>
          <t>%</t>
        </is>
      </c>
    </row>
    <row r="59">
      <c r="A59" t="inlineStr">
        <is>
          <t>Lithuania</t>
        </is>
      </c>
      <c r="B59" t="n">
        <v>0.7</v>
      </c>
      <c r="C59" t="inlineStr">
        <is>
          <t>Jun-22</t>
        </is>
      </c>
      <c r="D59" t="n">
        <v>7.5</v>
      </c>
      <c r="E59" t="inlineStr">
        <is>
          <t>%</t>
        </is>
      </c>
    </row>
    <row r="60">
      <c r="A60" t="inlineStr">
        <is>
          <t>Luxembourg</t>
        </is>
      </c>
      <c r="B60" t="n">
        <v>-0.4</v>
      </c>
      <c r="C60" t="inlineStr">
        <is>
          <t>Apr-22</t>
        </is>
      </c>
      <c r="D60" t="n">
        <v>-3.1</v>
      </c>
      <c r="E60" t="inlineStr">
        <is>
          <t>%</t>
        </is>
      </c>
    </row>
    <row r="61">
      <c r="A61" t="inlineStr">
        <is>
          <t>Macau</t>
        </is>
      </c>
      <c r="B61" t="n">
        <v>4.3</v>
      </c>
      <c r="C61" t="inlineStr">
        <is>
          <t>Sep-21</t>
        </is>
      </c>
      <c r="D61" t="n">
        <v>-26.5</v>
      </c>
      <c r="E61" t="inlineStr">
        <is>
          <t>%</t>
        </is>
      </c>
    </row>
    <row r="62">
      <c r="A62" t="inlineStr">
        <is>
          <t>Macedonia</t>
        </is>
      </c>
      <c r="B62" t="n">
        <v>8.5</v>
      </c>
      <c r="C62" t="inlineStr">
        <is>
          <t>May-22</t>
        </is>
      </c>
      <c r="D62" t="n">
        <v>-3.8</v>
      </c>
      <c r="E62" t="inlineStr">
        <is>
          <t>%</t>
        </is>
      </c>
    </row>
    <row r="63">
      <c r="A63" t="inlineStr">
        <is>
          <t>Malaysia</t>
        </is>
      </c>
      <c r="B63" t="n">
        <v>4.1</v>
      </c>
      <c r="C63" t="inlineStr">
        <is>
          <t>May-22</t>
        </is>
      </c>
      <c r="D63" t="n">
        <v>4.6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-4.3</v>
      </c>
      <c r="C65" t="inlineStr">
        <is>
          <t>May-22</t>
        </is>
      </c>
      <c r="D65" t="n">
        <v>-8.1</v>
      </c>
      <c r="E65" t="inlineStr">
        <is>
          <t>%</t>
        </is>
      </c>
    </row>
    <row r="66">
      <c r="A66" t="inlineStr">
        <is>
          <t>Mauritania</t>
        </is>
      </c>
      <c r="B66" t="n">
        <v>-6.6</v>
      </c>
      <c r="C66" t="inlineStr">
        <is>
          <t>Dec-21</t>
        </is>
      </c>
      <c r="D66" t="n">
        <v>-6.4</v>
      </c>
      <c r="E66" t="inlineStr">
        <is>
          <t>%</t>
        </is>
      </c>
    </row>
    <row r="67">
      <c r="A67" t="inlineStr">
        <is>
          <t>Mauritius</t>
        </is>
      </c>
      <c r="B67" t="n">
        <v>7.8</v>
      </c>
      <c r="C67" t="inlineStr">
        <is>
          <t>Mar-22</t>
        </is>
      </c>
      <c r="D67" t="n">
        <v>3.9</v>
      </c>
      <c r="E67" t="inlineStr">
        <is>
          <t>%</t>
        </is>
      </c>
    </row>
    <row r="68">
      <c r="A68" t="inlineStr">
        <is>
          <t>Mexico</t>
        </is>
      </c>
      <c r="B68" t="n">
        <v>3.3</v>
      </c>
      <c r="C68" t="inlineStr">
        <is>
          <t>May-22</t>
        </is>
      </c>
      <c r="D68" t="n">
        <v>2.7</v>
      </c>
      <c r="E68" t="inlineStr">
        <is>
          <t>%</t>
        </is>
      </c>
    </row>
    <row r="69">
      <c r="A69" t="inlineStr">
        <is>
          <t>Moldova</t>
        </is>
      </c>
      <c r="B69" t="n">
        <v>13.2</v>
      </c>
      <c r="C69" t="inlineStr">
        <is>
          <t>May-22</t>
        </is>
      </c>
      <c r="D69" t="n">
        <v>-10.4</v>
      </c>
      <c r="E69" t="inlineStr">
        <is>
          <t>%</t>
        </is>
      </c>
    </row>
    <row r="70">
      <c r="A70" t="inlineStr">
        <is>
          <t>Mongolia</t>
        </is>
      </c>
      <c r="B70" t="n">
        <v>-32.5</v>
      </c>
      <c r="C70" t="inlineStr">
        <is>
          <t>Mar-22</t>
        </is>
      </c>
      <c r="D70" t="n">
        <v>0.9</v>
      </c>
      <c r="E70" t="inlineStr">
        <is>
          <t>%</t>
        </is>
      </c>
    </row>
    <row r="71">
      <c r="A71" t="inlineStr">
        <is>
          <t>Montenegro</t>
        </is>
      </c>
      <c r="B71" t="n">
        <v>15.4</v>
      </c>
      <c r="C71" t="inlineStr">
        <is>
          <t>May-22</t>
        </is>
      </c>
      <c r="D71" t="n">
        <v>14.3</v>
      </c>
      <c r="E71" t="inlineStr">
        <is>
          <t>%</t>
        </is>
      </c>
    </row>
    <row r="72">
      <c r="A72" t="inlineStr">
        <is>
          <t>Morocco</t>
        </is>
      </c>
      <c r="B72" t="n">
        <v>-2.3</v>
      </c>
      <c r="C72" t="inlineStr">
        <is>
          <t>Mar-22</t>
        </is>
      </c>
      <c r="D72" t="n">
        <v>5.1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2.8</v>
      </c>
      <c r="C74" t="inlineStr">
        <is>
          <t>Feb-22</t>
        </is>
      </c>
      <c r="D74" t="n">
        <v>2.3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-2.6</v>
      </c>
      <c r="C77" t="inlineStr">
        <is>
          <t>Sep-21</t>
        </is>
      </c>
      <c r="D77" t="n">
        <v>-2.2</v>
      </c>
      <c r="E77" t="inlineStr">
        <is>
          <t>%</t>
        </is>
      </c>
    </row>
    <row r="78">
      <c r="A78" t="inlineStr">
        <is>
          <t>Norway</t>
        </is>
      </c>
      <c r="B78" t="n">
        <v>5.1</v>
      </c>
      <c r="C78" t="inlineStr">
        <is>
          <t>May-22</t>
        </is>
      </c>
      <c r="D78" t="n">
        <v>3</v>
      </c>
      <c r="E78" t="inlineStr">
        <is>
          <t>%</t>
        </is>
      </c>
    </row>
    <row r="79">
      <c r="A79" t="inlineStr">
        <is>
          <t>Pakistan</t>
        </is>
      </c>
      <c r="B79" t="n">
        <v>21.98</v>
      </c>
      <c r="C79" t="inlineStr">
        <is>
          <t>May-22</t>
        </is>
      </c>
      <c r="D79" t="n">
        <v>15.88</v>
      </c>
      <c r="E79" t="inlineStr">
        <is>
          <t>%</t>
        </is>
      </c>
    </row>
    <row r="80">
      <c r="A80" t="inlineStr">
        <is>
          <t>Palestine</t>
        </is>
      </c>
      <c r="B80" t="n">
        <v>14.13</v>
      </c>
      <c r="C80" t="inlineStr">
        <is>
          <t>Dec-21</t>
        </is>
      </c>
      <c r="D80" t="n">
        <v>-7.95</v>
      </c>
      <c r="E80" t="inlineStr">
        <is>
          <t>%</t>
        </is>
      </c>
    </row>
    <row r="81">
      <c r="A81" t="inlineStr">
        <is>
          <t>Panama</t>
        </is>
      </c>
      <c r="B81" t="n">
        <v>5.31</v>
      </c>
      <c r="C81" t="inlineStr">
        <is>
          <t>Mar-22</t>
        </is>
      </c>
      <c r="D81" t="n">
        <v>10.55</v>
      </c>
      <c r="E81" t="inlineStr">
        <is>
          <t>%</t>
        </is>
      </c>
    </row>
    <row r="82">
      <c r="A82" t="inlineStr">
        <is>
          <t>Peru</t>
        </is>
      </c>
      <c r="B82" t="n">
        <v>2.01</v>
      </c>
      <c r="C82" t="inlineStr">
        <is>
          <t>May-22</t>
        </is>
      </c>
      <c r="D82" t="n">
        <v>3.38</v>
      </c>
      <c r="E82" t="inlineStr">
        <is>
          <t>%</t>
        </is>
      </c>
    </row>
    <row r="83">
      <c r="A83" t="inlineStr">
        <is>
          <t>Philippines</t>
        </is>
      </c>
      <c r="B83" t="n">
        <v>8.9</v>
      </c>
      <c r="C83" t="inlineStr">
        <is>
          <t>May-22</t>
        </is>
      </c>
      <c r="D83" t="n">
        <v>7.6</v>
      </c>
      <c r="E83" t="inlineStr">
        <is>
          <t>%</t>
        </is>
      </c>
    </row>
    <row r="84">
      <c r="A84" t="inlineStr">
        <is>
          <t>Poland</t>
        </is>
      </c>
      <c r="B84" t="n">
        <v>10.4</v>
      </c>
      <c r="C84" t="inlineStr">
        <is>
          <t>Jun-22</t>
        </is>
      </c>
      <c r="D84" t="n">
        <v>14.9</v>
      </c>
      <c r="E84" t="inlineStr">
        <is>
          <t>%</t>
        </is>
      </c>
    </row>
    <row r="85">
      <c r="A85" t="inlineStr">
        <is>
          <t>Portugal</t>
        </is>
      </c>
      <c r="B85" t="n">
        <v>3</v>
      </c>
      <c r="C85" t="inlineStr">
        <is>
          <t>May-22</t>
        </is>
      </c>
      <c r="D85" t="n">
        <v>-1.3</v>
      </c>
      <c r="E85" t="inlineStr">
        <is>
          <t>%</t>
        </is>
      </c>
    </row>
    <row r="86">
      <c r="A86" t="inlineStr">
        <is>
          <t>Qatar</t>
        </is>
      </c>
      <c r="B86" t="n">
        <v>-2.38</v>
      </c>
      <c r="C86" t="inlineStr">
        <is>
          <t>May-22</t>
        </is>
      </c>
      <c r="D86" t="n">
        <v>6.65</v>
      </c>
      <c r="E86" t="inlineStr">
        <is>
          <t>%</t>
        </is>
      </c>
    </row>
    <row r="87">
      <c r="A87" t="inlineStr">
        <is>
          <t>Romania</t>
        </is>
      </c>
      <c r="B87" t="n">
        <v>1.1</v>
      </c>
      <c r="C87" t="inlineStr">
        <is>
          <t>May-22</t>
        </is>
      </c>
      <c r="D87" t="n">
        <v>-7.2</v>
      </c>
      <c r="E87" t="inlineStr">
        <is>
          <t>%</t>
        </is>
      </c>
    </row>
    <row r="88">
      <c r="A88" t="inlineStr">
        <is>
          <t>Russia</t>
        </is>
      </c>
      <c r="B88" t="n">
        <v>-1.7</v>
      </c>
      <c r="C88" t="inlineStr">
        <is>
          <t>May-22</t>
        </is>
      </c>
      <c r="D88" t="n">
        <v>-1.6</v>
      </c>
      <c r="E88" t="inlineStr">
        <is>
          <t>%</t>
        </is>
      </c>
    </row>
    <row r="89">
      <c r="A89" t="inlineStr">
        <is>
          <t>Rwanda</t>
        </is>
      </c>
      <c r="B89" t="n">
        <v>-0.3</v>
      </c>
      <c r="C89" t="inlineStr">
        <is>
          <t>Apr-22</t>
        </is>
      </c>
      <c r="D89" t="n">
        <v>7.9</v>
      </c>
      <c r="E89" t="inlineStr">
        <is>
          <t>%</t>
        </is>
      </c>
    </row>
    <row r="90">
      <c r="A90" t="inlineStr">
        <is>
          <t>Saudi Arabia</t>
        </is>
      </c>
      <c r="B90" t="n">
        <v>24</v>
      </c>
      <c r="C90" t="inlineStr">
        <is>
          <t>May-22</t>
        </is>
      </c>
      <c r="D90" t="n">
        <v>26.7</v>
      </c>
      <c r="E90" t="inlineStr">
        <is>
          <t>%</t>
        </is>
      </c>
    </row>
    <row r="91">
      <c r="A91" t="inlineStr">
        <is>
          <t>Senegal</t>
        </is>
      </c>
      <c r="B91" t="n">
        <v>-13.8</v>
      </c>
      <c r="C91" t="inlineStr">
        <is>
          <t>May-22</t>
        </is>
      </c>
      <c r="D91" t="n">
        <v>-6.1</v>
      </c>
      <c r="E91" t="inlineStr">
        <is>
          <t>%</t>
        </is>
      </c>
    </row>
    <row r="92">
      <c r="A92" t="inlineStr">
        <is>
          <t>Serbia</t>
        </is>
      </c>
      <c r="B92" t="n">
        <v>8.699999999999999</v>
      </c>
      <c r="C92" t="inlineStr">
        <is>
          <t>May-22</t>
        </is>
      </c>
      <c r="D92" t="n">
        <v>2</v>
      </c>
      <c r="E92" t="inlineStr">
        <is>
          <t>%</t>
        </is>
      </c>
    </row>
    <row r="93">
      <c r="A93" t="inlineStr">
        <is>
          <t>Seychelles</t>
        </is>
      </c>
      <c r="B93" t="n">
        <v>-5.7</v>
      </c>
      <c r="C93" t="inlineStr">
        <is>
          <t>May-22</t>
        </is>
      </c>
      <c r="D93" t="n">
        <v>-21.4</v>
      </c>
      <c r="E93" t="inlineStr">
        <is>
          <t>%</t>
        </is>
      </c>
    </row>
    <row r="94">
      <c r="A94" t="inlineStr">
        <is>
          <t>Singapore</t>
        </is>
      </c>
      <c r="B94" t="n">
        <v>2.2</v>
      </c>
      <c r="C94" t="inlineStr">
        <is>
          <t>Jun-22</t>
        </is>
      </c>
      <c r="D94" t="n">
        <v>10.4</v>
      </c>
      <c r="E94" t="inlineStr">
        <is>
          <t>%</t>
        </is>
      </c>
    </row>
    <row r="95">
      <c r="A95" t="inlineStr">
        <is>
          <t>Slovakia</t>
        </is>
      </c>
      <c r="B95" t="n">
        <v>1.1</v>
      </c>
      <c r="C95" t="inlineStr">
        <is>
          <t>May-22</t>
        </is>
      </c>
      <c r="D95" t="n">
        <v>-9.6</v>
      </c>
      <c r="E95" t="inlineStr">
        <is>
          <t>%</t>
        </is>
      </c>
    </row>
    <row r="96">
      <c r="A96" t="inlineStr">
        <is>
          <t>Slovenia</t>
        </is>
      </c>
      <c r="B96" t="n">
        <v>3</v>
      </c>
      <c r="C96" t="inlineStr">
        <is>
          <t>May-22</t>
        </is>
      </c>
      <c r="D96" t="n">
        <v>1.9</v>
      </c>
      <c r="E96" t="inlineStr">
        <is>
          <t>%</t>
        </is>
      </c>
    </row>
    <row r="97">
      <c r="A97" t="inlineStr">
        <is>
          <t>South Africa</t>
        </is>
      </c>
      <c r="B97" t="n">
        <v>-2.3</v>
      </c>
      <c r="C97" t="inlineStr">
        <is>
          <t>May-22</t>
        </is>
      </c>
      <c r="D97" t="n">
        <v>-7.6</v>
      </c>
      <c r="E97" t="inlineStr">
        <is>
          <t>%</t>
        </is>
      </c>
    </row>
    <row r="98">
      <c r="A98" t="inlineStr">
        <is>
          <t>South Korea</t>
        </is>
      </c>
      <c r="B98" t="n">
        <v>7.3</v>
      </c>
      <c r="C98" t="inlineStr">
        <is>
          <t>May-22</t>
        </is>
      </c>
      <c r="D98" t="n">
        <v>3.5</v>
      </c>
      <c r="E98" t="inlineStr">
        <is>
          <t>%</t>
        </is>
      </c>
    </row>
    <row r="99">
      <c r="A99" t="inlineStr">
        <is>
          <t>Spain</t>
        </is>
      </c>
      <c r="B99" t="n">
        <v>3.8</v>
      </c>
      <c r="C99" t="inlineStr">
        <is>
          <t>May-22</t>
        </is>
      </c>
      <c r="D99" t="n">
        <v>2.3</v>
      </c>
      <c r="E99" t="inlineStr">
        <is>
          <t>%</t>
        </is>
      </c>
    </row>
    <row r="100">
      <c r="A100" t="inlineStr">
        <is>
          <t>Sri Lanka</t>
        </is>
      </c>
      <c r="B100" t="n">
        <v>10.01</v>
      </c>
      <c r="C100" t="inlineStr">
        <is>
          <t>May-22</t>
        </is>
      </c>
      <c r="D100" t="n">
        <v>-5.63</v>
      </c>
      <c r="E100" t="inlineStr">
        <is>
          <t>%</t>
        </is>
      </c>
    </row>
    <row r="101">
      <c r="A101" t="inlineStr">
        <is>
          <t>Sweden</t>
        </is>
      </c>
      <c r="B101" t="n">
        <v>0.2</v>
      </c>
      <c r="C101" t="inlineStr">
        <is>
          <t>May-22</t>
        </is>
      </c>
      <c r="D101" t="n">
        <v>-0.3</v>
      </c>
      <c r="E101" t="inlineStr">
        <is>
          <t>%</t>
        </is>
      </c>
    </row>
    <row r="102">
      <c r="A102" t="inlineStr">
        <is>
          <t>Switzerland</t>
        </is>
      </c>
      <c r="B102" t="n">
        <v>7.9</v>
      </c>
      <c r="C102" t="inlineStr">
        <is>
          <t>Mar-22</t>
        </is>
      </c>
      <c r="D102" t="n">
        <v>7.3</v>
      </c>
      <c r="E102" t="inlineStr">
        <is>
          <t>%</t>
        </is>
      </c>
    </row>
    <row r="103">
      <c r="A103" t="inlineStr">
        <is>
          <t>Taiwan</t>
        </is>
      </c>
      <c r="B103" t="n">
        <v>0.73</v>
      </c>
      <c r="C103" t="inlineStr">
        <is>
          <t>Jun-22</t>
        </is>
      </c>
      <c r="D103" t="n">
        <v>4.48</v>
      </c>
      <c r="E103" t="inlineStr">
        <is>
          <t>%</t>
        </is>
      </c>
    </row>
    <row r="104">
      <c r="A104" t="inlineStr">
        <is>
          <t>Tajikistan</t>
        </is>
      </c>
      <c r="B104" t="n">
        <v>12.4</v>
      </c>
      <c r="C104" t="inlineStr">
        <is>
          <t>Feb-22</t>
        </is>
      </c>
      <c r="D104" t="n">
        <v>11.8</v>
      </c>
      <c r="E104" t="inlineStr">
        <is>
          <t>%</t>
        </is>
      </c>
    </row>
    <row r="105">
      <c r="A105" t="inlineStr">
        <is>
          <t>Thailand</t>
        </is>
      </c>
      <c r="B105" t="n">
        <v>-0.08</v>
      </c>
      <c r="C105" t="inlineStr">
        <is>
          <t>Jun-22</t>
        </is>
      </c>
      <c r="D105" t="n">
        <v>-1.98</v>
      </c>
      <c r="E105" t="inlineStr">
        <is>
          <t>%</t>
        </is>
      </c>
    </row>
    <row r="106">
      <c r="A106" t="inlineStr">
        <is>
          <t>Togo</t>
        </is>
      </c>
      <c r="B106" t="n">
        <v>1.8</v>
      </c>
      <c r="C106" t="inlineStr">
        <is>
          <t>Sep-21</t>
        </is>
      </c>
      <c r="D106" t="n">
        <v>11.3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2.35</v>
      </c>
      <c r="C108" t="inlineStr">
        <is>
          <t>Mar-22</t>
        </is>
      </c>
      <c r="D108" t="n">
        <v>1.42</v>
      </c>
      <c r="E108" t="inlineStr">
        <is>
          <t>%</t>
        </is>
      </c>
    </row>
    <row r="109">
      <c r="A109" t="inlineStr">
        <is>
          <t>Turkey</t>
        </is>
      </c>
      <c r="B109" t="n">
        <v>9.1</v>
      </c>
      <c r="C109" t="inlineStr">
        <is>
          <t>May-22</t>
        </is>
      </c>
      <c r="D109" t="n">
        <v>10.8</v>
      </c>
      <c r="E109" t="inlineStr">
        <is>
          <t>%</t>
        </is>
      </c>
    </row>
    <row r="110">
      <c r="A110" t="inlineStr">
        <is>
          <t>Ukraine</t>
        </is>
      </c>
      <c r="B110" t="n">
        <v>2.9</v>
      </c>
      <c r="C110" t="inlineStr">
        <is>
          <t>Jan-22</t>
        </is>
      </c>
      <c r="D110" t="n">
        <v>-1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May-22</t>
        </is>
      </c>
      <c r="D111" t="n">
        <v>1.6</v>
      </c>
      <c r="E111" t="inlineStr">
        <is>
          <t>%</t>
        </is>
      </c>
    </row>
    <row r="112">
      <c r="A112" t="inlineStr">
        <is>
          <t>United States</t>
        </is>
      </c>
      <c r="B112" t="n">
        <v>4.2</v>
      </c>
      <c r="C112" t="inlineStr">
        <is>
          <t>Jun-22</t>
        </is>
      </c>
      <c r="D112" t="n">
        <v>4.8</v>
      </c>
      <c r="E112" t="inlineStr">
        <is>
          <t>%</t>
        </is>
      </c>
    </row>
    <row r="113">
      <c r="A113" t="inlineStr">
        <is>
          <t>Uruguay</t>
        </is>
      </c>
      <c r="B113" t="n">
        <v>12</v>
      </c>
      <c r="C113" t="inlineStr">
        <is>
          <t>May-22</t>
        </is>
      </c>
      <c r="D113" t="n">
        <v>3.9</v>
      </c>
      <c r="E113" t="inlineStr">
        <is>
          <t>%</t>
        </is>
      </c>
    </row>
    <row r="114">
      <c r="A114" t="inlineStr">
        <is>
          <t>Uzbekistan</t>
        </is>
      </c>
      <c r="B114" t="n">
        <v>5.7</v>
      </c>
      <c r="C114" t="inlineStr">
        <is>
          <t>Mar-22</t>
        </is>
      </c>
      <c r="D114" t="n">
        <v>8.699999999999999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11.5</v>
      </c>
      <c r="C116" t="inlineStr">
        <is>
          <t>Jun-22</t>
        </is>
      </c>
      <c r="D116" t="n">
        <v>9.5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50"/>
  <sheetViews>
    <sheetView workbookViewId="0">
      <pane xSplit="1" ySplit="1" topLeftCell="B1222" activePane="bottomRight" state="frozen"/>
      <selection pane="topRight" activeCell="A1" sqref="A1"/>
      <selection pane="bottomLeft" activeCell="A1" sqref="A1"/>
      <selection pane="bottomRight" activeCell="P16" sqref="P16"/>
    </sheetView>
  </sheetViews>
  <sheetFormatPr baseColWidth="10" defaultColWidth="9.1640625" defaultRowHeight="15"/>
  <cols>
    <col width="11.1640625" customWidth="1" style="87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7" min="46" max="78"/>
    <col width="9.1640625" customWidth="1" style="87" min="79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7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4.836255506</v>
      </c>
      <c r="AU2" t="n">
        <v/>
      </c>
    </row>
    <row r="3">
      <c r="A3" s="107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4.622469869</v>
      </c>
      <c r="AU3" t="n">
        <v/>
      </c>
    </row>
    <row r="4">
      <c r="A4" s="107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4.488903425</v>
      </c>
      <c r="AU4" t="n">
        <v/>
      </c>
    </row>
    <row r="5">
      <c r="A5" s="107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4.569023459</v>
      </c>
      <c r="AU5" t="n">
        <v/>
      </c>
    </row>
    <row r="6">
      <c r="A6" s="107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4.595796243</v>
      </c>
      <c r="AU6" t="n">
        <v/>
      </c>
    </row>
    <row r="7">
      <c r="A7" s="107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4.889701915</v>
      </c>
      <c r="AU7" t="n">
        <v/>
      </c>
    </row>
    <row r="8">
      <c r="A8" s="107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5.183607586</v>
      </c>
      <c r="AU8" t="n">
        <v/>
      </c>
    </row>
    <row r="9">
      <c r="A9" s="107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5.263727621</v>
      </c>
      <c r="AU9" t="n">
        <v/>
      </c>
    </row>
    <row r="10">
      <c r="A10" s="107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5.156834803</v>
      </c>
      <c r="AU10" t="n">
        <v/>
      </c>
    </row>
    <row r="11">
      <c r="A11" s="107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5.103388393</v>
      </c>
      <c r="AU11" t="n">
        <v/>
      </c>
    </row>
    <row r="12">
      <c r="A12" s="107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5.023268359</v>
      </c>
      <c r="AU12" t="n">
        <v/>
      </c>
    </row>
    <row r="13">
      <c r="A13" s="107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5.103388393</v>
      </c>
      <c r="AU13" t="n">
        <v/>
      </c>
    </row>
    <row r="14">
      <c r="A14" s="107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5.584406076</v>
      </c>
      <c r="AU14" t="n">
        <v/>
      </c>
    </row>
    <row r="15">
      <c r="A15" s="107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5.584406076</v>
      </c>
      <c r="AU15" t="n">
        <v/>
      </c>
    </row>
    <row r="16">
      <c r="A16" s="107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5.477513258</v>
      </c>
      <c r="AU16" t="n">
        <v/>
      </c>
    </row>
    <row r="17">
      <c r="A17" s="107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5.183607586</v>
      </c>
      <c r="AU17" t="n">
        <v/>
      </c>
    </row>
    <row r="18">
      <c r="A18" s="107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5.31717403</v>
      </c>
      <c r="AU18" t="n">
        <v/>
      </c>
    </row>
    <row r="19">
      <c r="A19" s="107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5.370620439</v>
      </c>
      <c r="AU19" t="n">
        <v/>
      </c>
    </row>
    <row r="20">
      <c r="A20" s="107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5.237053996</v>
      </c>
      <c r="AU20" t="n">
        <v/>
      </c>
    </row>
    <row r="21">
      <c r="A21" s="107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5.263727621</v>
      </c>
      <c r="AU21" t="n">
        <v/>
      </c>
    </row>
    <row r="22">
      <c r="A22" s="107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5.076714768</v>
      </c>
      <c r="AU22" t="n">
        <v/>
      </c>
    </row>
    <row r="23">
      <c r="A23" s="107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4.862929131</v>
      </c>
      <c r="AU23" t="n">
        <v/>
      </c>
    </row>
    <row r="24">
      <c r="A24" s="107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4.462130641</v>
      </c>
      <c r="AU24" t="n">
        <v/>
      </c>
    </row>
    <row r="25">
      <c r="A25" s="107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4.194997753</v>
      </c>
      <c r="AU25" t="n">
        <v/>
      </c>
    </row>
    <row r="26">
      <c r="A26" s="107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3.954538491</v>
      </c>
      <c r="AU26" t="n">
        <v/>
      </c>
    </row>
    <row r="27">
      <c r="A27" s="107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3.874319298</v>
      </c>
      <c r="AU27" t="n">
        <v/>
      </c>
    </row>
    <row r="28">
      <c r="A28" s="107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3.767426479</v>
      </c>
      <c r="AU28" t="n">
        <v/>
      </c>
    </row>
    <row r="29">
      <c r="A29" s="107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3.767426479</v>
      </c>
      <c r="AU29" t="n">
        <v/>
      </c>
    </row>
    <row r="30">
      <c r="A30" s="107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3.874319298</v>
      </c>
      <c r="AU30" t="n">
        <v/>
      </c>
    </row>
    <row r="31">
      <c r="A31" s="107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3.847645672</v>
      </c>
      <c r="AU31" t="n">
        <v/>
      </c>
    </row>
    <row r="32">
      <c r="A32" s="107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3.820872889</v>
      </c>
      <c r="AU32" t="n">
        <v/>
      </c>
    </row>
    <row r="33">
      <c r="A33" s="107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3.954538491</v>
      </c>
      <c r="AU33" t="n">
        <v/>
      </c>
    </row>
    <row r="34">
      <c r="A34" s="107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3.981212116</v>
      </c>
      <c r="AU34" t="n">
        <v/>
      </c>
    </row>
    <row r="35">
      <c r="A35" s="107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4.221671379</v>
      </c>
      <c r="AU35" t="n">
        <v/>
      </c>
    </row>
    <row r="36">
      <c r="A36" s="107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4.168224969</v>
      </c>
      <c r="AU36" t="n">
        <v/>
      </c>
    </row>
    <row r="37">
      <c r="A37" s="107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4.141551344</v>
      </c>
      <c r="AU37" t="n">
        <v/>
      </c>
    </row>
    <row r="38">
      <c r="A38" s="107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4.301890572</v>
      </c>
      <c r="AU38" t="n">
        <v/>
      </c>
    </row>
    <row r="39">
      <c r="A39" s="107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4.488903425</v>
      </c>
      <c r="AU39" t="n">
        <v/>
      </c>
    </row>
    <row r="40">
      <c r="A40" s="107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4.729362687</v>
      </c>
      <c r="AU40" t="n">
        <v/>
      </c>
    </row>
    <row r="41">
      <c r="A41" s="107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4.569023459</v>
      </c>
      <c r="AU41" t="n">
        <v/>
      </c>
    </row>
    <row r="42">
      <c r="A42" s="107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4.809482722</v>
      </c>
      <c r="AU42" t="n">
        <v/>
      </c>
    </row>
    <row r="43">
      <c r="A43" s="107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5.050041142</v>
      </c>
      <c r="AU43" t="n">
        <v/>
      </c>
    </row>
    <row r="44">
      <c r="A44" s="107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5.050041142</v>
      </c>
      <c r="AU44" t="n">
        <v/>
      </c>
    </row>
    <row r="45">
      <c r="A45" s="107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4.943148324</v>
      </c>
      <c r="AU45" t="n">
        <v/>
      </c>
    </row>
    <row r="46">
      <c r="A46" s="107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5.210281212</v>
      </c>
      <c r="AU46" t="n">
        <v/>
      </c>
    </row>
    <row r="47">
      <c r="A47" s="107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5.504186883</v>
      </c>
      <c r="AU47" t="n">
        <v/>
      </c>
    </row>
    <row r="48">
      <c r="A48" s="107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5.744745304</v>
      </c>
      <c r="AU48" t="n">
        <v/>
      </c>
    </row>
    <row r="49">
      <c r="A49" s="107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5.904985373</v>
      </c>
      <c r="AU49" t="n">
        <v/>
      </c>
    </row>
    <row r="50">
      <c r="A50" s="107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5.771418929</v>
      </c>
      <c r="AU50" t="n">
        <v/>
      </c>
    </row>
    <row r="51">
      <c r="A51" s="107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5.851538964</v>
      </c>
      <c r="AU51" t="n">
        <v/>
      </c>
    </row>
    <row r="52">
      <c r="A52" s="107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6.038650976</v>
      </c>
      <c r="AU52" t="n">
        <v/>
      </c>
    </row>
    <row r="53">
      <c r="A53" s="107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6.172217419</v>
      </c>
      <c r="AU53" t="n">
        <v/>
      </c>
    </row>
    <row r="54">
      <c r="A54" s="107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6.252337454</v>
      </c>
      <c r="AU54" t="n">
        <v/>
      </c>
    </row>
    <row r="55">
      <c r="A55" s="107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6.198891045</v>
      </c>
      <c r="AU55" t="n">
        <v/>
      </c>
    </row>
    <row r="56">
      <c r="A56" s="107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6.145543794</v>
      </c>
      <c r="AU56" t="n">
        <v/>
      </c>
    </row>
    <row r="57">
      <c r="A57" s="107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6.038650976</v>
      </c>
      <c r="AU57" t="n">
        <v/>
      </c>
    </row>
    <row r="58">
      <c r="A58" s="107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5.904985373</v>
      </c>
      <c r="AU58" t="n">
        <v/>
      </c>
    </row>
    <row r="59">
      <c r="A59" s="107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5.878311748</v>
      </c>
      <c r="AU59" t="n">
        <v/>
      </c>
    </row>
    <row r="60">
      <c r="A60" s="107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5.878311748</v>
      </c>
      <c r="AU60" t="n">
        <v/>
      </c>
    </row>
    <row r="61">
      <c r="A61" s="107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5.744745304</v>
      </c>
      <c r="AU61" t="n">
        <v/>
      </c>
    </row>
    <row r="62">
      <c r="A62" s="107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5.878311748</v>
      </c>
      <c r="AU62" t="n">
        <v/>
      </c>
    </row>
    <row r="63">
      <c r="A63" s="107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5.985204566</v>
      </c>
      <c r="AU63" t="n">
        <v/>
      </c>
    </row>
    <row r="64">
      <c r="A64" s="107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5.878311748</v>
      </c>
      <c r="AU64" t="n">
        <v/>
      </c>
    </row>
    <row r="65">
      <c r="A65" s="107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5.691298895</v>
      </c>
      <c r="AU65" t="n">
        <v/>
      </c>
    </row>
    <row r="66">
      <c r="A66" s="107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5.450740474</v>
      </c>
      <c r="AU66" t="n">
        <v/>
      </c>
    </row>
    <row r="67">
      <c r="A67" s="107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5.210281212</v>
      </c>
      <c r="AU67" t="n">
        <v/>
      </c>
    </row>
    <row r="68">
      <c r="A68" s="107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5.130161177</v>
      </c>
      <c r="AU68" t="n">
        <v/>
      </c>
    </row>
    <row r="69">
      <c r="A69" s="107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5.31717403</v>
      </c>
      <c r="AU69" t="n">
        <v/>
      </c>
    </row>
    <row r="70">
      <c r="A70" s="107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5.504186883</v>
      </c>
      <c r="AU70" t="n">
        <v/>
      </c>
    </row>
    <row r="71">
      <c r="A71" s="107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5.637852486</v>
      </c>
      <c r="AU71" t="n">
        <v/>
      </c>
    </row>
    <row r="72">
      <c r="A72" s="107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5.744745304</v>
      </c>
      <c r="AU72" t="n">
        <v/>
      </c>
    </row>
    <row r="73">
      <c r="A73" s="107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5.904985373</v>
      </c>
      <c r="AU73" t="n">
        <v/>
      </c>
    </row>
    <row r="74">
      <c r="A74" s="107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6.092097385</v>
      </c>
      <c r="AU74" t="n">
        <v/>
      </c>
    </row>
    <row r="75">
      <c r="A75" s="107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6.092097385</v>
      </c>
      <c r="AU75" t="n">
        <v/>
      </c>
    </row>
    <row r="76">
      <c r="A76" s="107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6.092097385</v>
      </c>
      <c r="AU76" t="n">
        <v/>
      </c>
    </row>
    <row r="77">
      <c r="A77" s="107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6.145543794</v>
      </c>
      <c r="AU77" t="n">
        <v/>
      </c>
    </row>
    <row r="78">
      <c r="A78" s="107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6.11877101</v>
      </c>
      <c r="AU78" t="n">
        <v/>
      </c>
    </row>
    <row r="79">
      <c r="A79" s="107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6.065324601</v>
      </c>
      <c r="AU79" t="n">
        <v/>
      </c>
    </row>
    <row r="80">
      <c r="A80" s="107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6.225663829</v>
      </c>
      <c r="AU80" t="n">
        <v/>
      </c>
    </row>
    <row r="81">
      <c r="A81" s="107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6.11877101</v>
      </c>
      <c r="AU81" t="n">
        <v/>
      </c>
    </row>
    <row r="82">
      <c r="A82" s="107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6.038650976</v>
      </c>
      <c r="AU82" t="n">
        <v/>
      </c>
    </row>
    <row r="83">
      <c r="A83" s="107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6.279110238</v>
      </c>
      <c r="AU83" t="n">
        <v/>
      </c>
    </row>
    <row r="84">
      <c r="A84" s="107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6.412676682</v>
      </c>
      <c r="AU84" t="n">
        <v/>
      </c>
    </row>
    <row r="85">
      <c r="A85" s="107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6.492895875</v>
      </c>
      <c r="AU85" t="n">
        <v/>
      </c>
    </row>
    <row r="86">
      <c r="A86" s="107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6.386003056</v>
      </c>
      <c r="AU86" t="n">
        <v/>
      </c>
    </row>
    <row r="87">
      <c r="A87" s="107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6.386003056</v>
      </c>
      <c r="AU87" t="n">
        <v/>
      </c>
    </row>
    <row r="88">
      <c r="A88" s="107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6.466123091</v>
      </c>
      <c r="AU88" t="n">
        <v/>
      </c>
    </row>
    <row r="89">
      <c r="A89" s="107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6.466123091</v>
      </c>
      <c r="AU89" t="n">
        <v/>
      </c>
    </row>
    <row r="90">
      <c r="A90" s="107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6.412676682</v>
      </c>
      <c r="AU90" t="n">
        <v/>
      </c>
    </row>
    <row r="91">
      <c r="A91" s="107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6.492796716</v>
      </c>
      <c r="AU91" t="n">
        <v/>
      </c>
    </row>
    <row r="92">
      <c r="A92" s="107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6.5195695</v>
      </c>
      <c r="AU92" t="n">
        <v/>
      </c>
    </row>
    <row r="93">
      <c r="A93" s="107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6.599689535</v>
      </c>
      <c r="AU93" t="n">
        <v/>
      </c>
    </row>
    <row r="94">
      <c r="A94" s="107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6.706582353</v>
      </c>
      <c r="AU94" t="n">
        <v/>
      </c>
    </row>
    <row r="95">
      <c r="A95" s="107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6.706582353</v>
      </c>
      <c r="AU95" t="n">
        <v/>
      </c>
    </row>
    <row r="96">
      <c r="A96" s="107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6.679908728</v>
      </c>
      <c r="AU96" t="n">
        <v/>
      </c>
    </row>
    <row r="97">
      <c r="A97" s="107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6.653135944</v>
      </c>
      <c r="AU97" t="n">
        <v/>
      </c>
    </row>
    <row r="98">
      <c r="A98" s="107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6.626462319</v>
      </c>
      <c r="AU98" t="n">
        <v/>
      </c>
    </row>
    <row r="99">
      <c r="A99" s="107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6.679908728</v>
      </c>
      <c r="AU99" t="n">
        <v/>
      </c>
    </row>
    <row r="100">
      <c r="A100" s="107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6.760028763</v>
      </c>
      <c r="AU100" t="n">
        <v/>
      </c>
    </row>
    <row r="101">
      <c r="A101" s="107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6.599689535</v>
      </c>
      <c r="AU101" t="n">
        <v/>
      </c>
    </row>
    <row r="102">
      <c r="A102" s="107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6.653135944</v>
      </c>
      <c r="AU102" t="n">
        <v/>
      </c>
    </row>
    <row r="103">
      <c r="A103" s="107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6.626462319</v>
      </c>
      <c r="AU103" t="n">
        <v/>
      </c>
    </row>
    <row r="104">
      <c r="A104" s="107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6.546243126</v>
      </c>
      <c r="AU104" t="n">
        <v/>
      </c>
    </row>
    <row r="105">
      <c r="A105" s="107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6.546243126</v>
      </c>
      <c r="AU105" t="n">
        <v/>
      </c>
    </row>
    <row r="106">
      <c r="A106" s="107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6.439449466</v>
      </c>
      <c r="AU106" t="n">
        <v/>
      </c>
    </row>
    <row r="107">
      <c r="A107" s="107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6.305783863</v>
      </c>
      <c r="AU107" t="n">
        <v/>
      </c>
    </row>
    <row r="108">
      <c r="A108" s="107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6.305783863</v>
      </c>
      <c r="AU108" t="n">
        <v/>
      </c>
    </row>
    <row r="109">
      <c r="A109" s="107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6.332556647</v>
      </c>
      <c r="AU109" t="n">
        <v/>
      </c>
    </row>
    <row r="110">
      <c r="A110" s="107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6.466123091</v>
      </c>
      <c r="AU110" t="n">
        <v/>
      </c>
    </row>
    <row r="111">
      <c r="A111" s="107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6.5195695</v>
      </c>
      <c r="AU111" t="n">
        <v/>
      </c>
    </row>
    <row r="112">
      <c r="A112" s="107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6.573015909</v>
      </c>
      <c r="AU112" t="n">
        <v/>
      </c>
    </row>
    <row r="113">
      <c r="A113" s="107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6.546243126</v>
      </c>
      <c r="AU113" t="n">
        <v/>
      </c>
    </row>
    <row r="114">
      <c r="A114" s="107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6.626462319</v>
      </c>
      <c r="AU114" t="n">
        <v/>
      </c>
    </row>
    <row r="115">
      <c r="A115" s="107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6.679908728</v>
      </c>
      <c r="AU115" t="n">
        <v/>
      </c>
    </row>
    <row r="116">
      <c r="A116" s="107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6.760028763</v>
      </c>
      <c r="AU116" t="n">
        <v/>
      </c>
    </row>
    <row r="117">
      <c r="A117" s="107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6.893694365</v>
      </c>
      <c r="AU117" t="n">
        <v/>
      </c>
    </row>
    <row r="118">
      <c r="A118" s="107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6.947041616</v>
      </c>
      <c r="AU118" t="n">
        <v/>
      </c>
    </row>
    <row r="119">
      <c r="A119" s="107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7.080707218</v>
      </c>
      <c r="AU119" t="n">
        <v/>
      </c>
    </row>
    <row r="120">
      <c r="A120" s="107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7.214273662</v>
      </c>
      <c r="AU120" t="n">
        <v/>
      </c>
    </row>
    <row r="121">
      <c r="A121" s="107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7.347840106</v>
      </c>
      <c r="AU121" t="n">
        <v/>
      </c>
    </row>
    <row r="122">
      <c r="A122" s="107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7.454732924</v>
      </c>
      <c r="AU122" t="n">
        <v/>
      </c>
    </row>
    <row r="123">
      <c r="A123" s="107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7.428059299</v>
      </c>
      <c r="AU123" t="n">
        <v/>
      </c>
    </row>
    <row r="124">
      <c r="A124" s="107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7.454732924</v>
      </c>
      <c r="AU124" t="n">
        <v/>
      </c>
    </row>
    <row r="125">
      <c r="A125" s="107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7.588398526</v>
      </c>
      <c r="AU125" t="n">
        <v/>
      </c>
    </row>
    <row r="126">
      <c r="A126" s="107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7.72196497</v>
      </c>
      <c r="AU126" t="n">
        <v/>
      </c>
    </row>
    <row r="127">
      <c r="A127" s="107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7.77541138</v>
      </c>
      <c r="AU127" t="n">
        <v/>
      </c>
    </row>
    <row r="128">
      <c r="A128" s="107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7.882304198</v>
      </c>
      <c r="AU128" t="n">
        <v/>
      </c>
    </row>
    <row r="129">
      <c r="A129" s="107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7.802085005</v>
      </c>
      <c r="AU129" t="n">
        <v/>
      </c>
    </row>
    <row r="130">
      <c r="A130" s="107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7.748638596</v>
      </c>
      <c r="AU130" t="n">
        <v/>
      </c>
    </row>
    <row r="131">
      <c r="A131" s="107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7.615072152</v>
      </c>
      <c r="AU131" t="n">
        <v/>
      </c>
    </row>
    <row r="132">
      <c r="A132" s="107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7.241046446</v>
      </c>
      <c r="AU132" t="n">
        <v/>
      </c>
    </row>
    <row r="133">
      <c r="A133" s="107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6.92036799</v>
      </c>
      <c r="AU133" t="n">
        <v/>
      </c>
    </row>
    <row r="134">
      <c r="A134" s="107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6.92036799</v>
      </c>
      <c r="AU134" t="n">
        <v/>
      </c>
    </row>
    <row r="135">
      <c r="A135" s="107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6.893595206</v>
      </c>
      <c r="AU135" t="n">
        <v/>
      </c>
    </row>
    <row r="136">
      <c r="A136" s="107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6.786801546</v>
      </c>
      <c r="AU136" t="n">
        <v/>
      </c>
    </row>
    <row r="137">
      <c r="A137" s="107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6.733355137</v>
      </c>
      <c r="AU137" t="n">
        <v/>
      </c>
    </row>
    <row r="138">
      <c r="A138" s="107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6.626462319</v>
      </c>
      <c r="AU138" t="n">
        <v/>
      </c>
    </row>
    <row r="139">
      <c r="A139" s="107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6.439449466</v>
      </c>
      <c r="AU139" t="n">
        <v/>
      </c>
    </row>
    <row r="140">
      <c r="A140" s="107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6.145543794</v>
      </c>
      <c r="AU140" t="n">
        <v/>
      </c>
    </row>
    <row r="141">
      <c r="A141" s="107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6.011878192</v>
      </c>
      <c r="AU141" t="n">
        <v/>
      </c>
    </row>
    <row r="142">
      <c r="A142" s="107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5.904985373</v>
      </c>
      <c r="AU142" t="n">
        <v/>
      </c>
    </row>
    <row r="143">
      <c r="A143" s="107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5.744745304</v>
      </c>
      <c r="AU143" t="n">
        <v/>
      </c>
    </row>
    <row r="144">
      <c r="A144" s="107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5.611079702</v>
      </c>
      <c r="AU144" t="n">
        <v/>
      </c>
    </row>
    <row r="145">
      <c r="A145" s="107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5.477513258</v>
      </c>
      <c r="AU145" t="n">
        <v/>
      </c>
    </row>
    <row r="146">
      <c r="A146" s="107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5.450740474</v>
      </c>
      <c r="AU146" t="n">
        <v/>
      </c>
    </row>
    <row r="147">
      <c r="A147" s="107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5.477513258</v>
      </c>
      <c r="AU147" t="n">
        <v/>
      </c>
    </row>
    <row r="148">
      <c r="A148" s="107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5.584406076</v>
      </c>
      <c r="AU148" t="n">
        <v/>
      </c>
    </row>
    <row r="149">
      <c r="A149" s="107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5.611079702</v>
      </c>
      <c r="AU149" t="n">
        <v/>
      </c>
    </row>
    <row r="150">
      <c r="A150" s="107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5.530959667</v>
      </c>
      <c r="AU150" t="n">
        <v/>
      </c>
    </row>
    <row r="151">
      <c r="A151" s="107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5.397393223</v>
      </c>
      <c r="AU151" t="n">
        <v/>
      </c>
    </row>
    <row r="152">
      <c r="A152" s="107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5.31717403</v>
      </c>
      <c r="AU152" t="n">
        <v/>
      </c>
    </row>
    <row r="153">
      <c r="A153" s="107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5.130161177</v>
      </c>
      <c r="AU153" t="n">
        <v/>
      </c>
    </row>
    <row r="154">
      <c r="A154" s="107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4.889701915</v>
      </c>
      <c r="AU154" t="n">
        <v/>
      </c>
    </row>
    <row r="155">
      <c r="A155" s="107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4.702689062</v>
      </c>
      <c r="AU155" t="n">
        <v/>
      </c>
    </row>
    <row r="156">
      <c r="A156" s="107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4.649242652</v>
      </c>
      <c r="AU156" t="n">
        <v/>
      </c>
    </row>
    <row r="157">
      <c r="A157" s="107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4.622469869</v>
      </c>
      <c r="AU157" t="n">
        <v/>
      </c>
    </row>
    <row r="158">
      <c r="A158" s="107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4.488903425</v>
      </c>
      <c r="AU158" t="n">
        <v/>
      </c>
    </row>
    <row r="159">
      <c r="A159" s="107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4.382010606</v>
      </c>
      <c r="AU159" t="n">
        <v/>
      </c>
    </row>
    <row r="160">
      <c r="A160" s="107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4.328564197</v>
      </c>
      <c r="AU160" t="n">
        <v/>
      </c>
    </row>
    <row r="161">
      <c r="A161" s="107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4.034658526</v>
      </c>
      <c r="AU161" t="n">
        <v/>
      </c>
    </row>
    <row r="162">
      <c r="A162" s="107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3.901092082</v>
      </c>
      <c r="AU162" t="n">
        <v/>
      </c>
    </row>
    <row r="163">
      <c r="A163" s="107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3.767426479</v>
      </c>
      <c r="AU163" t="n">
        <v/>
      </c>
    </row>
    <row r="164">
      <c r="A164" s="107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3.660533661</v>
      </c>
      <c r="AU164" t="n">
        <v/>
      </c>
    </row>
    <row r="165">
      <c r="A165" s="107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3.767426479</v>
      </c>
      <c r="AU165" t="n">
        <v/>
      </c>
    </row>
    <row r="166">
      <c r="A166" s="107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4.007885742</v>
      </c>
      <c r="AU166" t="n">
        <v/>
      </c>
    </row>
    <row r="167">
      <c r="A167" s="107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4.141551344</v>
      </c>
      <c r="AU167" t="n">
        <v/>
      </c>
    </row>
    <row r="168">
      <c r="A168" s="107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4.141551344</v>
      </c>
      <c r="AU168" t="n">
        <v/>
      </c>
    </row>
    <row r="169">
      <c r="A169" s="107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4.061332151</v>
      </c>
      <c r="AU169" t="n">
        <v/>
      </c>
    </row>
    <row r="170">
      <c r="A170" s="107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3.981212116</v>
      </c>
      <c r="AU170" t="n">
        <v/>
      </c>
    </row>
    <row r="171">
      <c r="A171" s="107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4.007885742</v>
      </c>
      <c r="AU171" t="n">
        <v/>
      </c>
    </row>
    <row r="172">
      <c r="A172" s="107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3.767426479</v>
      </c>
      <c r="AU172" t="n">
        <v/>
      </c>
    </row>
    <row r="173">
      <c r="A173" s="107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4.034658526</v>
      </c>
      <c r="AU173" t="n">
        <v/>
      </c>
    </row>
    <row r="174">
      <c r="A174" s="107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4.702689062</v>
      </c>
      <c r="AU174" t="n">
        <v/>
      </c>
    </row>
    <row r="175">
      <c r="A175" s="107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5.424066849</v>
      </c>
      <c r="AU175" t="n">
        <v/>
      </c>
    </row>
    <row r="176">
      <c r="A176" s="107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5.931758157</v>
      </c>
      <c r="AU176" t="n">
        <v/>
      </c>
    </row>
    <row r="177">
      <c r="A177" s="107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5.691298895</v>
      </c>
      <c r="AU177" t="n">
        <v/>
      </c>
    </row>
    <row r="178">
      <c r="A178" s="107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5.370620439</v>
      </c>
      <c r="AU178" t="n">
        <v/>
      </c>
    </row>
    <row r="179">
      <c r="A179" s="107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5.103388393</v>
      </c>
      <c r="AU179" t="n">
        <v/>
      </c>
    </row>
    <row r="180">
      <c r="A180" s="107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4.809482722</v>
      </c>
      <c r="AU180" t="n">
        <v/>
      </c>
    </row>
    <row r="181">
      <c r="A181" s="107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4.836255506</v>
      </c>
      <c r="AU181" t="n">
        <v/>
      </c>
    </row>
    <row r="182">
      <c r="A182" s="107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4.996594733</v>
      </c>
      <c r="AU182" t="n">
        <v/>
      </c>
    </row>
    <row r="183">
      <c r="A183" s="107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5.237053996</v>
      </c>
      <c r="AU183" t="n">
        <v/>
      </c>
    </row>
    <row r="184">
      <c r="A184" s="107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5.477513258</v>
      </c>
      <c r="AU184" t="n">
        <v/>
      </c>
    </row>
    <row r="185">
      <c r="A185" s="107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5.477513258</v>
      </c>
      <c r="AU185" t="n">
        <v/>
      </c>
    </row>
    <row r="186">
      <c r="A186" s="107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5.584406076</v>
      </c>
      <c r="AU186" t="n">
        <v/>
      </c>
    </row>
    <row r="187">
      <c r="A187" s="107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5.477513258</v>
      </c>
      <c r="AU187" t="n">
        <v>1.439518</v>
      </c>
    </row>
    <row r="188">
      <c r="A188" s="107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5.103388393</v>
      </c>
      <c r="AU188" t="n">
        <v>0.740852</v>
      </c>
    </row>
    <row r="189">
      <c r="A189" s="107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5.050041142</v>
      </c>
      <c r="AU189" t="n">
        <v>-0.142492</v>
      </c>
    </row>
    <row r="190">
      <c r="A190" s="107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4.756036312</v>
      </c>
      <c r="AU190" t="n">
        <v>1.084857</v>
      </c>
    </row>
    <row r="191">
      <c r="A191" s="107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4.969821949</v>
      </c>
      <c r="AU191" t="n">
        <v>1.124755</v>
      </c>
    </row>
    <row r="192">
      <c r="A192" s="107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5.023268359</v>
      </c>
      <c r="AU192" t="n">
        <v>1.669118</v>
      </c>
    </row>
    <row r="193">
      <c r="A193" s="107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5.343946814</v>
      </c>
      <c r="AU193" t="n">
        <v>0.361223</v>
      </c>
    </row>
    <row r="194">
      <c r="A194" s="107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5.771418929</v>
      </c>
      <c r="AU194" t="n">
        <v>0.444021</v>
      </c>
    </row>
    <row r="195">
      <c r="A195" s="107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5.878311748</v>
      </c>
      <c r="AU195" t="n">
        <v>0.431641</v>
      </c>
    </row>
    <row r="196">
      <c r="A196" s="107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5.851538964</v>
      </c>
      <c r="AU196" t="n">
        <v>0.394653</v>
      </c>
    </row>
    <row r="197">
      <c r="A197" s="107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5.744745304</v>
      </c>
      <c r="AU197" t="n">
        <v>1.403239</v>
      </c>
    </row>
    <row r="198">
      <c r="A198" s="107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5.744745304</v>
      </c>
      <c r="AU198" t="n">
        <v>1.873041</v>
      </c>
    </row>
    <row r="199">
      <c r="A199" s="107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5.824865339</v>
      </c>
      <c r="AU199" t="n">
        <v>1.13476</v>
      </c>
    </row>
    <row r="200">
      <c r="A200" s="107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5.824865339</v>
      </c>
      <c r="AU200" t="n">
        <v>0.948474</v>
      </c>
    </row>
    <row r="201">
      <c r="A201" s="107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6.038650976</v>
      </c>
      <c r="AU201" t="n">
        <v>0.287285</v>
      </c>
    </row>
    <row r="202">
      <c r="A202" s="107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6.198891045</v>
      </c>
      <c r="AU202" t="n">
        <v>0.611664</v>
      </c>
    </row>
    <row r="203">
      <c r="A203" s="107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6.386003056</v>
      </c>
      <c r="AU203" t="n">
        <v>0.208898</v>
      </c>
    </row>
    <row r="204">
      <c r="A204" s="107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6.5195695</v>
      </c>
      <c r="AU204" t="n">
        <v>0.150986</v>
      </c>
    </row>
    <row r="205">
      <c r="A205" s="107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6.599689535</v>
      </c>
      <c r="AU205" t="n">
        <v>0.126386</v>
      </c>
    </row>
    <row r="206">
      <c r="A206" s="107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6.492895875</v>
      </c>
      <c r="AU206" t="n">
        <v>0.141419</v>
      </c>
    </row>
    <row r="207">
      <c r="A207" s="107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6.332556647</v>
      </c>
      <c r="AU207" t="n">
        <v>-0.219162</v>
      </c>
    </row>
    <row r="208">
      <c r="A208" s="107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6.412676682</v>
      </c>
      <c r="AU208" t="n">
        <v>0.096626</v>
      </c>
    </row>
    <row r="209">
      <c r="A209" s="107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6.813475172</v>
      </c>
      <c r="AU209" t="n">
        <v>0.919591</v>
      </c>
    </row>
    <row r="210">
      <c r="A210" s="107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6.947041616</v>
      </c>
      <c r="AU210" t="n">
        <v>0.795848</v>
      </c>
    </row>
    <row r="211">
      <c r="A211" s="107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7.080707218</v>
      </c>
      <c r="AU211" t="n">
        <v>1.092119</v>
      </c>
    </row>
    <row r="212">
      <c r="A212" s="107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7.214273662</v>
      </c>
      <c r="AU212" t="n">
        <v>1.099653</v>
      </c>
    </row>
    <row r="213">
      <c r="A213" s="107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7.32116648</v>
      </c>
      <c r="AU213" t="n">
        <v>1.124835</v>
      </c>
    </row>
    <row r="214">
      <c r="A214" s="107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7.454732924</v>
      </c>
      <c r="AU214" t="n">
        <v>0.920104</v>
      </c>
    </row>
    <row r="215">
      <c r="A215" s="107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7.561625743</v>
      </c>
      <c r="AU215" t="n">
        <v>0.990386</v>
      </c>
    </row>
    <row r="216">
      <c r="A216" s="107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7.77541138</v>
      </c>
      <c r="AU216" t="n">
        <v>0.850764</v>
      </c>
    </row>
    <row r="217">
      <c r="A217" s="107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8.015870641999999</v>
      </c>
      <c r="AU217" t="n">
        <v>0.649408</v>
      </c>
    </row>
    <row r="218">
      <c r="A218" s="107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7.989097858</v>
      </c>
      <c r="AU218" t="n">
        <v>0.49991</v>
      </c>
    </row>
    <row r="219">
      <c r="A219" s="107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8.095990676</v>
      </c>
      <c r="AU219" t="n">
        <v>0.265579</v>
      </c>
    </row>
    <row r="220">
      <c r="A220" s="107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8.283102688</v>
      </c>
      <c r="AU220" t="n">
        <v>0.768899</v>
      </c>
    </row>
    <row r="221">
      <c r="A221" s="107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8.283102688</v>
      </c>
      <c r="AU221" t="n">
        <v>1.297595</v>
      </c>
    </row>
    <row r="222">
      <c r="A222" s="107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8.309776313</v>
      </c>
      <c r="AU222" t="n">
        <v>1.210956</v>
      </c>
    </row>
    <row r="223">
      <c r="A223" s="107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8.202883495</v>
      </c>
      <c r="AU223" t="n">
        <v>0.820279</v>
      </c>
    </row>
    <row r="224">
      <c r="A224" s="107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8.256329903999999</v>
      </c>
      <c r="AU224" t="n">
        <v>0.668049</v>
      </c>
    </row>
    <row r="225">
      <c r="A225" s="107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8.202883495</v>
      </c>
      <c r="AU225" t="n">
        <v>0.92537</v>
      </c>
    </row>
    <row r="226">
      <c r="A226" s="107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7.935750607</v>
      </c>
      <c r="AU226" t="n">
        <v>0.488346</v>
      </c>
    </row>
    <row r="227">
      <c r="A227" s="107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7.347840106</v>
      </c>
      <c r="AU227" t="n">
        <v>0.542675</v>
      </c>
    </row>
    <row r="228">
      <c r="A228" s="107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6.626462319</v>
      </c>
      <c r="AU228" t="n">
        <v>0.57686</v>
      </c>
    </row>
    <row r="229">
      <c r="A229" s="107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6.038650976</v>
      </c>
      <c r="AU229" t="n">
        <v>1.513863</v>
      </c>
    </row>
    <row r="230">
      <c r="A230" s="107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5.904985373</v>
      </c>
      <c r="AU230" t="n">
        <v>1.397434</v>
      </c>
    </row>
    <row r="231">
      <c r="A231" s="107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5.851538964</v>
      </c>
      <c r="AU231" t="n">
        <v>1.635115</v>
      </c>
    </row>
    <row r="232">
      <c r="A232" s="107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5.851538964</v>
      </c>
      <c r="AU232" t="n">
        <v>1.067865</v>
      </c>
    </row>
    <row r="233">
      <c r="A233" s="107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5.744745304</v>
      </c>
      <c r="AU233" t="n">
        <v>1.016627</v>
      </c>
    </row>
    <row r="234">
      <c r="A234" s="107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5.611079702</v>
      </c>
      <c r="AU234" t="n">
        <v>1.794583</v>
      </c>
    </row>
    <row r="235">
      <c r="A235" s="107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5.664526111</v>
      </c>
      <c r="AU235" t="n">
        <v>1.363622</v>
      </c>
    </row>
    <row r="236">
      <c r="A236" s="107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5.985204566</v>
      </c>
      <c r="AU236" t="n">
        <v>0.669611</v>
      </c>
    </row>
    <row r="237">
      <c r="A237" s="107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6.305783863</v>
      </c>
      <c r="AU237" t="n">
        <v>1.756821</v>
      </c>
    </row>
    <row r="238">
      <c r="A238" s="107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6.492895875</v>
      </c>
      <c r="AU238" t="n">
        <v>1.420302</v>
      </c>
    </row>
    <row r="239">
      <c r="A239" s="107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6.653135944</v>
      </c>
      <c r="AU239" t="n">
        <v>1.381133</v>
      </c>
    </row>
    <row r="240">
      <c r="A240" s="107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6.92036799</v>
      </c>
      <c r="AU240" t="n">
        <v>1.382769</v>
      </c>
    </row>
    <row r="241">
      <c r="A241" s="107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7.000488025</v>
      </c>
      <c r="AU241" t="n">
        <v>1.623794</v>
      </c>
    </row>
    <row r="242">
      <c r="A242" s="107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7.000488025</v>
      </c>
      <c r="AU242" t="n">
        <v>0.819509</v>
      </c>
    </row>
    <row r="243">
      <c r="A243" s="107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7.053934434</v>
      </c>
      <c r="AU243" t="n">
        <v>1.17193</v>
      </c>
    </row>
    <row r="244">
      <c r="A244" s="107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7.080707218</v>
      </c>
      <c r="AU244" t="n">
        <v>1.416847</v>
      </c>
    </row>
    <row r="245">
      <c r="A245" s="107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7.053934434</v>
      </c>
      <c r="AU245" t="n">
        <v>0.420212</v>
      </c>
    </row>
    <row r="246">
      <c r="A246" s="107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7.027260809</v>
      </c>
      <c r="AU246" t="n">
        <v>1.220868</v>
      </c>
    </row>
    <row r="247">
      <c r="A247" s="107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7.187600036</v>
      </c>
      <c r="AU247" t="n">
        <v>0.238976</v>
      </c>
    </row>
    <row r="248">
      <c r="A248" s="107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7.401286515</v>
      </c>
      <c r="AU248" t="n">
        <v>-0.569327</v>
      </c>
    </row>
    <row r="249">
      <c r="A249" s="107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7.508179333</v>
      </c>
      <c r="AU249" t="n">
        <v>-1.555488</v>
      </c>
    </row>
    <row r="250">
      <c r="A250" s="107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7.962424233</v>
      </c>
      <c r="AU250" t="n">
        <v>-0.343175</v>
      </c>
    </row>
    <row r="251">
      <c r="A251" s="107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8.363222723</v>
      </c>
      <c r="AU251" t="n">
        <v>0.231904</v>
      </c>
    </row>
    <row r="252">
      <c r="A252" s="107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8.577008360000001</v>
      </c>
      <c r="AU252" t="n">
        <v>0.6667689999999999</v>
      </c>
    </row>
    <row r="253">
      <c r="A253" s="107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8.577008360000001</v>
      </c>
      <c r="AU253" t="n">
        <v>1.138547</v>
      </c>
    </row>
    <row r="254">
      <c r="A254" s="107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8.470115541</v>
      </c>
      <c r="AU254" t="n">
        <v>0.682244</v>
      </c>
    </row>
    <row r="255">
      <c r="A255" s="107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8.202883495</v>
      </c>
      <c r="AU255" t="n">
        <v>1.111748</v>
      </c>
    </row>
    <row r="256">
      <c r="A256" s="107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8.015870641999999</v>
      </c>
      <c r="AU256" t="n">
        <v>1.069624</v>
      </c>
    </row>
    <row r="257">
      <c r="A257" s="107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8.176209869999999</v>
      </c>
      <c r="AU257" t="n">
        <v>0.9508259999999999</v>
      </c>
    </row>
    <row r="258">
      <c r="A258" s="107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8.416669132000001</v>
      </c>
      <c r="AU258" t="n">
        <v>0.574942</v>
      </c>
    </row>
    <row r="259">
      <c r="A259" s="107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8.68380202</v>
      </c>
      <c r="AU259" t="n">
        <v>0.298202</v>
      </c>
    </row>
    <row r="260">
      <c r="A260" s="107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8.790694838</v>
      </c>
      <c r="AU260" t="n">
        <v>0.7621019999999999</v>
      </c>
    </row>
    <row r="261">
      <c r="A261" s="107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8.844141247</v>
      </c>
      <c r="AU261" t="n">
        <v>0.399771</v>
      </c>
    </row>
    <row r="262">
      <c r="A262" s="107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9.031253259</v>
      </c>
      <c r="AU262" t="n">
        <v>0.897717</v>
      </c>
    </row>
    <row r="263">
      <c r="A263" s="107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9.164819702999999</v>
      </c>
      <c r="AU263" t="n">
        <v>0.299332</v>
      </c>
    </row>
    <row r="264">
      <c r="A264" s="107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9.37860534</v>
      </c>
      <c r="AU264" t="n">
        <v>0.435785</v>
      </c>
    </row>
    <row r="265">
      <c r="A265" s="107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9.699184637</v>
      </c>
      <c r="AU265" t="n">
        <v>0.413646</v>
      </c>
    </row>
    <row r="266">
      <c r="A266" s="107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9.939643899</v>
      </c>
      <c r="AU266" t="n">
        <v>1.060008</v>
      </c>
    </row>
    <row r="267">
      <c r="A267" s="107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10.23354957</v>
      </c>
      <c r="AU267" t="n">
        <v>0.459097</v>
      </c>
    </row>
    <row r="268">
      <c r="A268" s="107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10.554228026</v>
      </c>
      <c r="AU268" t="n">
        <v>1.287982</v>
      </c>
    </row>
    <row r="269">
      <c r="A269" s="107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10.580901651</v>
      </c>
      <c r="AU269" t="n">
        <v>-0.390104</v>
      </c>
    </row>
    <row r="270">
      <c r="A270" s="107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11.061919334</v>
      </c>
      <c r="AU270" t="n">
        <v>0.244204</v>
      </c>
    </row>
    <row r="271">
      <c r="A271" s="107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11.142039369</v>
      </c>
      <c r="AU271" t="n">
        <v>0.637474</v>
      </c>
    </row>
    <row r="272">
      <c r="A272" s="107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11.275605813</v>
      </c>
      <c r="AU272" t="n">
        <v>1.086025</v>
      </c>
    </row>
    <row r="273">
      <c r="A273" s="107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11.409271415</v>
      </c>
      <c r="AU273" t="n">
        <v>0.430871</v>
      </c>
    </row>
    <row r="274">
      <c r="A274" s="107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11.409271415</v>
      </c>
      <c r="AU274" t="n">
        <v>-0.522174</v>
      </c>
    </row>
    <row r="275">
      <c r="A275" s="107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11.516164234</v>
      </c>
      <c r="AU275" t="n">
        <v>0.055541</v>
      </c>
    </row>
    <row r="276">
      <c r="A276" s="107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11.569610643</v>
      </c>
      <c r="AU276" t="n">
        <v>0.080882</v>
      </c>
    </row>
    <row r="277">
      <c r="A277" s="107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11.756623496</v>
      </c>
      <c r="AU277" t="n">
        <v>-0.203199</v>
      </c>
    </row>
    <row r="278">
      <c r="A278" s="107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11.997082758</v>
      </c>
      <c r="AU278" t="n">
        <v>0.887309</v>
      </c>
    </row>
    <row r="279">
      <c r="A279" s="107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12.210868395</v>
      </c>
      <c r="AU279" t="n">
        <v>0.244169</v>
      </c>
    </row>
    <row r="280">
      <c r="A280" s="107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12.344434839</v>
      </c>
      <c r="AU280" t="n">
        <v>0.096876</v>
      </c>
    </row>
    <row r="281">
      <c r="A281" s="107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11.997082758</v>
      </c>
      <c r="AU281" t="n">
        <v>-0.118535</v>
      </c>
    </row>
    <row r="282">
      <c r="A282" s="107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12.023756384</v>
      </c>
      <c r="AU282" t="n">
        <v>0.721479</v>
      </c>
    </row>
    <row r="283">
      <c r="A283" s="107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12.050529167</v>
      </c>
      <c r="AU283" t="n">
        <v>0.5630309999999999</v>
      </c>
    </row>
    <row r="284">
      <c r="A284" s="107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12.344434839</v>
      </c>
      <c r="AU284" t="n">
        <v>0.76217</v>
      </c>
    </row>
    <row r="285">
      <c r="A285" s="107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12.718460545</v>
      </c>
      <c r="AU285" t="n">
        <v>-0.655325</v>
      </c>
    </row>
    <row r="286">
      <c r="A286" s="107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13.012465375</v>
      </c>
      <c r="AU286" t="n">
        <v>-0.173665</v>
      </c>
    </row>
    <row r="287">
      <c r="A287" s="107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13.439937491</v>
      </c>
      <c r="AU287" t="n">
        <v/>
      </c>
    </row>
    <row r="288">
      <c r="A288" s="107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13.760615946</v>
      </c>
      <c r="AU288" t="n">
        <v/>
      </c>
    </row>
    <row r="289">
      <c r="A289" s="107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14.081195243</v>
      </c>
      <c r="AU289" t="n">
        <v/>
      </c>
    </row>
    <row r="290">
      <c r="A290" s="107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14.214860845</v>
      </c>
      <c r="AU290" t="n">
        <v/>
      </c>
    </row>
    <row r="291">
      <c r="A291" s="107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14.588886551</v>
      </c>
      <c r="AU291" t="n">
        <v/>
      </c>
    </row>
    <row r="292">
      <c r="A292" s="107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14.69577937</v>
      </c>
      <c r="AU292" t="n">
        <v/>
      </c>
    </row>
    <row r="293">
      <c r="A293" s="107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14.882792223</v>
      </c>
      <c r="AU293" t="n">
        <v/>
      </c>
    </row>
    <row r="294">
      <c r="A294" s="107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14.989685041</v>
      </c>
      <c r="AU294" t="n">
        <v/>
      </c>
    </row>
    <row r="295">
      <c r="A295" s="107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14.909565007</v>
      </c>
      <c r="AU295" t="n">
        <v/>
      </c>
    </row>
    <row r="296">
      <c r="A296" s="107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15.363710748</v>
      </c>
      <c r="AU296" t="n">
        <v/>
      </c>
    </row>
    <row r="297">
      <c r="A297" s="107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15.684389203</v>
      </c>
      <c r="AU297" t="n">
        <v/>
      </c>
    </row>
    <row r="298">
      <c r="A298" s="107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16.085187693</v>
      </c>
      <c r="AU298" t="n">
        <v/>
      </c>
    </row>
    <row r="299">
      <c r="A299" s="107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16.325646955</v>
      </c>
      <c r="AU299" t="n">
        <v/>
      </c>
    </row>
    <row r="300">
      <c r="A300" s="107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16.539432592</v>
      </c>
      <c r="AU300" t="n">
        <v/>
      </c>
    </row>
    <row r="301">
      <c r="A301" s="107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16.325646955</v>
      </c>
      <c r="AU301" t="n">
        <v/>
      </c>
    </row>
    <row r="302">
      <c r="A302" s="107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16.512659808</v>
      </c>
      <c r="AU302" t="n">
        <v/>
      </c>
    </row>
    <row r="303">
      <c r="A303" s="107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16.646325411</v>
      </c>
      <c r="AU303" t="n">
        <v/>
      </c>
    </row>
    <row r="304">
      <c r="A304" s="107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16.619552627</v>
      </c>
      <c r="AU304" t="n">
        <v/>
      </c>
    </row>
    <row r="305">
      <c r="A305" s="107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16.619552627</v>
      </c>
      <c r="AU305" t="n">
        <v/>
      </c>
    </row>
    <row r="306">
      <c r="A306" s="107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16.512659808</v>
      </c>
      <c r="AU306" t="n">
        <v/>
      </c>
    </row>
    <row r="307">
      <c r="A307" s="107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16.459213399</v>
      </c>
      <c r="AU307" t="n">
        <v/>
      </c>
    </row>
    <row r="308">
      <c r="A308" s="107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16.432539774</v>
      </c>
      <c r="AU308" t="n">
        <v/>
      </c>
    </row>
    <row r="309">
      <c r="A309" s="107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16.646325411</v>
      </c>
      <c r="AU309" t="n">
        <v/>
      </c>
    </row>
    <row r="310">
      <c r="A310" s="107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16.539432592</v>
      </c>
      <c r="AU310" t="n">
        <v/>
      </c>
    </row>
    <row r="311">
      <c r="A311" s="107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16.592879001</v>
      </c>
      <c r="AU311" t="n">
        <v/>
      </c>
    </row>
    <row r="312">
      <c r="A312" s="107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16.459213399</v>
      </c>
      <c r="AU312" t="n">
        <v/>
      </c>
    </row>
    <row r="313">
      <c r="A313" s="107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16.40576699</v>
      </c>
      <c r="AU313" t="n">
        <v/>
      </c>
    </row>
    <row r="314">
      <c r="A314" s="107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16.245526921</v>
      </c>
      <c r="AU314" t="n">
        <v/>
      </c>
    </row>
    <row r="315">
      <c r="A315" s="107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16.192080511</v>
      </c>
      <c r="AU315" t="n">
        <v/>
      </c>
    </row>
    <row r="316">
      <c r="A316" s="107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16.085187693</v>
      </c>
      <c r="AU316" t="n">
        <v/>
      </c>
    </row>
    <row r="317">
      <c r="A317" s="107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15.791282021</v>
      </c>
      <c r="AU317" t="n">
        <v/>
      </c>
    </row>
    <row r="318">
      <c r="A318" s="107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15.363710748</v>
      </c>
      <c r="AU318" t="n">
        <v/>
      </c>
    </row>
    <row r="319">
      <c r="A319" s="107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15.016358667</v>
      </c>
      <c r="AU319" t="n">
        <v/>
      </c>
    </row>
    <row r="320">
      <c r="A320" s="107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14.669006586</v>
      </c>
      <c r="AU320" t="n">
        <v/>
      </c>
    </row>
    <row r="321">
      <c r="A321" s="107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13.146031819</v>
      </c>
      <c r="AU321" t="n">
        <v/>
      </c>
    </row>
    <row r="322">
      <c r="A322" s="107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11.970409133</v>
      </c>
      <c r="AU322" t="n">
        <v/>
      </c>
    </row>
    <row r="323">
      <c r="A323" s="107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11.48939145</v>
      </c>
      <c r="AU323" t="n">
        <v/>
      </c>
    </row>
    <row r="324">
      <c r="A324" s="107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11.916962724</v>
      </c>
      <c r="AU324" t="n">
        <v/>
      </c>
    </row>
    <row r="325">
      <c r="A325" s="107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11.970409133</v>
      </c>
      <c r="AU325" t="n">
        <v/>
      </c>
    </row>
    <row r="326">
      <c r="A326" s="107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11.302378597</v>
      </c>
      <c r="AU326" t="n">
        <v/>
      </c>
    </row>
    <row r="327">
      <c r="A327" s="107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10.741240879</v>
      </c>
      <c r="AU327" t="n">
        <v/>
      </c>
    </row>
    <row r="328">
      <c r="A328" s="107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11.863516314</v>
      </c>
      <c r="AU328" t="n">
        <v/>
      </c>
    </row>
    <row r="329">
      <c r="A329" s="107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11.649730677</v>
      </c>
      <c r="AU329" t="n">
        <v/>
      </c>
    </row>
    <row r="330">
      <c r="A330" s="107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11.222258562</v>
      </c>
      <c r="AU330" t="n">
        <v/>
      </c>
    </row>
    <row r="331">
      <c r="A331" s="107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11.916962724</v>
      </c>
      <c r="AU331" t="n">
        <v/>
      </c>
    </row>
    <row r="332">
      <c r="A332" s="107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12.317761214</v>
      </c>
      <c r="AU332" t="n">
        <v/>
      </c>
    </row>
    <row r="333">
      <c r="A333" s="107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12.771906954</v>
      </c>
      <c r="AU333" t="n">
        <v/>
      </c>
    </row>
    <row r="334">
      <c r="A334" s="107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13.012465375</v>
      </c>
      <c r="AU334" t="n">
        <v/>
      </c>
    </row>
    <row r="335">
      <c r="A335" s="107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13.252924637</v>
      </c>
      <c r="AU335" t="n">
        <v/>
      </c>
    </row>
    <row r="336">
      <c r="A336" s="107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13.333044672</v>
      </c>
      <c r="AU336" t="n">
        <v/>
      </c>
    </row>
    <row r="337">
      <c r="A337" s="107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13.413263865</v>
      </c>
      <c r="AU337" t="n">
        <v/>
      </c>
    </row>
    <row r="338">
      <c r="A338" s="107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13.573503934</v>
      </c>
      <c r="AU338" t="n">
        <v/>
      </c>
    </row>
    <row r="339">
      <c r="A339" s="107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13.653723127</v>
      </c>
      <c r="AU339" t="n">
        <v/>
      </c>
    </row>
    <row r="340">
      <c r="A340" s="107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13.733843162</v>
      </c>
      <c r="AU340" t="n">
        <v/>
      </c>
    </row>
    <row r="341">
      <c r="A341" s="107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13.626950344</v>
      </c>
      <c r="AU341" t="n">
        <v/>
      </c>
    </row>
    <row r="342">
      <c r="A342" s="107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13.680396753</v>
      </c>
      <c r="AU342" t="n">
        <v/>
      </c>
    </row>
    <row r="343">
      <c r="A343" s="107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13.680396753</v>
      </c>
      <c r="AU343" t="n">
        <v/>
      </c>
    </row>
    <row r="344">
      <c r="A344" s="107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13.600276718</v>
      </c>
      <c r="AU344" t="n">
        <v/>
      </c>
    </row>
    <row r="345">
      <c r="A345" s="107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13.680396753</v>
      </c>
      <c r="AU345" t="n">
        <v/>
      </c>
    </row>
    <row r="346">
      <c r="A346" s="107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13.787289571</v>
      </c>
      <c r="AU346" t="n">
        <v/>
      </c>
    </row>
    <row r="347">
      <c r="A347" s="107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13.920856015</v>
      </c>
      <c r="AU347" t="n">
        <v/>
      </c>
    </row>
    <row r="348">
      <c r="A348" s="107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14.107968027</v>
      </c>
      <c r="AU348" t="n">
        <v/>
      </c>
    </row>
    <row r="349">
      <c r="A349" s="107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14.161315277</v>
      </c>
      <c r="AU349" t="n">
        <v/>
      </c>
    </row>
    <row r="350">
      <c r="A350" s="107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14.241534471</v>
      </c>
      <c r="AU350" t="n">
        <v/>
      </c>
    </row>
    <row r="351">
      <c r="A351" s="107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14.268208096</v>
      </c>
      <c r="AU351" t="n">
        <v/>
      </c>
    </row>
    <row r="352">
      <c r="A352" s="107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14.107968027</v>
      </c>
      <c r="AU352" t="n">
        <v/>
      </c>
    </row>
    <row r="353">
      <c r="A353" s="107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14.134641652</v>
      </c>
      <c r="AU353" t="n">
        <v/>
      </c>
    </row>
    <row r="354">
      <c r="A354" s="107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14.375100914</v>
      </c>
      <c r="AU354" t="n">
        <v/>
      </c>
    </row>
    <row r="355">
      <c r="A355" s="107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14.562113767</v>
      </c>
      <c r="AU355" t="n">
        <v/>
      </c>
    </row>
    <row r="356">
      <c r="A356" s="107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14.562113767</v>
      </c>
      <c r="AU356" t="n">
        <v/>
      </c>
    </row>
    <row r="357">
      <c r="A357" s="107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14.508667358</v>
      </c>
      <c r="AU357" t="n">
        <v/>
      </c>
    </row>
    <row r="358">
      <c r="A358" s="107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14.401873698</v>
      </c>
      <c r="AU358" t="n">
        <v/>
      </c>
    </row>
    <row r="359">
      <c r="A359" s="107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14.508766517</v>
      </c>
      <c r="AU359" t="n">
        <v/>
      </c>
    </row>
    <row r="360">
      <c r="A360" s="107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14.321654505</v>
      </c>
      <c r="AU360" t="n">
        <v/>
      </c>
    </row>
    <row r="361">
      <c r="A361" s="107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14.188088061</v>
      </c>
      <c r="AU361" t="n">
        <v/>
      </c>
    </row>
    <row r="362">
      <c r="A362" s="107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14.054521617</v>
      </c>
      <c r="AU362" t="n">
        <v/>
      </c>
    </row>
    <row r="363">
      <c r="A363" s="107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13.920856015</v>
      </c>
      <c r="AU363" t="n">
        <v/>
      </c>
    </row>
    <row r="364">
      <c r="A364" s="107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13.653723127</v>
      </c>
      <c r="AU364" t="n">
        <v/>
      </c>
    </row>
    <row r="365">
      <c r="A365" s="107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13.573503934</v>
      </c>
      <c r="AU365" t="n">
        <v/>
      </c>
    </row>
    <row r="366">
      <c r="A366" s="107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13.386491081</v>
      </c>
      <c r="AU366" t="n">
        <v/>
      </c>
    </row>
    <row r="367">
      <c r="A367" s="107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13.359817456</v>
      </c>
      <c r="AU367" t="n">
        <v/>
      </c>
    </row>
    <row r="368">
      <c r="A368" s="107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13.333044672</v>
      </c>
      <c r="AU368" t="n">
        <v/>
      </c>
    </row>
    <row r="369">
      <c r="A369" s="107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13.466611116</v>
      </c>
      <c r="AU369" t="n">
        <v/>
      </c>
    </row>
    <row r="370">
      <c r="A370" s="107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13.600276718</v>
      </c>
      <c r="AU370" t="n">
        <v/>
      </c>
    </row>
    <row r="371">
      <c r="A371" s="107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13.09258541</v>
      </c>
      <c r="AU371" t="n">
        <v/>
      </c>
    </row>
    <row r="372">
      <c r="A372" s="107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13.439937491</v>
      </c>
      <c r="AU372" t="n">
        <v/>
      </c>
    </row>
    <row r="373">
      <c r="A373" s="107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13.680396753</v>
      </c>
      <c r="AU373" t="n">
        <v/>
      </c>
    </row>
    <row r="374">
      <c r="A374" s="107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13.920856015</v>
      </c>
      <c r="AU374" t="n">
        <v/>
      </c>
    </row>
    <row r="375">
      <c r="A375" s="107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13.974302424</v>
      </c>
      <c r="AU375" t="n">
        <v/>
      </c>
    </row>
    <row r="376">
      <c r="A376" s="107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14.428547324</v>
      </c>
      <c r="AU376" t="n">
        <v/>
      </c>
    </row>
    <row r="377">
      <c r="A377" s="107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14.909465848</v>
      </c>
      <c r="AU377" t="n">
        <v/>
      </c>
    </row>
    <row r="378">
      <c r="A378" s="107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15.256817929</v>
      </c>
      <c r="AU378" t="n">
        <v/>
      </c>
    </row>
    <row r="379">
      <c r="A379" s="107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15.711062828</v>
      </c>
      <c r="AU379" t="n">
        <v/>
      </c>
    </row>
    <row r="380">
      <c r="A380" s="107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16.218754137</v>
      </c>
      <c r="AU380" t="n">
        <v/>
      </c>
    </row>
    <row r="381">
      <c r="A381" s="107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16.726445445</v>
      </c>
      <c r="AU381" t="n">
        <v/>
      </c>
    </row>
    <row r="382">
      <c r="A382" s="107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16.619552627</v>
      </c>
      <c r="AU382" t="n">
        <v/>
      </c>
    </row>
    <row r="383">
      <c r="A383" s="107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16.726445445</v>
      </c>
      <c r="AU383" t="n">
        <v/>
      </c>
    </row>
    <row r="384">
      <c r="A384" s="107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16.69977182</v>
      </c>
      <c r="AU384" t="n">
        <v/>
      </c>
    </row>
    <row r="385">
      <c r="A385" s="107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16.993677491</v>
      </c>
      <c r="AU385" t="n">
        <v/>
      </c>
    </row>
    <row r="386">
      <c r="A386" s="107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17.047024742</v>
      </c>
      <c r="AU386" t="n">
        <v/>
      </c>
    </row>
    <row r="387">
      <c r="A387" s="107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17.153917561</v>
      </c>
      <c r="AU387" t="n">
        <v/>
      </c>
    </row>
    <row r="388">
      <c r="A388" s="107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17.234136754</v>
      </c>
      <c r="AU388" t="n">
        <v/>
      </c>
    </row>
    <row r="389">
      <c r="A389" s="107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17.260810379</v>
      </c>
      <c r="AU389" t="n">
        <v/>
      </c>
    </row>
    <row r="390">
      <c r="A390" s="107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17.20736397</v>
      </c>
      <c r="AU390" t="n">
        <v/>
      </c>
    </row>
    <row r="391">
      <c r="A391" s="107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17.127243935</v>
      </c>
      <c r="AU391" t="n">
        <v/>
      </c>
    </row>
    <row r="392">
      <c r="A392" s="107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16.860011889</v>
      </c>
      <c r="AU392" t="n">
        <v/>
      </c>
    </row>
    <row r="393">
      <c r="A393" s="107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16.69977182</v>
      </c>
      <c r="AU393" t="n">
        <v/>
      </c>
    </row>
    <row r="394">
      <c r="A394" s="107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16.80656548</v>
      </c>
      <c r="AU394" t="n">
        <v/>
      </c>
    </row>
    <row r="395">
      <c r="A395" s="107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16.779891854</v>
      </c>
      <c r="AU395" t="n">
        <v/>
      </c>
    </row>
    <row r="396">
      <c r="A396" s="107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16.913458298</v>
      </c>
      <c r="AU396" t="n">
        <v/>
      </c>
    </row>
    <row r="397">
      <c r="A397" s="107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17.020351117</v>
      </c>
      <c r="AU397" t="n">
        <v/>
      </c>
    </row>
    <row r="398">
      <c r="A398" s="107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17.20736397</v>
      </c>
      <c r="AU398" t="n">
        <v/>
      </c>
    </row>
    <row r="399">
      <c r="A399" s="107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17.314256788</v>
      </c>
      <c r="AU399" t="n">
        <v/>
      </c>
    </row>
    <row r="400">
      <c r="A400" s="107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17.367703198</v>
      </c>
      <c r="AU400" t="n">
        <v/>
      </c>
    </row>
    <row r="401">
      <c r="A401" s="107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17.20736397</v>
      </c>
      <c r="AU401" t="n">
        <v/>
      </c>
    </row>
    <row r="402">
      <c r="A402" s="107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17.047123901</v>
      </c>
      <c r="AU402" t="n">
        <v/>
      </c>
    </row>
    <row r="403">
      <c r="A403" s="107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16.886784673</v>
      </c>
      <c r="AU403" t="n">
        <v/>
      </c>
    </row>
    <row r="404">
      <c r="A404" s="107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16.619552627</v>
      </c>
      <c r="AU404" t="n">
        <v/>
      </c>
    </row>
    <row r="405">
      <c r="A405" s="107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17.688381653</v>
      </c>
      <c r="AU405" t="n">
        <v/>
      </c>
    </row>
    <row r="406">
      <c r="A406" s="107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18.329639405</v>
      </c>
      <c r="AU406" t="n">
        <v/>
      </c>
    </row>
    <row r="407">
      <c r="A407" s="107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18.516652258</v>
      </c>
      <c r="AU407" t="n">
        <v/>
      </c>
    </row>
    <row r="408">
      <c r="A408" s="107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18.890777123</v>
      </c>
      <c r="AU408" t="n">
        <v/>
      </c>
    </row>
    <row r="409">
      <c r="A409" s="107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18.997570783</v>
      </c>
      <c r="AU409" t="n">
        <v/>
      </c>
    </row>
    <row r="410">
      <c r="A410" s="107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19.051017192</v>
      </c>
      <c r="AU410" t="n">
        <v/>
      </c>
    </row>
    <row r="411">
      <c r="A411" s="107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19.157910011</v>
      </c>
      <c r="AU411" t="n">
        <v/>
      </c>
    </row>
    <row r="412">
      <c r="A412" s="107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19.318249238</v>
      </c>
      <c r="AU412" t="n">
        <v/>
      </c>
    </row>
    <row r="413">
      <c r="A413" s="107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19.398369273</v>
      </c>
      <c r="AU413" t="n">
        <v/>
      </c>
    </row>
    <row r="414">
      <c r="A414" s="107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19.505262092</v>
      </c>
      <c r="AU414" t="n">
        <v/>
      </c>
    </row>
    <row r="415">
      <c r="A415" s="107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19.425142057</v>
      </c>
      <c r="AU415" t="n">
        <v/>
      </c>
    </row>
    <row r="416">
      <c r="A416" s="107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19.665601319</v>
      </c>
      <c r="AU416" t="n">
        <v/>
      </c>
    </row>
    <row r="417">
      <c r="A417" s="107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19.558708501</v>
      </c>
      <c r="AU417" t="n">
        <v/>
      </c>
    </row>
    <row r="418">
      <c r="A418" s="107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19.157910011</v>
      </c>
      <c r="AU418" t="n">
        <v/>
      </c>
    </row>
    <row r="419">
      <c r="A419" s="107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18.997570783</v>
      </c>
      <c r="AU419" t="n">
        <v/>
      </c>
    </row>
    <row r="420">
      <c r="A420" s="107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18.543425042</v>
      </c>
      <c r="AU420" t="n">
        <v/>
      </c>
    </row>
    <row r="421">
      <c r="A421" s="107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18.089180143</v>
      </c>
      <c r="AU421" t="n">
        <v/>
      </c>
    </row>
    <row r="422">
      <c r="A422" s="107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17.955514541</v>
      </c>
      <c r="AU422" t="n">
        <v/>
      </c>
    </row>
    <row r="423">
      <c r="A423" s="107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18.00896095</v>
      </c>
      <c r="AU423" t="n">
        <v/>
      </c>
    </row>
    <row r="424">
      <c r="A424" s="107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17.902068131</v>
      </c>
      <c r="AU424" t="n">
        <v/>
      </c>
    </row>
    <row r="425">
      <c r="A425" s="107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17.795175313</v>
      </c>
      <c r="AU425" t="n">
        <v/>
      </c>
    </row>
    <row r="426">
      <c r="A426" s="107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17.902068131</v>
      </c>
      <c r="AU426" t="n">
        <v/>
      </c>
    </row>
    <row r="427">
      <c r="A427" s="107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17.955514541</v>
      </c>
      <c r="AU427" t="n">
        <v/>
      </c>
    </row>
    <row r="428">
      <c r="A428" s="107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17.982287325</v>
      </c>
      <c r="AU428" t="n">
        <v/>
      </c>
    </row>
    <row r="429">
      <c r="A429" s="107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17.955514541</v>
      </c>
      <c r="AU429" t="n">
        <v/>
      </c>
    </row>
    <row r="430">
      <c r="A430" s="107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17.982287325</v>
      </c>
      <c r="AU430" t="n">
        <v/>
      </c>
    </row>
    <row r="431">
      <c r="A431" s="107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18.196072961</v>
      </c>
      <c r="AU431" t="n">
        <v/>
      </c>
    </row>
    <row r="432">
      <c r="A432" s="107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18.489978633</v>
      </c>
      <c r="AU432" t="n">
        <v/>
      </c>
    </row>
    <row r="433">
      <c r="A433" s="107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18.730437895</v>
      </c>
      <c r="AU433" t="n">
        <v/>
      </c>
    </row>
    <row r="434">
      <c r="A434" s="107" t="n">
        <v>20090</v>
      </c>
      <c r="B434" t="n">
        <v>10.765545725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32.262266726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19.157910011</v>
      </c>
      <c r="AU434" t="n">
        <v/>
      </c>
    </row>
    <row r="435">
      <c r="A435" s="107" t="n">
        <v>20121</v>
      </c>
      <c r="B435" t="n">
        <v>10.777222009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34.53498525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19.398369273</v>
      </c>
      <c r="AU435" t="n">
        <v/>
      </c>
    </row>
    <row r="436">
      <c r="A436" s="107" t="n">
        <v>20149</v>
      </c>
      <c r="B436" t="n">
        <v>10.754395227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32.30234635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19.852614172</v>
      </c>
      <c r="AU436" t="n">
        <v/>
      </c>
    </row>
    <row r="437">
      <c r="A437" s="107" t="n">
        <v>20180</v>
      </c>
      <c r="B437" t="n">
        <v>11.019217289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31.013827474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20.093073435</v>
      </c>
      <c r="AU437" t="n">
        <v/>
      </c>
    </row>
    <row r="438">
      <c r="A438" s="107" t="n">
        <v>20210</v>
      </c>
      <c r="B438" t="n">
        <v>10.887308321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32.147484862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20.41375189</v>
      </c>
      <c r="AU438" t="n">
        <v/>
      </c>
    </row>
    <row r="439">
      <c r="A439" s="107" t="n">
        <v>20241</v>
      </c>
      <c r="B439" t="n">
        <v>11.120697648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33.508062824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20.440425515</v>
      </c>
      <c r="AU439" t="n">
        <v/>
      </c>
    </row>
    <row r="440">
      <c r="A440" s="107" t="n">
        <v>20271</v>
      </c>
      <c r="B440" t="n">
        <v>11.243207363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33.704073153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20.600764743</v>
      </c>
      <c r="AU440" t="n">
        <v/>
      </c>
    </row>
    <row r="441">
      <c r="A441" s="107" t="n">
        <v>20302</v>
      </c>
      <c r="B441" t="n">
        <v>11.305171307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34.718397038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20.574091118</v>
      </c>
      <c r="AU441" t="n">
        <v/>
      </c>
    </row>
    <row r="442">
      <c r="A442" s="107" t="n">
        <v>20333</v>
      </c>
      <c r="B442" t="n">
        <v>11.413977254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35.002987015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20.707657562</v>
      </c>
      <c r="AU442" t="n">
        <v/>
      </c>
    </row>
    <row r="443">
      <c r="A443" s="107" t="n">
        <v>20363</v>
      </c>
      <c r="B443" t="n">
        <v>11.388904358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35.051313797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21.055009642</v>
      </c>
      <c r="AU443" t="n">
        <v/>
      </c>
    </row>
    <row r="444">
      <c r="A444" s="107" t="n">
        <v>20394</v>
      </c>
      <c r="B444" t="n">
        <v>11.628479309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35.069022802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21.108456052</v>
      </c>
      <c r="AU444" t="n">
        <v/>
      </c>
    </row>
    <row r="445">
      <c r="A445" s="107" t="n">
        <v>20424</v>
      </c>
      <c r="B445" t="n">
        <v>11.913541564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34.770739769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21.188576086</v>
      </c>
      <c r="AU445" t="n">
        <v/>
      </c>
    </row>
    <row r="446">
      <c r="A446" s="107" t="n">
        <v>20455</v>
      </c>
      <c r="B446" t="n">
        <v>11.499687573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27.470517816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34.56254961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21.322241688</v>
      </c>
      <c r="AU446" t="n">
        <v/>
      </c>
    </row>
    <row r="447">
      <c r="A447" s="107" t="n">
        <v>20486</v>
      </c>
      <c r="B447" t="n">
        <v>11.618202454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26.940965659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34.555118243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21.135129677</v>
      </c>
      <c r="AU447" t="n">
        <v/>
      </c>
    </row>
    <row r="448">
      <c r="A448" s="107" t="n">
        <v>20515</v>
      </c>
      <c r="B448" t="n">
        <v>11.49684799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27.867681927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35.2026046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21.135129677</v>
      </c>
      <c r="AU448" t="n">
        <v/>
      </c>
    </row>
    <row r="449">
      <c r="A449" s="107" t="n">
        <v>20546</v>
      </c>
      <c r="B449" t="n">
        <v>11.553973423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28.297943045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35.763445846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21.295468905</v>
      </c>
      <c r="AU449" t="n">
        <v/>
      </c>
    </row>
    <row r="450">
      <c r="A450" s="107" t="n">
        <v>20576</v>
      </c>
      <c r="B450" t="n">
        <v>11.631130041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28.761301179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36.287084721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21.108456052</v>
      </c>
      <c r="AU450" t="n">
        <v/>
      </c>
    </row>
    <row r="451">
      <c r="A451" s="107" t="n">
        <v>20607</v>
      </c>
      <c r="B451" t="n">
        <v>11.637451388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28.893689216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36.016438484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20.921443198</v>
      </c>
      <c r="AU451" t="n">
        <v/>
      </c>
    </row>
    <row r="452">
      <c r="A452" s="107" t="n">
        <v>20637</v>
      </c>
      <c r="B452" t="n">
        <v>11.761408013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29.323950343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36.465083905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20.280086288</v>
      </c>
      <c r="AU452" t="n">
        <v/>
      </c>
    </row>
    <row r="453">
      <c r="A453" s="107" t="n">
        <v>20668</v>
      </c>
      <c r="B453" t="n">
        <v>12.046456344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29.323950343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35.363373531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21.108456052</v>
      </c>
      <c r="AU453" t="n">
        <v/>
      </c>
    </row>
    <row r="454">
      <c r="A454" s="107" t="n">
        <v>20699</v>
      </c>
      <c r="B454" t="n">
        <v>11.987230894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29.555629401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36.393590489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21.589374576</v>
      </c>
      <c r="AU454" t="n">
        <v/>
      </c>
    </row>
    <row r="455">
      <c r="A455" s="107" t="n">
        <v>20729</v>
      </c>
      <c r="B455" t="n">
        <v>11.971084772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29.919696505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37.030911392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21.776486588</v>
      </c>
      <c r="AU455" t="n">
        <v/>
      </c>
    </row>
    <row r="456">
      <c r="A456" s="107" t="n">
        <v>20760</v>
      </c>
      <c r="B456" t="n">
        <v>12.041596681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29.985890528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36.580996006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21.589374576</v>
      </c>
      <c r="AU456" t="n">
        <v/>
      </c>
    </row>
    <row r="457">
      <c r="A457" s="107" t="n">
        <v>20790</v>
      </c>
      <c r="B457" t="n">
        <v>11.89146417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30.052084551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37.537591545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21.910053032</v>
      </c>
      <c r="AU457" t="n">
        <v/>
      </c>
    </row>
    <row r="458">
      <c r="A458" s="107" t="n">
        <v>20821</v>
      </c>
      <c r="B458" t="n">
        <v>12.095116822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30.449248662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37.229544759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21.829833839</v>
      </c>
      <c r="AU458" t="n">
        <v/>
      </c>
    </row>
    <row r="459">
      <c r="A459" s="107" t="n">
        <v>20852</v>
      </c>
      <c r="B459" t="n">
        <v>12.02006309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30.614733706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37.561981377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22.043619475</v>
      </c>
      <c r="AU459" t="n">
        <v/>
      </c>
    </row>
    <row r="460">
      <c r="A460" s="107" t="n">
        <v>20880</v>
      </c>
      <c r="B460" t="n">
        <v>12.306545102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30.87950978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37.28198791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22.01694585</v>
      </c>
      <c r="AU460" t="n">
        <v/>
      </c>
    </row>
    <row r="461">
      <c r="A461" s="107" t="n">
        <v>20911</v>
      </c>
      <c r="B461" t="n">
        <v>12.249281548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30.581636699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36.913182393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21.723040179</v>
      </c>
      <c r="AU461" t="n">
        <v/>
      </c>
    </row>
    <row r="462">
      <c r="A462" s="107" t="n">
        <v>20941</v>
      </c>
      <c r="B462" t="n">
        <v>12.485400528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31.144285854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36.87491806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21.642820985</v>
      </c>
      <c r="AU462" t="n">
        <v/>
      </c>
    </row>
    <row r="463">
      <c r="A463" s="107" t="n">
        <v>20972</v>
      </c>
      <c r="B463" t="n">
        <v>12.415719008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31.111188847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37.036962195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21.696267395</v>
      </c>
      <c r="AU463" t="n">
        <v/>
      </c>
    </row>
    <row r="464">
      <c r="A464" s="107" t="n">
        <v>21002</v>
      </c>
      <c r="B464" t="n">
        <v>12.481298838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31.872420062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36.323637693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21.829833839</v>
      </c>
      <c r="AU464" t="n">
        <v/>
      </c>
    </row>
    <row r="465">
      <c r="A465" s="107" t="n">
        <v>21033</v>
      </c>
      <c r="B465" t="n">
        <v>12.553265186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31.872420062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36.228089419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21.829932997</v>
      </c>
      <c r="AU465" t="n">
        <v/>
      </c>
    </row>
    <row r="466">
      <c r="A466" s="107" t="n">
        <v>21064</v>
      </c>
      <c r="B466" t="n">
        <v>12.737559311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32.203390159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36.203352754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21.642820985</v>
      </c>
      <c r="AU466" t="n">
        <v/>
      </c>
    </row>
    <row r="467">
      <c r="A467" s="107" t="n">
        <v>21094</v>
      </c>
      <c r="B467" t="n">
        <v>12.551534179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31.839323055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35.93031294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21.322241688</v>
      </c>
      <c r="AU467" t="n">
        <v/>
      </c>
    </row>
    <row r="468">
      <c r="A468" s="107" t="n">
        <v>21125</v>
      </c>
      <c r="B468" t="n">
        <v>12.611328393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32.50126324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35.743317446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20.81455038</v>
      </c>
      <c r="AU468" t="n">
        <v/>
      </c>
    </row>
    <row r="469">
      <c r="A469" s="107" t="n">
        <v>21155</v>
      </c>
      <c r="B469" t="n">
        <v>12.61942664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32.89842736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35.667245567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20.41375189</v>
      </c>
      <c r="AU469" t="n">
        <v/>
      </c>
    </row>
    <row r="470">
      <c r="A470" s="107" t="n">
        <v>21186</v>
      </c>
      <c r="B470" t="n">
        <v>12.843416708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23.59778766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12.980875059</v>
      </c>
      <c r="R470" t="n">
        <v>33.229397447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36.048778864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20.039627025</v>
      </c>
      <c r="AU470" t="n">
        <v/>
      </c>
    </row>
    <row r="471">
      <c r="A471" s="107" t="n">
        <v>21217</v>
      </c>
      <c r="B471" t="n">
        <v>12.834908957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23.696977845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12.856258658</v>
      </c>
      <c r="R471" t="n">
        <v>33.361785484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36.773059451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19.61215491</v>
      </c>
      <c r="AU471" t="n">
        <v/>
      </c>
    </row>
    <row r="472">
      <c r="A472" s="107" t="n">
        <v>21245</v>
      </c>
      <c r="B472" t="n">
        <v>12.672331615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24.081967332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12.586256457</v>
      </c>
      <c r="R472" t="n">
        <v>33.262494454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35.235647887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19.371695648</v>
      </c>
      <c r="AU472" t="n">
        <v/>
      </c>
    </row>
    <row r="473">
      <c r="A473" s="107" t="n">
        <v>21276</v>
      </c>
      <c r="B473" t="n">
        <v>12.61788946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23.325152554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12.773181058</v>
      </c>
      <c r="R473" t="n">
        <v>32.964621374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35.435675989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19.051017192</v>
      </c>
      <c r="AU473" t="n">
        <v/>
      </c>
    </row>
    <row r="474">
      <c r="A474" s="107" t="n">
        <v>21306</v>
      </c>
      <c r="B474" t="n">
        <v>12.690821258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23.610195029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12.731642258</v>
      </c>
      <c r="R474" t="n">
        <v>32.732942307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35.036014143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19.238030045</v>
      </c>
      <c r="AU474" t="n">
        <v/>
      </c>
    </row>
    <row r="475">
      <c r="A475" s="107" t="n">
        <v>21337</v>
      </c>
      <c r="B475" t="n">
        <v>12.737641812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23.898696831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12.648564657</v>
      </c>
      <c r="R475" t="n">
        <v>32.964621374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34.626489594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19.745721354</v>
      </c>
      <c r="AU475" t="n">
        <v/>
      </c>
    </row>
    <row r="476">
      <c r="A476" s="107" t="n">
        <v>21367</v>
      </c>
      <c r="B476" t="n">
        <v>12.971448021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23.4902933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12.607025857</v>
      </c>
      <c r="R476" t="n">
        <v>32.6998453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34.32513708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20.039627025</v>
      </c>
      <c r="AU476" t="n">
        <v/>
      </c>
    </row>
    <row r="477">
      <c r="A477" s="107" t="n">
        <v>21398</v>
      </c>
      <c r="B477" t="n">
        <v>12.59440504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24.386539704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12.814719858</v>
      </c>
      <c r="R477" t="n">
        <v>32.6998453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34.626550676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20.440425515</v>
      </c>
      <c r="AU477" t="n">
        <v/>
      </c>
    </row>
    <row r="478">
      <c r="A478" s="107" t="n">
        <v>21429</v>
      </c>
      <c r="B478" t="n">
        <v>12.546155876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23.694871838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12.897797459</v>
      </c>
      <c r="R478" t="n">
        <v>32.50126324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34.395315955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20.627537527</v>
      </c>
      <c r="AU478" t="n">
        <v/>
      </c>
    </row>
    <row r="479">
      <c r="A479" s="107" t="n">
        <v>21459</v>
      </c>
      <c r="B479" t="n">
        <v>12.930624785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23.686514466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13.063952659</v>
      </c>
      <c r="R479" t="n">
        <v>32.567457263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34.423929894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20.867996789</v>
      </c>
      <c r="AU479" t="n">
        <v/>
      </c>
    </row>
    <row r="480">
      <c r="A480" s="107" t="n">
        <v>21490</v>
      </c>
      <c r="B480" t="n">
        <v>12.682783002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24.237893441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13.396263061</v>
      </c>
      <c r="R480" t="n">
        <v>32.137196136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34.881922355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21.482580916</v>
      </c>
      <c r="AU480" t="n">
        <v/>
      </c>
    </row>
    <row r="481">
      <c r="A481" s="107" t="n">
        <v>21520</v>
      </c>
      <c r="B481" t="n">
        <v>12.828761275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24.336253086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12.980875059</v>
      </c>
      <c r="R481" t="n">
        <v>31.872420062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35.063765715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21.509254542</v>
      </c>
      <c r="AU481" t="n">
        <v/>
      </c>
    </row>
    <row r="482">
      <c r="A482" s="107" t="n">
        <v>21551</v>
      </c>
      <c r="B482" t="n">
        <v>12.962631202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24.121750542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13.022413859</v>
      </c>
      <c r="R482" t="n">
        <v>31.706935018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34.967418059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24.556783159</v>
      </c>
      <c r="AS482" t="n">
        <v/>
      </c>
      <c r="AT482" t="n">
        <v>21.829833839</v>
      </c>
      <c r="AU482" t="n">
        <v/>
      </c>
    </row>
    <row r="483">
      <c r="A483" s="107" t="n">
        <v>21582</v>
      </c>
      <c r="B483" t="n">
        <v>12.940546772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24.187086568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13.25087726</v>
      </c>
      <c r="R483" t="n">
        <v>31.938614085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34.754447594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25.011538403</v>
      </c>
      <c r="AS483" t="n">
        <v/>
      </c>
      <c r="AT483" t="n">
        <v>22.257405112</v>
      </c>
      <c r="AU483" t="n">
        <v/>
      </c>
    </row>
    <row r="484">
      <c r="A484" s="107" t="n">
        <v>21610</v>
      </c>
      <c r="B484" t="n">
        <v>12.65360374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24.444482929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13.645495862</v>
      </c>
      <c r="R484" t="n">
        <v>32.071002122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35.565329435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25.92104889</v>
      </c>
      <c r="AS484" t="n">
        <v/>
      </c>
      <c r="AT484" t="n">
        <v>22.577984409</v>
      </c>
      <c r="AU484" t="n">
        <v/>
      </c>
    </row>
    <row r="485">
      <c r="A485" s="107" t="n">
        <v>21641</v>
      </c>
      <c r="B485" t="n">
        <v>13.492880844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24.386937222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13.520879461</v>
      </c>
      <c r="R485" t="n">
        <v>32.931524367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35.643432083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25.466293646</v>
      </c>
      <c r="AS485" t="n">
        <v/>
      </c>
      <c r="AT485" t="n">
        <v>23.059002092</v>
      </c>
      <c r="AU485" t="n">
        <v/>
      </c>
    </row>
    <row r="486">
      <c r="A486" s="107" t="n">
        <v>21671</v>
      </c>
      <c r="B486" t="n">
        <v>13.610866283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25.39415262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14.227039065</v>
      </c>
      <c r="R486" t="n">
        <v>32.6998453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36.970361843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25.466293646</v>
      </c>
      <c r="AS486" t="n">
        <v/>
      </c>
      <c r="AT486" t="n">
        <v>23.406354173</v>
      </c>
      <c r="AU486" t="n">
        <v/>
      </c>
    </row>
    <row r="487">
      <c r="A487" s="107" t="n">
        <v>21702</v>
      </c>
      <c r="B487" t="n">
        <v>13.444703713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25.264398982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13.853189863</v>
      </c>
      <c r="R487" t="n">
        <v>33.030815397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36.407309809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25.92104889</v>
      </c>
      <c r="AS487" t="n">
        <v/>
      </c>
      <c r="AT487" t="n">
        <v>23.433027799</v>
      </c>
      <c r="AU487" t="n">
        <v/>
      </c>
    </row>
    <row r="488">
      <c r="A488" s="107" t="n">
        <v>21732</v>
      </c>
      <c r="B488" t="n">
        <v>13.493737823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24.901001285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14.040114464</v>
      </c>
      <c r="R488" t="n">
        <v>32.99771838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36.860324861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29.559090839</v>
      </c>
      <c r="AS488" t="n">
        <v/>
      </c>
      <c r="AT488" t="n">
        <v>22.871890081</v>
      </c>
      <c r="AU488" t="n">
        <v/>
      </c>
    </row>
    <row r="489">
      <c r="A489" s="107" t="n">
        <v>21763</v>
      </c>
      <c r="B489" t="n">
        <v>13.650335132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26.374443831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14.268577865</v>
      </c>
      <c r="R489" t="n">
        <v>32.99771838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36.843444689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27.285314621</v>
      </c>
      <c r="AS489" t="n">
        <v/>
      </c>
      <c r="AT489" t="n">
        <v>22.097065885</v>
      </c>
      <c r="AU489" t="n">
        <v/>
      </c>
    </row>
    <row r="490">
      <c r="A490" s="107" t="n">
        <v>21794</v>
      </c>
      <c r="B490" t="n">
        <v>13.572928306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26.00443816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14.393194265</v>
      </c>
      <c r="R490" t="n">
        <v>33.626561558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36.662480756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26.830559377</v>
      </c>
      <c r="AS490" t="n">
        <v/>
      </c>
      <c r="AT490" t="n">
        <v>22.070392259</v>
      </c>
      <c r="AU490" t="n">
        <v/>
      </c>
    </row>
    <row r="491">
      <c r="A491" s="107" t="n">
        <v>21824</v>
      </c>
      <c r="B491" t="n">
        <v>13.831246034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26.982927872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14.600888266</v>
      </c>
      <c r="R491" t="n">
        <v>34.156113716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37.158430912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27.285314621</v>
      </c>
      <c r="AS491" t="n">
        <v/>
      </c>
      <c r="AT491" t="n">
        <v>21.910053032</v>
      </c>
      <c r="AU491" t="n">
        <v/>
      </c>
    </row>
    <row r="492">
      <c r="A492" s="107" t="n">
        <v>21855</v>
      </c>
      <c r="B492" t="n">
        <v>13.860516801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26.722463417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14.725504667</v>
      </c>
      <c r="R492" t="n">
        <v>34.387792783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39.044857524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27.285314621</v>
      </c>
      <c r="AS492" t="n">
        <v/>
      </c>
      <c r="AT492" t="n">
        <v>22.043619475</v>
      </c>
      <c r="AU492" t="n">
        <v/>
      </c>
    </row>
    <row r="493">
      <c r="A493" s="107" t="n">
        <v>21885</v>
      </c>
      <c r="B493" t="n">
        <v>14.14311553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26.833157028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14.933198668</v>
      </c>
      <c r="R493" t="n">
        <v>34.652568857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40.195207699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27.740069865</v>
      </c>
      <c r="AS493" t="n">
        <v/>
      </c>
      <c r="AT493" t="n">
        <v>23.406354173</v>
      </c>
      <c r="AU493" t="n">
        <v/>
      </c>
    </row>
    <row r="494">
      <c r="A494" s="107" t="n">
        <v>21916</v>
      </c>
      <c r="B494" t="n">
        <v>14.214449151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27.27277021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15.016276268</v>
      </c>
      <c r="R494" t="n">
        <v>34.851150907</v>
      </c>
      <c r="S494" t="n">
        <v>22.149826143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40.262927138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27.740069865</v>
      </c>
      <c r="AS494" t="n">
        <v/>
      </c>
      <c r="AT494" t="n">
        <v>24.020839142</v>
      </c>
      <c r="AU494" t="n">
        <v/>
      </c>
    </row>
    <row r="495">
      <c r="A495" s="107" t="n">
        <v>21947</v>
      </c>
      <c r="B495" t="n">
        <v>14.291438854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27.114423622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15.078584468</v>
      </c>
      <c r="R495" t="n">
        <v>35.115926981</v>
      </c>
      <c r="S495" t="n">
        <v>22.327781769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39.92095214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27.740069865</v>
      </c>
      <c r="AS495" t="n">
        <v/>
      </c>
      <c r="AT495" t="n">
        <v>23.807152663</v>
      </c>
      <c r="AU495" t="n">
        <v/>
      </c>
    </row>
    <row r="496">
      <c r="A496" s="107" t="n">
        <v>21976</v>
      </c>
      <c r="B496" t="n">
        <v>14.541198952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27.49914814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15.39012547</v>
      </c>
      <c r="R496" t="n">
        <v>35.115926981</v>
      </c>
      <c r="S496" t="n">
        <v>22.323260193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40.036054694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27.740069865</v>
      </c>
      <c r="AS496" t="n">
        <v/>
      </c>
      <c r="AT496" t="n">
        <v>23.593367026</v>
      </c>
      <c r="AU496" t="n">
        <v/>
      </c>
    </row>
    <row r="497">
      <c r="A497" s="107" t="n">
        <v>22007</v>
      </c>
      <c r="B497" t="n">
        <v>14.657074661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28.118184914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15.618588871</v>
      </c>
      <c r="R497" t="n">
        <v>35.513091101</v>
      </c>
      <c r="S497" t="n">
        <v>22.449937729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39.675320584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27.740069865</v>
      </c>
      <c r="AS497" t="n">
        <v/>
      </c>
      <c r="AT497" t="n">
        <v>23.406354173</v>
      </c>
      <c r="AU497" t="n">
        <v/>
      </c>
    </row>
    <row r="498">
      <c r="A498" s="107" t="n">
        <v>22037</v>
      </c>
      <c r="B498" t="n">
        <v>14.769251884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27.76736168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15.660127671</v>
      </c>
      <c r="R498" t="n">
        <v>35.413800071</v>
      </c>
      <c r="S498" t="n">
        <v>22.443090391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39.439079148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27.285314621</v>
      </c>
      <c r="AS498" t="n">
        <v/>
      </c>
      <c r="AT498" t="n">
        <v>23.379581389</v>
      </c>
      <c r="AU498" t="n">
        <v/>
      </c>
    </row>
    <row r="499">
      <c r="A499" s="107" t="n">
        <v>22068</v>
      </c>
      <c r="B499" t="n">
        <v>14.851015403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27.912359191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16.013207473</v>
      </c>
      <c r="R499" t="n">
        <v>35.943352219</v>
      </c>
      <c r="S499" t="n">
        <v>22.394212641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39.818217358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28.194825108</v>
      </c>
      <c r="AS499" t="n">
        <v/>
      </c>
      <c r="AT499" t="n">
        <v>23.085675718</v>
      </c>
      <c r="AU499" t="n">
        <v/>
      </c>
    </row>
    <row r="500">
      <c r="A500" s="107" t="n">
        <v>22098</v>
      </c>
      <c r="B500" t="n">
        <v>14.917723365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28.940614038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16.096285073</v>
      </c>
      <c r="R500" t="n">
        <v>36.241225309</v>
      </c>
      <c r="S500" t="n">
        <v>22.652677963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40.320881023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30.92335657</v>
      </c>
      <c r="AS500" t="n">
        <v/>
      </c>
      <c r="AT500" t="n">
        <v>23.005555683</v>
      </c>
      <c r="AU500" t="n">
        <v/>
      </c>
    </row>
    <row r="501">
      <c r="A501" s="107" t="n">
        <v>22129</v>
      </c>
      <c r="B501" t="n">
        <v>15.170497203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28.38374628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15.41089487</v>
      </c>
      <c r="R501" t="n">
        <v>36.241225309</v>
      </c>
      <c r="S501" t="n">
        <v>22.632786942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40.249574248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29.104335596</v>
      </c>
      <c r="AS501" t="n">
        <v/>
      </c>
      <c r="AT501" t="n">
        <v>22.978782899</v>
      </c>
      <c r="AU501" t="n">
        <v/>
      </c>
    </row>
    <row r="502">
      <c r="A502" s="107" t="n">
        <v>22160</v>
      </c>
      <c r="B502" t="n">
        <v>14.996601807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28.87143653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16.054746273</v>
      </c>
      <c r="R502" t="n">
        <v>37.134844561</v>
      </c>
      <c r="S502" t="n">
        <v>22.750262002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40.230326891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28.194825108</v>
      </c>
      <c r="AS502" t="n">
        <v/>
      </c>
      <c r="AT502" t="n">
        <v>22.738323637</v>
      </c>
      <c r="AU502" t="n">
        <v/>
      </c>
    </row>
    <row r="503">
      <c r="A503" s="107" t="n">
        <v>22190</v>
      </c>
      <c r="B503" t="n">
        <v>15.144773276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29.489554726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16.179362673</v>
      </c>
      <c r="R503" t="n">
        <v>36.870068487</v>
      </c>
      <c r="S503" t="n">
        <v>22.86945244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40.085792461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29.559090839</v>
      </c>
      <c r="AS503" t="n">
        <v/>
      </c>
      <c r="AT503" t="n">
        <v>22.711650012</v>
      </c>
      <c r="AU503" t="n">
        <v/>
      </c>
    </row>
    <row r="504">
      <c r="A504" s="107" t="n">
        <v>22221</v>
      </c>
      <c r="B504" t="n">
        <v>15.54876139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29.259061498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16.366287274</v>
      </c>
      <c r="R504" t="n">
        <v>37.267232598</v>
      </c>
      <c r="S504" t="n">
        <v>22.845666405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40.175839498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29.559090839</v>
      </c>
      <c r="AS504" t="n">
        <v/>
      </c>
      <c r="AT504" t="n">
        <v>22.390971556</v>
      </c>
      <c r="AU504" t="n">
        <v/>
      </c>
    </row>
    <row r="505">
      <c r="A505" s="107" t="n">
        <v>22251</v>
      </c>
      <c r="B505" t="n">
        <v>15.618437286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29.669656071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16.657058876</v>
      </c>
      <c r="R505" t="n">
        <v>37.234135591</v>
      </c>
      <c r="S505" t="n">
        <v>22.759814929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39.960157486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29.559090839</v>
      </c>
      <c r="AS505" t="n">
        <v/>
      </c>
      <c r="AT505" t="n">
        <v>21.963499441</v>
      </c>
      <c r="AU505" t="n">
        <v/>
      </c>
    </row>
    <row r="506">
      <c r="A506" s="107" t="n">
        <v>22282</v>
      </c>
      <c r="B506" t="n">
        <v>15.03545277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30.068003109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16.823214076</v>
      </c>
      <c r="R506" t="n">
        <v>37.399620635</v>
      </c>
      <c r="S506" t="n">
        <v>23.038467602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40.837992064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30.013846083</v>
      </c>
      <c r="AS506" t="n">
        <v/>
      </c>
      <c r="AT506" t="n">
        <v>21.990173066</v>
      </c>
      <c r="AU506" t="n">
        <v/>
      </c>
    </row>
    <row r="507">
      <c r="A507" s="107" t="n">
        <v>22313</v>
      </c>
      <c r="B507" t="n">
        <v>15.436203123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30.245939002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17.051677477</v>
      </c>
      <c r="R507" t="n">
        <v>37.697493716</v>
      </c>
      <c r="S507" t="n">
        <v>23.128011672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41.144424472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30.468601327</v>
      </c>
      <c r="AS507" t="n">
        <v/>
      </c>
      <c r="AT507" t="n">
        <v>21.963499441</v>
      </c>
      <c r="AU507" t="n">
        <v/>
      </c>
    </row>
    <row r="508">
      <c r="A508" s="107" t="n">
        <v>22341</v>
      </c>
      <c r="B508" t="n">
        <v>15.599732759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30.535968907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17.342449079</v>
      </c>
      <c r="R508" t="n">
        <v>38.028463813</v>
      </c>
      <c r="S508" t="n">
        <v>23.371644034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41.606867272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30.92335657</v>
      </c>
      <c r="AS508" t="n">
        <v/>
      </c>
      <c r="AT508" t="n">
        <v>22.097065885</v>
      </c>
      <c r="AU508" t="n">
        <v/>
      </c>
    </row>
    <row r="509">
      <c r="A509" s="107" t="n">
        <v>22372</v>
      </c>
      <c r="B509" t="n">
        <v>15.444687529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30.525793316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17.072446878</v>
      </c>
      <c r="R509" t="n">
        <v>37.763687739</v>
      </c>
      <c r="S509" t="n">
        <v>23.618318942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41.560768342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30.92335657</v>
      </c>
      <c r="AS509" t="n">
        <v/>
      </c>
      <c r="AT509" t="n">
        <v>22.551310784</v>
      </c>
      <c r="AU509" t="n">
        <v/>
      </c>
    </row>
    <row r="510">
      <c r="A510" s="107" t="n">
        <v>22402</v>
      </c>
      <c r="B510" t="n">
        <v>15.340396109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29.879581965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17.383987879</v>
      </c>
      <c r="R510" t="n">
        <v>37.862978769</v>
      </c>
      <c r="S510" t="n">
        <v>23.833613635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42.033029992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30.468601327</v>
      </c>
      <c r="AS510" t="n">
        <v/>
      </c>
      <c r="AT510" t="n">
        <v>22.898662865</v>
      </c>
      <c r="AU510" t="n">
        <v/>
      </c>
    </row>
    <row r="511">
      <c r="A511" s="107" t="n">
        <v>22433</v>
      </c>
      <c r="B511" t="n">
        <v>15.403430944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29.881201543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17.59168188</v>
      </c>
      <c r="R511" t="n">
        <v>38.094657836</v>
      </c>
      <c r="S511" t="n">
        <v>24.091414268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41.234954845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30.468601327</v>
      </c>
      <c r="AS511" t="n">
        <v/>
      </c>
      <c r="AT511" t="n">
        <v>23.21934132</v>
      </c>
      <c r="AU511" t="n">
        <v/>
      </c>
    </row>
    <row r="512">
      <c r="A512" s="107" t="n">
        <v>22463</v>
      </c>
      <c r="B512" t="n">
        <v>15.648163148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30.438660399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18.027839282</v>
      </c>
      <c r="R512" t="n">
        <v>38.524918954</v>
      </c>
      <c r="S512" t="n">
        <v>24.457242471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41.865237704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31.832867058</v>
      </c>
      <c r="AS512" t="n">
        <v/>
      </c>
      <c r="AT512" t="n">
        <v>23.486474208</v>
      </c>
      <c r="AU512" t="n">
        <v/>
      </c>
    </row>
    <row r="513">
      <c r="A513" s="107" t="n">
        <v>22494</v>
      </c>
      <c r="B513" t="n">
        <v>15.309599765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30.208538649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17.799375881</v>
      </c>
      <c r="R513" t="n">
        <v>38.524918954</v>
      </c>
      <c r="S513" t="n">
        <v>24.60925757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42.244671595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31.378111814</v>
      </c>
      <c r="AS513" t="n">
        <v/>
      </c>
      <c r="AT513" t="n">
        <v>23.700259845</v>
      </c>
      <c r="AU513" t="n">
        <v/>
      </c>
    </row>
    <row r="514">
      <c r="A514" s="107" t="n">
        <v>22525</v>
      </c>
      <c r="B514" t="n">
        <v>15.703122675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30.457907755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17.59168188</v>
      </c>
      <c r="R514" t="n">
        <v>38.657306991</v>
      </c>
      <c r="S514" t="n">
        <v>24.647953625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40.882481986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30.92335657</v>
      </c>
      <c r="AS514" t="n">
        <v/>
      </c>
      <c r="AT514" t="n">
        <v>23.673586219</v>
      </c>
      <c r="AU514" t="n">
        <v/>
      </c>
    </row>
    <row r="515">
      <c r="A515" s="107" t="n">
        <v>22555</v>
      </c>
      <c r="B515" t="n">
        <v>15.627780547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30.223217239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17.71629828</v>
      </c>
      <c r="R515" t="n">
        <v>38.524918954</v>
      </c>
      <c r="S515" t="n">
        <v>24.985026211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40.832809995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31.832867058</v>
      </c>
      <c r="AS515" t="n">
        <v/>
      </c>
      <c r="AT515" t="n">
        <v>24.12773196</v>
      </c>
      <c r="AU515" t="n">
        <v/>
      </c>
    </row>
    <row r="516">
      <c r="A516" s="107" t="n">
        <v>22586</v>
      </c>
      <c r="B516" t="n">
        <v>15.541588425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30.31124669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18.152455682</v>
      </c>
      <c r="R516" t="n">
        <v>38.723501014</v>
      </c>
      <c r="S516" t="n">
        <v>25.267492313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40.474922192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31.832867058</v>
      </c>
      <c r="AS516" t="n">
        <v/>
      </c>
      <c r="AT516" t="n">
        <v>24.501856825</v>
      </c>
      <c r="AU516" t="n">
        <v/>
      </c>
    </row>
    <row r="517">
      <c r="A517" s="107" t="n">
        <v>22616</v>
      </c>
      <c r="B517" t="n">
        <v>15.907125185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30.988451519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18.131686282</v>
      </c>
      <c r="R517" t="n">
        <v>39.848799333</v>
      </c>
      <c r="S517" t="n">
        <v>25.591777283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39.431953927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31.378111814</v>
      </c>
      <c r="AS517" t="n">
        <v/>
      </c>
      <c r="AT517" t="n">
        <v>24.715543303</v>
      </c>
      <c r="AU517" t="n">
        <v/>
      </c>
    </row>
    <row r="518">
      <c r="A518" s="107" t="n">
        <v>22647</v>
      </c>
      <c r="B518" t="n">
        <v>15.659659942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32.339992557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18.484766084</v>
      </c>
      <c r="R518" t="n">
        <v>39.517829236</v>
      </c>
      <c r="S518" t="n">
        <v>25.790490545</v>
      </c>
      <c r="T518" t="n">
        <v/>
      </c>
      <c r="U518" t="n">
        <v/>
      </c>
      <c r="V518" t="n">
        <v>27.178225018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39.003811875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31.378111814</v>
      </c>
      <c r="AS518" t="n">
        <v/>
      </c>
      <c r="AT518" t="n">
        <v>24.501856825</v>
      </c>
      <c r="AU518" t="n">
        <v/>
      </c>
    </row>
    <row r="519">
      <c r="A519" s="107" t="n">
        <v>22678</v>
      </c>
      <c r="B519" t="n">
        <v>15.987489286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32.278275014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18.422457884</v>
      </c>
      <c r="R519" t="n">
        <v>39.848799333</v>
      </c>
      <c r="S519" t="n">
        <v>25.995637294</v>
      </c>
      <c r="T519" t="n">
        <v/>
      </c>
      <c r="U519" t="n">
        <v/>
      </c>
      <c r="V519" t="n">
        <v>26.978098015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39.989042775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32.287622301</v>
      </c>
      <c r="AS519" t="n">
        <v/>
      </c>
      <c r="AT519" t="n">
        <v>24.902655315</v>
      </c>
      <c r="AU519" t="n">
        <v/>
      </c>
    </row>
    <row r="520">
      <c r="A520" s="107" t="n">
        <v>22706</v>
      </c>
      <c r="B520" t="n">
        <v>15.850431721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32.278275014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18.214763883</v>
      </c>
      <c r="R520" t="n">
        <v>40.146672414</v>
      </c>
      <c r="S520" t="n">
        <v>26.142036303</v>
      </c>
      <c r="T520" t="n">
        <v/>
      </c>
      <c r="U520" t="n">
        <v/>
      </c>
      <c r="V520" t="n">
        <v>26.820954767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39.107810571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32.287622301</v>
      </c>
      <c r="AS520" t="n">
        <v/>
      </c>
      <c r="AT520" t="n">
        <v>25.036221759</v>
      </c>
      <c r="AU520" t="n">
        <v/>
      </c>
    </row>
    <row r="521">
      <c r="A521" s="107" t="n">
        <v>22737</v>
      </c>
      <c r="B521" t="n">
        <v>16.129205973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31.784534669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19.024770486</v>
      </c>
      <c r="R521" t="n">
        <v>39.98118737</v>
      </c>
      <c r="S521" t="n">
        <v>26.032530411</v>
      </c>
      <c r="T521" t="n">
        <v/>
      </c>
      <c r="U521" t="n">
        <v/>
      </c>
      <c r="V521" t="n">
        <v>27.250156194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39.240387158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32.287622301</v>
      </c>
      <c r="AS521" t="n">
        <v/>
      </c>
      <c r="AT521" t="n">
        <v>25.089668168</v>
      </c>
      <c r="AU521" t="n">
        <v/>
      </c>
    </row>
    <row r="522">
      <c r="A522" s="107" t="n">
        <v>22767</v>
      </c>
      <c r="B522" t="n">
        <v>15.409810475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32.772015358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18.713229485</v>
      </c>
      <c r="R522" t="n">
        <v>40.279060451</v>
      </c>
      <c r="S522" t="n">
        <v>26.292878762</v>
      </c>
      <c r="T522" t="n">
        <v/>
      </c>
      <c r="U522" t="n">
        <v/>
      </c>
      <c r="V522" t="n">
        <v>27.15520486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37.765524581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32.287622301</v>
      </c>
      <c r="AS522" t="n">
        <v/>
      </c>
      <c r="AT522" t="n">
        <v>25.062895384</v>
      </c>
      <c r="AU522" t="n">
        <v/>
      </c>
    </row>
    <row r="523">
      <c r="A523" s="107" t="n">
        <v>22798</v>
      </c>
      <c r="B523" t="n">
        <v>15.91531166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32.772015358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18.588613084</v>
      </c>
      <c r="R523" t="n">
        <v>40.014284377</v>
      </c>
      <c r="S523" t="n">
        <v>26.133874577</v>
      </c>
      <c r="T523" t="n">
        <v/>
      </c>
      <c r="U523" t="n">
        <v/>
      </c>
      <c r="V523" t="n">
        <v>27.899318815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38.970546935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32.742377545</v>
      </c>
      <c r="AS523" t="n">
        <v/>
      </c>
      <c r="AT523" t="n">
        <v>25.009548133</v>
      </c>
      <c r="AU523" t="n">
        <v/>
      </c>
    </row>
    <row r="524">
      <c r="A524" s="107" t="n">
        <v>22828</v>
      </c>
      <c r="B524" t="n">
        <v>15.929162711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32.833732901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18.401688484</v>
      </c>
      <c r="R524" t="n">
        <v>40.643127555</v>
      </c>
      <c r="S524" t="n">
        <v>26.254903732</v>
      </c>
      <c r="T524" t="n">
        <v/>
      </c>
      <c r="U524" t="n">
        <v/>
      </c>
      <c r="V524" t="n">
        <v>27.206759191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38.648798026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33.651888033</v>
      </c>
      <c r="AS524" t="n">
        <v/>
      </c>
      <c r="AT524" t="n">
        <v>25.250007396</v>
      </c>
      <c r="AU524" t="n">
        <v/>
      </c>
    </row>
    <row r="525">
      <c r="A525" s="107" t="n">
        <v>22859</v>
      </c>
      <c r="B525" t="n">
        <v>15.997283252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34.253236391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18.588613084</v>
      </c>
      <c r="R525" t="n">
        <v>40.643127555</v>
      </c>
      <c r="S525" t="n">
        <v>26.560068842</v>
      </c>
      <c r="T525" t="n">
        <v/>
      </c>
      <c r="U525" t="n">
        <v/>
      </c>
      <c r="V525" t="n">
        <v>27.041006641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38.664665135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33.651888033</v>
      </c>
      <c r="AS525" t="n">
        <v/>
      </c>
      <c r="AT525" t="n">
        <v>25.276681021</v>
      </c>
      <c r="AU525" t="n">
        <v/>
      </c>
    </row>
    <row r="526">
      <c r="A526" s="107" t="n">
        <v>22890</v>
      </c>
      <c r="B526" t="n">
        <v>16.246026205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33.450908332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19.066309287</v>
      </c>
      <c r="R526" t="n">
        <v>40.941000645</v>
      </c>
      <c r="S526" t="n">
        <v>26.437223601</v>
      </c>
      <c r="T526" t="n">
        <v/>
      </c>
      <c r="U526" t="n">
        <v/>
      </c>
      <c r="V526" t="n">
        <v>27.632883431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40.425532821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33.651888033</v>
      </c>
      <c r="AS526" t="n">
        <v/>
      </c>
      <c r="AT526" t="n">
        <v>25.437020249</v>
      </c>
      <c r="AU526" t="n">
        <v/>
      </c>
    </row>
    <row r="527">
      <c r="A527" s="107" t="n">
        <v>22920</v>
      </c>
      <c r="B527" t="n">
        <v>16.031590823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32.895450444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18.754768285</v>
      </c>
      <c r="R527" t="n">
        <v>41.073388682</v>
      </c>
      <c r="S527" t="n">
        <v>26.368888235</v>
      </c>
      <c r="T527" t="n">
        <v/>
      </c>
      <c r="U527" t="n">
        <v/>
      </c>
      <c r="V527" t="n">
        <v>27.904803119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39.467857101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33.651888033</v>
      </c>
      <c r="AS527" t="n">
        <v/>
      </c>
      <c r="AT527" t="n">
        <v>25.463793032</v>
      </c>
      <c r="AU527" t="n">
        <v/>
      </c>
    </row>
    <row r="528">
      <c r="A528" s="107" t="n">
        <v>22951</v>
      </c>
      <c r="B528" t="n">
        <v>16.01170043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33.574343418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19.004001086</v>
      </c>
      <c r="R528" t="n">
        <v>41.271970733</v>
      </c>
      <c r="S528" t="n">
        <v>26.595781188</v>
      </c>
      <c r="T528" t="n">
        <v/>
      </c>
      <c r="U528" t="n">
        <v/>
      </c>
      <c r="V528" t="n">
        <v>27.941448151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41.377751157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34.106643276</v>
      </c>
      <c r="AS528" t="n">
        <v/>
      </c>
      <c r="AT528" t="n">
        <v>25.570586693</v>
      </c>
      <c r="AU528" t="n">
        <v/>
      </c>
    </row>
    <row r="529">
      <c r="A529" s="107" t="n">
        <v>22981</v>
      </c>
      <c r="B529" t="n">
        <v>15.916612437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32.710297815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19.294772688</v>
      </c>
      <c r="R529" t="n">
        <v>40.907903629</v>
      </c>
      <c r="S529" t="n">
        <v>26.483455993</v>
      </c>
      <c r="T529" t="n">
        <v/>
      </c>
      <c r="U529" t="n">
        <v/>
      </c>
      <c r="V529" t="n">
        <v>27.738957763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39.228332984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34.56139852</v>
      </c>
      <c r="AS529" t="n">
        <v/>
      </c>
      <c r="AT529" t="n">
        <v>25.570586693</v>
      </c>
      <c r="AU529" t="n">
        <v/>
      </c>
    </row>
    <row r="530">
      <c r="A530" s="107" t="n">
        <v>23012</v>
      </c>
      <c r="B530" t="n">
        <v>16.030936428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32.833732901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19.107848087</v>
      </c>
      <c r="R530" t="n">
        <v>41.008573043</v>
      </c>
      <c r="S530" t="n">
        <v>26.698549615</v>
      </c>
      <c r="T530" t="n">
        <v/>
      </c>
      <c r="U530" t="n">
        <v/>
      </c>
      <c r="V530" t="n">
        <v>28.055139575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38.844339434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33.197132789</v>
      </c>
      <c r="AS530" t="n">
        <v/>
      </c>
      <c r="AT530" t="n">
        <v>25.757599546</v>
      </c>
      <c r="AU530" t="n">
        <v/>
      </c>
    </row>
    <row r="531">
      <c r="A531" s="107" t="n">
        <v>23043</v>
      </c>
      <c r="B531" t="n">
        <v>15.920894782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32.463427643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19.004001086</v>
      </c>
      <c r="R531" t="n">
        <v>40.399233178</v>
      </c>
      <c r="S531" t="n">
        <v>26.888518914</v>
      </c>
      <c r="T531" t="n">
        <v/>
      </c>
      <c r="U531" t="n">
        <v/>
      </c>
      <c r="V531" t="n">
        <v>29.187937476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38.358984924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33.651888033</v>
      </c>
      <c r="AS531" t="n">
        <v/>
      </c>
      <c r="AT531" t="n">
        <v>26.051604376</v>
      </c>
      <c r="AU531" t="n">
        <v/>
      </c>
    </row>
    <row r="532">
      <c r="A532" s="107" t="n">
        <v>23071</v>
      </c>
      <c r="B532" t="n">
        <v>16.298629731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33.265755702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18.110916882</v>
      </c>
      <c r="R532" t="n">
        <v>36.316656071</v>
      </c>
      <c r="S532" t="n">
        <v>27.081890559</v>
      </c>
      <c r="T532" t="n">
        <v/>
      </c>
      <c r="U532" t="n">
        <v/>
      </c>
      <c r="V532" t="n">
        <v>29.207615219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38.381619798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33.197132789</v>
      </c>
      <c r="AS532" t="n">
        <v/>
      </c>
      <c r="AT532" t="n">
        <v>26.211943603</v>
      </c>
      <c r="AU532" t="n">
        <v/>
      </c>
    </row>
    <row r="533">
      <c r="A533" s="107" t="n">
        <v>23102</v>
      </c>
      <c r="B533" t="n">
        <v>16.354253849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33.574343418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19.232464487</v>
      </c>
      <c r="R533" t="n">
        <v>41.374176963</v>
      </c>
      <c r="S533" t="n">
        <v>27.637015169</v>
      </c>
      <c r="T533" t="n">
        <v/>
      </c>
      <c r="U533" t="n">
        <v/>
      </c>
      <c r="V533" t="n">
        <v>28.821269252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39.00066051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34.106643276</v>
      </c>
      <c r="AS533" t="n">
        <v/>
      </c>
      <c r="AT533" t="n">
        <v>26.452402866</v>
      </c>
      <c r="AU533" t="n">
        <v/>
      </c>
    </row>
    <row r="534">
      <c r="A534" s="107" t="n">
        <v>23132</v>
      </c>
      <c r="B534" t="n">
        <v>16.518637424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33.82121359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19.481697288</v>
      </c>
      <c r="R534" t="n">
        <v>43.080328588</v>
      </c>
      <c r="S534" t="n">
        <v>27.957800924</v>
      </c>
      <c r="T534" t="n">
        <v/>
      </c>
      <c r="U534" t="n">
        <v/>
      </c>
      <c r="V534" t="n">
        <v>29.170474235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39.496539611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34.56139852</v>
      </c>
      <c r="AS534" t="n">
        <v/>
      </c>
      <c r="AT534" t="n">
        <v>26.772982163</v>
      </c>
      <c r="AU534" t="n">
        <v/>
      </c>
    </row>
    <row r="535">
      <c r="A535" s="107" t="n">
        <v>23163</v>
      </c>
      <c r="B535" t="n">
        <v>16.964388993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33.512625875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20.312473292</v>
      </c>
      <c r="R535" t="n">
        <v>43.080328588</v>
      </c>
      <c r="S535" t="n">
        <v>27.949649559</v>
      </c>
      <c r="T535" t="n">
        <v/>
      </c>
      <c r="U535" t="n">
        <v/>
      </c>
      <c r="V535" t="n">
        <v>29.139979059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40.101433738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35.470909007</v>
      </c>
      <c r="AS535" t="n">
        <v/>
      </c>
      <c r="AT535" t="n">
        <v>26.853201356</v>
      </c>
      <c r="AU535" t="n">
        <v/>
      </c>
    </row>
    <row r="536">
      <c r="A536" s="107" t="n">
        <v>23193</v>
      </c>
      <c r="B536" t="n">
        <v>16.43262026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34.068083762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19.377850288</v>
      </c>
      <c r="R536" t="n">
        <v>44.238074342</v>
      </c>
      <c r="S536" t="n">
        <v>28.18681975</v>
      </c>
      <c r="T536" t="n">
        <v/>
      </c>
      <c r="U536" t="n">
        <v/>
      </c>
      <c r="V536" t="n">
        <v>29.285844942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40.634090815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35.016153764</v>
      </c>
      <c r="AS536" t="n">
        <v/>
      </c>
      <c r="AT536" t="n">
        <v>26.746308537</v>
      </c>
      <c r="AU536" t="n">
        <v/>
      </c>
    </row>
    <row r="537">
      <c r="A537" s="107" t="n">
        <v>23224</v>
      </c>
      <c r="B537" t="n">
        <v>16.9623283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35.302434623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19.79323829</v>
      </c>
      <c r="R537" t="n">
        <v>44.238074342</v>
      </c>
      <c r="S537" t="n">
        <v>28.590719986</v>
      </c>
      <c r="T537" t="n">
        <v/>
      </c>
      <c r="U537" t="n">
        <v/>
      </c>
      <c r="V537" t="n">
        <v>31.414109947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40.461270338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35.925664251</v>
      </c>
      <c r="AS537" t="n">
        <v/>
      </c>
      <c r="AT537" t="n">
        <v>26.799754946</v>
      </c>
      <c r="AU537" t="n">
        <v/>
      </c>
    </row>
    <row r="538">
      <c r="A538" s="107" t="n">
        <v>23255</v>
      </c>
      <c r="B538" t="n">
        <v>16.97044868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34.314953934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19.980162891</v>
      </c>
      <c r="R538" t="n">
        <v>43.750602445</v>
      </c>
      <c r="S538" t="n">
        <v>28.648467852</v>
      </c>
      <c r="T538" t="n">
        <v/>
      </c>
      <c r="U538" t="n">
        <v/>
      </c>
      <c r="V538" t="n">
        <v>32.333105461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40.602262078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35.925664251</v>
      </c>
      <c r="AS538" t="n">
        <v/>
      </c>
      <c r="AT538" t="n">
        <v>27.066887834</v>
      </c>
      <c r="AU538" t="n">
        <v/>
      </c>
    </row>
    <row r="539">
      <c r="A539" s="107" t="n">
        <v>23285</v>
      </c>
      <c r="B539" t="n">
        <v>16.99639963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34.870411822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20.416320293</v>
      </c>
      <c r="R539" t="n">
        <v>43.994338389</v>
      </c>
      <c r="S539" t="n">
        <v>29.015833586</v>
      </c>
      <c r="T539" t="n">
        <v/>
      </c>
      <c r="U539" t="n">
        <v/>
      </c>
      <c r="V539" t="n">
        <v>31.56598836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39.253270693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35.925664251</v>
      </c>
      <c r="AS539" t="n">
        <v/>
      </c>
      <c r="AT539" t="n">
        <v>27.253999846</v>
      </c>
      <c r="AU539" t="n">
        <v/>
      </c>
    </row>
    <row r="540">
      <c r="A540" s="107" t="n">
        <v>23316</v>
      </c>
      <c r="B540" t="n">
        <v>17.546376411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35.117281994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20.104779291</v>
      </c>
      <c r="R540" t="n">
        <v>43.994338389</v>
      </c>
      <c r="S540" t="n">
        <v>29.230431254</v>
      </c>
      <c r="T540" t="n">
        <v/>
      </c>
      <c r="U540" t="n">
        <v/>
      </c>
      <c r="V540" t="n">
        <v>31.64248709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40.337234472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36.380419495</v>
      </c>
      <c r="AS540" t="n">
        <v/>
      </c>
      <c r="AT540" t="n">
        <v>27.387566289</v>
      </c>
      <c r="AU540" t="n">
        <v/>
      </c>
    </row>
    <row r="541">
      <c r="A541" s="107" t="n">
        <v>23346</v>
      </c>
      <c r="B541" t="n">
        <v>16.787598187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34.068083762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20.374781493</v>
      </c>
      <c r="R541" t="n">
        <v>44.603678262</v>
      </c>
      <c r="S541" t="n">
        <v>29.087854999</v>
      </c>
      <c r="T541" t="n">
        <v/>
      </c>
      <c r="U541" t="n">
        <v/>
      </c>
      <c r="V541" t="n">
        <v>32.125705393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41.761142699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36.380419495</v>
      </c>
      <c r="AS541" t="n">
        <v/>
      </c>
      <c r="AT541" t="n">
        <v>27.33411988</v>
      </c>
      <c r="AU541" t="n">
        <v/>
      </c>
    </row>
    <row r="542">
      <c r="A542" s="107" t="n">
        <v>23377</v>
      </c>
      <c r="B542" t="n">
        <v>17.579947392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35.672739881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19.949094008</v>
      </c>
      <c r="R542" t="n">
        <v>45.517688054</v>
      </c>
      <c r="S542" t="n">
        <v>29.609953264</v>
      </c>
      <c r="T542" t="n">
        <v/>
      </c>
      <c r="U542" t="n">
        <v/>
      </c>
      <c r="V542" t="n">
        <v>31.949907851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41.107863493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37.289929982</v>
      </c>
      <c r="AS542" t="n">
        <v/>
      </c>
      <c r="AT542" t="n">
        <v>27.574579143</v>
      </c>
      <c r="AU542" t="n">
        <v/>
      </c>
    </row>
    <row r="543">
      <c r="A543" s="107" t="n">
        <v>23408</v>
      </c>
      <c r="B543" t="n">
        <v>17.858591918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36.536785484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20.001248502</v>
      </c>
      <c r="R543" t="n">
        <v>45.27395211</v>
      </c>
      <c r="S543" t="n">
        <v>29.913740209</v>
      </c>
      <c r="T543" t="n">
        <v/>
      </c>
      <c r="U543" t="n">
        <v/>
      </c>
      <c r="V543" t="n">
        <v>31.352887039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41.899199565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37.289929982</v>
      </c>
      <c r="AS543" t="n">
        <v/>
      </c>
      <c r="AT543" t="n">
        <v>27.761591996</v>
      </c>
      <c r="AU543" t="n">
        <v/>
      </c>
    </row>
    <row r="544">
      <c r="A544" s="107" t="n">
        <v>23437</v>
      </c>
      <c r="B544" t="n">
        <v>17.631606629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35.919610053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20.535832067</v>
      </c>
      <c r="R544" t="n">
        <v>45.334886094</v>
      </c>
      <c r="S544" t="n">
        <v>29.792432138</v>
      </c>
      <c r="T544" t="n">
        <v/>
      </c>
      <c r="U544" t="n">
        <v/>
      </c>
      <c r="V544" t="n">
        <v>31.899246459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43.706089706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37.289929982</v>
      </c>
      <c r="AS544" t="n">
        <v/>
      </c>
      <c r="AT544" t="n">
        <v>27.761591996</v>
      </c>
      <c r="AU544" t="n">
        <v/>
      </c>
    </row>
    <row r="545">
      <c r="A545" s="107" t="n">
        <v>23468</v>
      </c>
      <c r="B545" t="n">
        <v>17.47286037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35.981327596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20.27179994</v>
      </c>
      <c r="R545" t="n">
        <v>45.761424007</v>
      </c>
      <c r="S545" t="n">
        <v>30.109492604</v>
      </c>
      <c r="T545" t="n">
        <v/>
      </c>
      <c r="U545" t="n">
        <v/>
      </c>
      <c r="V545" t="n">
        <v>33.343412831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43.523773202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36.835174738</v>
      </c>
      <c r="AS545" t="n">
        <v/>
      </c>
      <c r="AT545" t="n">
        <v>28.215836895</v>
      </c>
      <c r="AU545" t="n">
        <v/>
      </c>
    </row>
    <row r="546">
      <c r="A546" s="107" t="n">
        <v>23498</v>
      </c>
      <c r="B546" t="n">
        <v>18.541962988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35.919610053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20.623842776</v>
      </c>
      <c r="R546" t="n">
        <v>45.63955603</v>
      </c>
      <c r="S546" t="n">
        <v>30.235860423</v>
      </c>
      <c r="T546" t="n">
        <v/>
      </c>
      <c r="U546" t="n">
        <v/>
      </c>
      <c r="V546" t="n">
        <v>31.494528594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43.791894584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37.744685226</v>
      </c>
      <c r="AS546" t="n">
        <v/>
      </c>
      <c r="AT546" t="n">
        <v>28.376176123</v>
      </c>
      <c r="AU546" t="n">
        <v/>
      </c>
    </row>
    <row r="547">
      <c r="A547" s="107" t="n">
        <v>23529</v>
      </c>
      <c r="B547" t="n">
        <v>17.667365331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36.536785484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20.614063808</v>
      </c>
      <c r="R547" t="n">
        <v>45.213018126</v>
      </c>
      <c r="S547" t="n">
        <v>30.439885338</v>
      </c>
      <c r="T547" t="n">
        <v/>
      </c>
      <c r="U547" t="n">
        <v/>
      </c>
      <c r="V547" t="n">
        <v>32.137400992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43.719667253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37.744685226</v>
      </c>
      <c r="AS547" t="n">
        <v/>
      </c>
      <c r="AT547" t="n">
        <v>28.456296157</v>
      </c>
      <c r="AU547" t="n">
        <v/>
      </c>
    </row>
    <row r="548">
      <c r="A548" s="107" t="n">
        <v>23559</v>
      </c>
      <c r="B548" t="n">
        <v>18.085609881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37.277396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21.086713911</v>
      </c>
      <c r="R548" t="n">
        <v>44.420876302</v>
      </c>
      <c r="S548" t="n">
        <v>30.656237223</v>
      </c>
      <c r="T548" t="n">
        <v/>
      </c>
      <c r="U548" t="n">
        <v/>
      </c>
      <c r="V548" t="n">
        <v>33.833022184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43.585645337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37.289929982</v>
      </c>
      <c r="AS548" t="n">
        <v/>
      </c>
      <c r="AT548" t="n">
        <v>28.643408169</v>
      </c>
      <c r="AU548" t="n">
        <v/>
      </c>
    </row>
    <row r="549">
      <c r="A549" s="107" t="n">
        <v>23590</v>
      </c>
      <c r="B549" t="n">
        <v>18.062965773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36.968808285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21.161685996</v>
      </c>
      <c r="R549" t="n">
        <v>44.420876302</v>
      </c>
      <c r="S549" t="n">
        <v>30.567477713</v>
      </c>
      <c r="T549" t="n">
        <v/>
      </c>
      <c r="U549" t="n">
        <v/>
      </c>
      <c r="V549" t="n">
        <v>35.390624546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44.845496435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39.108950957</v>
      </c>
      <c r="AS549" t="n">
        <v/>
      </c>
      <c r="AT549" t="n">
        <v>28.830421022</v>
      </c>
      <c r="AU549" t="n">
        <v/>
      </c>
    </row>
    <row r="550">
      <c r="A550" s="107" t="n">
        <v>23621</v>
      </c>
      <c r="B550" t="n">
        <v>17.905050148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37.030525828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21.200801867</v>
      </c>
      <c r="R550" t="n">
        <v>45.334886094</v>
      </c>
      <c r="S550" t="n">
        <v>30.997613517</v>
      </c>
      <c r="T550" t="n">
        <v/>
      </c>
      <c r="U550" t="n">
        <v/>
      </c>
      <c r="V550" t="n">
        <v>34.06966727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43.733711898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38.654195713</v>
      </c>
      <c r="AS550" t="n">
        <v/>
      </c>
      <c r="AT550" t="n">
        <v>28.93731384</v>
      </c>
      <c r="AU550" t="n">
        <v/>
      </c>
    </row>
    <row r="551">
      <c r="A551" s="107" t="n">
        <v>23651</v>
      </c>
      <c r="B551" t="n">
        <v>18.258212079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37.524266173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21.481132273</v>
      </c>
      <c r="R551" t="n">
        <v>45.395820087</v>
      </c>
      <c r="S551" t="n">
        <v>30.844935209</v>
      </c>
      <c r="T551" t="n">
        <v/>
      </c>
      <c r="U551" t="n">
        <v/>
      </c>
      <c r="V551" t="n">
        <v>34.36353717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44.528989858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39.108950957</v>
      </c>
      <c r="AS551" t="n">
        <v/>
      </c>
      <c r="AT551" t="n">
        <v>28.53651535</v>
      </c>
      <c r="AU551" t="n">
        <v/>
      </c>
    </row>
    <row r="552">
      <c r="A552" s="107" t="n">
        <v>23682</v>
      </c>
      <c r="B552" t="n">
        <v>18.193636394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37.46254863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21.455055026</v>
      </c>
      <c r="R552" t="n">
        <v>45.334886094</v>
      </c>
      <c r="S552" t="n">
        <v>31.224915138</v>
      </c>
      <c r="T552" t="n">
        <v/>
      </c>
      <c r="U552" t="n">
        <v/>
      </c>
      <c r="V552" t="n">
        <v>34.826248059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43.555245984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39.5637062</v>
      </c>
      <c r="AS552" t="n">
        <v/>
      </c>
      <c r="AT552" t="n">
        <v>29.418232365</v>
      </c>
      <c r="AU552" t="n">
        <v/>
      </c>
    </row>
    <row r="553">
      <c r="A553" s="107" t="n">
        <v>23712</v>
      </c>
      <c r="B553" t="n">
        <v>18.153468703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37.894571431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21.474612961</v>
      </c>
      <c r="R553" t="n">
        <v>44.481810286</v>
      </c>
      <c r="S553" t="n">
        <v>31.616624823</v>
      </c>
      <c r="T553" t="n">
        <v/>
      </c>
      <c r="U553" t="n">
        <v/>
      </c>
      <c r="V553" t="n">
        <v>35.407772389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44.28435116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40.018461444</v>
      </c>
      <c r="AS553" t="n">
        <v/>
      </c>
      <c r="AT553" t="n">
        <v>29.765584446</v>
      </c>
      <c r="AU553" t="n">
        <v/>
      </c>
    </row>
    <row r="554">
      <c r="A554" s="107" t="n">
        <v>23743</v>
      </c>
      <c r="B554" t="n">
        <v>19.098607384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38.758617034</v>
      </c>
      <c r="L554" t="n">
        <v/>
      </c>
      <c r="M554" t="n">
        <v/>
      </c>
      <c r="N554" t="n">
        <v>29.650574751</v>
      </c>
      <c r="O554" t="n">
        <v/>
      </c>
      <c r="P554" t="n">
        <v/>
      </c>
      <c r="Q554" t="n">
        <v>21.738645088</v>
      </c>
      <c r="R554" t="n">
        <v>44.542744269</v>
      </c>
      <c r="S554" t="n">
        <v>31.841334041</v>
      </c>
      <c r="T554" t="n">
        <v/>
      </c>
      <c r="U554" t="n">
        <v/>
      </c>
      <c r="V554" t="n">
        <v>35.667171681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44.931526011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41.382727175</v>
      </c>
      <c r="AS554" t="n">
        <v/>
      </c>
      <c r="AT554" t="n">
        <v>30.086262901</v>
      </c>
      <c r="AU554" t="n">
        <v/>
      </c>
    </row>
    <row r="555">
      <c r="A555" s="107" t="n">
        <v>23774</v>
      </c>
      <c r="B555" t="n">
        <v>18.444016299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38.450029318</v>
      </c>
      <c r="L555" t="n">
        <v/>
      </c>
      <c r="M555" t="n">
        <v/>
      </c>
      <c r="N555" t="n">
        <v>30.613139694</v>
      </c>
      <c r="O555" t="n">
        <v/>
      </c>
      <c r="P555" t="n">
        <v/>
      </c>
      <c r="Q555" t="n">
        <v>21.937484097</v>
      </c>
      <c r="R555" t="n">
        <v>44.969282183</v>
      </c>
      <c r="S555" t="n">
        <v>31.871069274</v>
      </c>
      <c r="T555" t="n">
        <v/>
      </c>
      <c r="U555" t="n">
        <v/>
      </c>
      <c r="V555" t="n">
        <v>35.469383475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45.798992461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40.927971931</v>
      </c>
      <c r="AS555" t="n">
        <v/>
      </c>
      <c r="AT555" t="n">
        <v>30.273275754</v>
      </c>
      <c r="AU555" t="n">
        <v/>
      </c>
    </row>
    <row r="556">
      <c r="A556" s="107" t="n">
        <v>23802</v>
      </c>
      <c r="B556" t="n">
        <v>18.209554209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38.388311775</v>
      </c>
      <c r="L556" t="n">
        <v/>
      </c>
      <c r="M556" t="n">
        <v/>
      </c>
      <c r="N556" t="n">
        <v>31.177443205</v>
      </c>
      <c r="O556" t="n">
        <v/>
      </c>
      <c r="P556" t="n">
        <v/>
      </c>
      <c r="Q556" t="n">
        <v>21.660413347</v>
      </c>
      <c r="R556" t="n">
        <v>44.969282183</v>
      </c>
      <c r="S556" t="n">
        <v>32.090510985</v>
      </c>
      <c r="T556" t="n">
        <v/>
      </c>
      <c r="U556" t="n">
        <v/>
      </c>
      <c r="V556" t="n">
        <v>35.722852232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42.284339895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40.018461444</v>
      </c>
      <c r="AS556" t="n">
        <v/>
      </c>
      <c r="AT556" t="n">
        <v>30.674074244</v>
      </c>
      <c r="AU556" t="n">
        <v/>
      </c>
    </row>
    <row r="557">
      <c r="A557" s="107" t="n">
        <v>23833</v>
      </c>
      <c r="B557" t="n">
        <v>18.399820671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38.573464404</v>
      </c>
      <c r="L557" t="n">
        <v/>
      </c>
      <c r="M557" t="n">
        <v/>
      </c>
      <c r="N557" t="n">
        <v>31.024201824</v>
      </c>
      <c r="O557" t="n">
        <v/>
      </c>
      <c r="P557" t="n">
        <v/>
      </c>
      <c r="Q557" t="n">
        <v>22.146102073</v>
      </c>
      <c r="R557" t="n">
        <v>45.213018126</v>
      </c>
      <c r="S557" t="n">
        <v>32.175733814</v>
      </c>
      <c r="T557" t="n">
        <v/>
      </c>
      <c r="U557" t="n">
        <v/>
      </c>
      <c r="V557" t="n">
        <v>35.409928413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44.039246888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40.018461444</v>
      </c>
      <c r="AS557" t="n">
        <v/>
      </c>
      <c r="AT557" t="n">
        <v>30.807640688</v>
      </c>
      <c r="AU557" t="n">
        <v/>
      </c>
    </row>
    <row r="558">
      <c r="A558" s="107" t="n">
        <v>23863</v>
      </c>
      <c r="B558" t="n">
        <v>18.555197922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38.573464404</v>
      </c>
      <c r="L558" t="n">
        <v/>
      </c>
      <c r="M558" t="n">
        <v/>
      </c>
      <c r="N558" t="n">
        <v>31.685336658</v>
      </c>
      <c r="O558" t="n">
        <v/>
      </c>
      <c r="P558" t="n">
        <v/>
      </c>
      <c r="Q558" t="n">
        <v>22.224333814</v>
      </c>
      <c r="R558" t="n">
        <v>45.45675407</v>
      </c>
      <c r="S558" t="n">
        <v>32.298242657</v>
      </c>
      <c r="T558" t="n">
        <v/>
      </c>
      <c r="U558" t="n">
        <v/>
      </c>
      <c r="V558" t="n">
        <v>35.916710754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43.611942321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40.473216688</v>
      </c>
      <c r="AS558" t="n">
        <v/>
      </c>
      <c r="AT558" t="n">
        <v>31.04809995</v>
      </c>
      <c r="AU558" t="n">
        <v/>
      </c>
    </row>
    <row r="559">
      <c r="A559" s="107" t="n">
        <v>23894</v>
      </c>
      <c r="B559" t="n">
        <v>18.728339764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38.264876689</v>
      </c>
      <c r="L559" t="n">
        <v/>
      </c>
      <c r="M559" t="n">
        <v/>
      </c>
      <c r="N559" t="n">
        <v>30.997054661</v>
      </c>
      <c r="O559" t="n">
        <v/>
      </c>
      <c r="P559" t="n">
        <v/>
      </c>
      <c r="Q559" t="n">
        <v>22.944717765</v>
      </c>
      <c r="R559" t="n">
        <v>46.005159951</v>
      </c>
      <c r="S559" t="n">
        <v>32.534486842</v>
      </c>
      <c r="T559" t="n">
        <v/>
      </c>
      <c r="U559" t="n">
        <v/>
      </c>
      <c r="V559" t="n">
        <v>36.923943659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43.592287889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40.927971931</v>
      </c>
      <c r="AS559" t="n">
        <v/>
      </c>
      <c r="AT559" t="n">
        <v>31.288559213</v>
      </c>
      <c r="AU559" t="n">
        <v/>
      </c>
    </row>
    <row r="560">
      <c r="A560" s="107" t="n">
        <v>23924</v>
      </c>
      <c r="B560" t="n">
        <v>18.826964317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38.450029318</v>
      </c>
      <c r="L560" t="n">
        <v/>
      </c>
      <c r="M560" t="n">
        <v/>
      </c>
      <c r="N560" t="n">
        <v>33.51836907</v>
      </c>
      <c r="O560" t="n">
        <v/>
      </c>
      <c r="P560" t="n">
        <v/>
      </c>
      <c r="Q560" t="n">
        <v>22.736099788</v>
      </c>
      <c r="R560" t="n">
        <v>45.944225967</v>
      </c>
      <c r="S560" t="n">
        <v>32.752212336</v>
      </c>
      <c r="T560" t="n">
        <v/>
      </c>
      <c r="U560" t="n">
        <v/>
      </c>
      <c r="V560" t="n">
        <v>36.704489676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43.279987154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38.199440469</v>
      </c>
      <c r="AS560" t="n">
        <v/>
      </c>
      <c r="AT560" t="n">
        <v>31.582564043</v>
      </c>
      <c r="AU560" t="n">
        <v/>
      </c>
    </row>
    <row r="561">
      <c r="A561" s="107" t="n">
        <v>23955</v>
      </c>
      <c r="B561" t="n">
        <v>18.927402581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38.820334577</v>
      </c>
      <c r="L561" t="n">
        <v/>
      </c>
      <c r="M561" t="n">
        <v/>
      </c>
      <c r="N561" t="n">
        <v>32.895462465</v>
      </c>
      <c r="O561" t="n">
        <v/>
      </c>
      <c r="P561" t="n">
        <v/>
      </c>
      <c r="Q561" t="n">
        <v>22.703503229</v>
      </c>
      <c r="R561" t="n">
        <v>45.944225967</v>
      </c>
      <c r="S561" t="n">
        <v>32.830998161</v>
      </c>
      <c r="T561" t="n">
        <v/>
      </c>
      <c r="U561" t="n">
        <v/>
      </c>
      <c r="V561" t="n">
        <v>36.076845443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43.143566167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41.382727175</v>
      </c>
      <c r="AS561" t="n">
        <v/>
      </c>
      <c r="AT561" t="n">
        <v>31.716130487</v>
      </c>
      <c r="AU561" t="n">
        <v/>
      </c>
    </row>
    <row r="562">
      <c r="A562" s="107" t="n">
        <v>23986</v>
      </c>
      <c r="B562" t="n">
        <v>19.160525287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39.128922292</v>
      </c>
      <c r="L562" t="n">
        <v/>
      </c>
      <c r="M562" t="n">
        <v/>
      </c>
      <c r="N562" t="n">
        <v>32.951244571</v>
      </c>
      <c r="O562" t="n">
        <v/>
      </c>
      <c r="P562" t="n">
        <v/>
      </c>
      <c r="Q562" t="n">
        <v>22.784994626</v>
      </c>
      <c r="R562" t="n">
        <v>46.431697855</v>
      </c>
      <c r="S562" t="n">
        <v>33.015770452</v>
      </c>
      <c r="T562" t="n">
        <v/>
      </c>
      <c r="U562" t="n">
        <v/>
      </c>
      <c r="V562" t="n">
        <v>37.093831887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43.551001375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42.292237663</v>
      </c>
      <c r="AS562" t="n">
        <v/>
      </c>
      <c r="AT562" t="n">
        <v>31.796250521</v>
      </c>
      <c r="AU562" t="n">
        <v/>
      </c>
    </row>
    <row r="563">
      <c r="A563" s="107" t="n">
        <v>24016</v>
      </c>
      <c r="B563" t="n">
        <v>19.107294571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38.943769663</v>
      </c>
      <c r="L563" t="n">
        <v/>
      </c>
      <c r="M563" t="n">
        <v/>
      </c>
      <c r="N563" t="n">
        <v>33.199472033</v>
      </c>
      <c r="O563" t="n">
        <v/>
      </c>
      <c r="P563" t="n">
        <v/>
      </c>
      <c r="Q563" t="n">
        <v>22.191737256</v>
      </c>
      <c r="R563" t="n">
        <v>47.345707656</v>
      </c>
      <c r="S563" t="n">
        <v>33.208928154</v>
      </c>
      <c r="T563" t="n">
        <v/>
      </c>
      <c r="U563" t="n">
        <v/>
      </c>
      <c r="V563" t="n">
        <v>36.870397637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43.581735198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41.837482419</v>
      </c>
      <c r="AS563" t="n">
        <v/>
      </c>
      <c r="AT563" t="n">
        <v>32.116928977</v>
      </c>
      <c r="AU563" t="n">
        <v/>
      </c>
    </row>
    <row r="564">
      <c r="A564" s="107" t="n">
        <v>24047</v>
      </c>
      <c r="B564" t="n">
        <v>19.186105892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38.696899491</v>
      </c>
      <c r="L564" t="n">
        <v/>
      </c>
      <c r="M564" t="n">
        <v/>
      </c>
      <c r="N564" t="n">
        <v>33.842830791</v>
      </c>
      <c r="O564" t="n">
        <v/>
      </c>
      <c r="P564" t="n">
        <v/>
      </c>
      <c r="Q564" t="n">
        <v>22.397095576</v>
      </c>
      <c r="R564" t="n">
        <v>47.345707656</v>
      </c>
      <c r="S564" t="n">
        <v>33.435438035</v>
      </c>
      <c r="T564" t="n">
        <v/>
      </c>
      <c r="U564" t="n">
        <v/>
      </c>
      <c r="V564" t="n">
        <v>37.626014412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44.649209734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41.837482419</v>
      </c>
      <c r="AS564" t="n">
        <v/>
      </c>
      <c r="AT564" t="n">
        <v>32.25049542</v>
      </c>
      <c r="AU564" t="n">
        <v/>
      </c>
    </row>
    <row r="565">
      <c r="A565" s="107" t="n">
        <v>24077</v>
      </c>
      <c r="B565" t="n">
        <v>18.299256129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39.622662636</v>
      </c>
      <c r="L565" t="n">
        <v/>
      </c>
      <c r="M565" t="n">
        <v/>
      </c>
      <c r="N565" t="n">
        <v>34.202149087</v>
      </c>
      <c r="O565" t="n">
        <v/>
      </c>
      <c r="P565" t="n">
        <v/>
      </c>
      <c r="Q565" t="n">
        <v>22.426432479</v>
      </c>
      <c r="R565" t="n">
        <v>47.528509616</v>
      </c>
      <c r="S565" t="n">
        <v>33.776455393</v>
      </c>
      <c r="T565" t="n">
        <v/>
      </c>
      <c r="U565" t="n">
        <v/>
      </c>
      <c r="V565" t="n">
        <v>37.532392677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43.536705101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41.382727175</v>
      </c>
      <c r="AS565" t="n">
        <v/>
      </c>
      <c r="AT565" t="n">
        <v>32.65129391</v>
      </c>
      <c r="AU565" t="n">
        <v/>
      </c>
    </row>
    <row r="566">
      <c r="A566" s="107" t="n">
        <v>24108</v>
      </c>
      <c r="B566" t="n">
        <v>19.355126859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39.314074921</v>
      </c>
      <c r="L566" t="n">
        <v/>
      </c>
      <c r="M566" t="n">
        <v/>
      </c>
      <c r="N566" t="n">
        <v>34.701241448</v>
      </c>
      <c r="O566" t="n">
        <v/>
      </c>
      <c r="P566" t="n">
        <v/>
      </c>
      <c r="Q566" t="n">
        <v>22.181958288</v>
      </c>
      <c r="R566" t="n">
        <v>46.797301775</v>
      </c>
      <c r="S566" t="n">
        <v>34.023610715</v>
      </c>
      <c r="T566" t="n">
        <v/>
      </c>
      <c r="U566" t="n">
        <v/>
      </c>
      <c r="V566" t="n">
        <v>38.790035347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43.301579099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42.292237663</v>
      </c>
      <c r="AS566" t="n">
        <v/>
      </c>
      <c r="AT566" t="n">
        <v>32.971972366</v>
      </c>
      <c r="AU566" t="n">
        <v/>
      </c>
    </row>
    <row r="567">
      <c r="A567" s="107" t="n">
        <v>24139</v>
      </c>
      <c r="B567" t="n">
        <v>19.386929095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39.375792464</v>
      </c>
      <c r="L567" t="n">
        <v/>
      </c>
      <c r="M567" t="n">
        <v/>
      </c>
      <c r="N567" t="n">
        <v>34.81106669</v>
      </c>
      <c r="O567" t="n">
        <v/>
      </c>
      <c r="P567" t="n">
        <v/>
      </c>
      <c r="Q567" t="n">
        <v>22.608973209</v>
      </c>
      <c r="R567" t="n">
        <v>47.894113536</v>
      </c>
      <c r="S567" t="n">
        <v>34.188996159</v>
      </c>
      <c r="T567" t="n">
        <v/>
      </c>
      <c r="U567" t="n">
        <v/>
      </c>
      <c r="V567" t="n">
        <v>39.790867699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42.911423463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41.382727175</v>
      </c>
      <c r="AS567" t="n">
        <v/>
      </c>
      <c r="AT567" t="n">
        <v>33.185758003</v>
      </c>
      <c r="AU567" t="n">
        <v/>
      </c>
    </row>
    <row r="568">
      <c r="A568" s="107" t="n">
        <v>24167</v>
      </c>
      <c r="B568" t="n">
        <v>19.487328019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40.178120524</v>
      </c>
      <c r="L568" t="n">
        <v/>
      </c>
      <c r="M568" t="n">
        <v/>
      </c>
      <c r="N568" t="n">
        <v>36.627839789</v>
      </c>
      <c r="O568" t="n">
        <v/>
      </c>
      <c r="P568" t="n">
        <v/>
      </c>
      <c r="Q568" t="n">
        <v>22.830629809</v>
      </c>
      <c r="R568" t="n">
        <v>48.137849489</v>
      </c>
      <c r="S568" t="n">
        <v>34.800178903</v>
      </c>
      <c r="T568" t="n">
        <v/>
      </c>
      <c r="U568" t="n">
        <v/>
      </c>
      <c r="V568" t="n">
        <v>40.218464748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41.390509373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42.746992906</v>
      </c>
      <c r="AS568" t="n">
        <v/>
      </c>
      <c r="AT568" t="n">
        <v>33.639903744</v>
      </c>
      <c r="AU568" t="n">
        <v/>
      </c>
    </row>
    <row r="569">
      <c r="A569" s="107" t="n">
        <v>24198</v>
      </c>
      <c r="B569" t="n">
        <v>19.538349379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39.49922755</v>
      </c>
      <c r="L569" t="n">
        <v/>
      </c>
      <c r="M569" t="n">
        <v/>
      </c>
      <c r="N569" t="n">
        <v>35.773728243</v>
      </c>
      <c r="O569" t="n">
        <v/>
      </c>
      <c r="P569" t="n">
        <v/>
      </c>
      <c r="Q569" t="n">
        <v>22.980573979</v>
      </c>
      <c r="R569" t="n">
        <v>47.711311576</v>
      </c>
      <c r="S569" t="n">
        <v>34.803048736</v>
      </c>
      <c r="T569" t="n">
        <v/>
      </c>
      <c r="U569" t="n">
        <v/>
      </c>
      <c r="V569" t="n">
        <v>41.308078683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41.48118779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41.382727175</v>
      </c>
      <c r="AS569" t="n">
        <v/>
      </c>
      <c r="AT569" t="n">
        <v>33.693350153</v>
      </c>
      <c r="AU569" t="n">
        <v/>
      </c>
    </row>
    <row r="570">
      <c r="A570" s="107" t="n">
        <v>24228</v>
      </c>
      <c r="B570" t="n">
        <v>19.47456223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39.314074921</v>
      </c>
      <c r="L570" t="n">
        <v/>
      </c>
      <c r="M570" t="n">
        <v/>
      </c>
      <c r="N570" t="n">
        <v>36.12720168</v>
      </c>
      <c r="O570" t="n">
        <v/>
      </c>
      <c r="P570" t="n">
        <v/>
      </c>
      <c r="Q570" t="n">
        <v>23.20223058</v>
      </c>
      <c r="R570" t="n">
        <v>48.442519417</v>
      </c>
      <c r="S570" t="n">
        <v>35.128060494</v>
      </c>
      <c r="T570" t="n">
        <v/>
      </c>
      <c r="U570" t="n">
        <v/>
      </c>
      <c r="V570" t="n">
        <v>44.587980686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41.974436162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41.837482419</v>
      </c>
      <c r="AS570" t="n">
        <v/>
      </c>
      <c r="AT570" t="n">
        <v>34.014028608</v>
      </c>
      <c r="AU570" t="n">
        <v/>
      </c>
    </row>
    <row r="571">
      <c r="A571" s="107" t="n">
        <v>24259</v>
      </c>
      <c r="B571" t="n">
        <v>19.53095575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39.807815265</v>
      </c>
      <c r="L571" t="n">
        <v/>
      </c>
      <c r="M571" t="n">
        <v/>
      </c>
      <c r="N571" t="n">
        <v>36.33010015</v>
      </c>
      <c r="O571" t="n">
        <v/>
      </c>
      <c r="P571" t="n">
        <v/>
      </c>
      <c r="Q571" t="n">
        <v>23.436925803</v>
      </c>
      <c r="R571" t="n">
        <v>49.112793274</v>
      </c>
      <c r="S571" t="n">
        <v>35.43758001</v>
      </c>
      <c r="T571" t="n">
        <v/>
      </c>
      <c r="U571" t="n">
        <v/>
      </c>
      <c r="V571" t="n">
        <v>42.899761536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42.19218422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42.746992906</v>
      </c>
      <c r="AS571" t="n">
        <v/>
      </c>
      <c r="AT571" t="n">
        <v>34.174268677</v>
      </c>
      <c r="AU571" t="n">
        <v/>
      </c>
    </row>
    <row r="572">
      <c r="A572" s="107" t="n">
        <v>24289</v>
      </c>
      <c r="B572" t="n">
        <v>19.71480008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39.375792464</v>
      </c>
      <c r="L572" t="n">
        <v/>
      </c>
      <c r="M572" t="n">
        <v/>
      </c>
      <c r="N572" t="n">
        <v>36.059217843</v>
      </c>
      <c r="O572" t="n">
        <v/>
      </c>
      <c r="P572" t="n">
        <v/>
      </c>
      <c r="Q572" t="n">
        <v>23.107700559</v>
      </c>
      <c r="R572" t="n">
        <v>49.41746321</v>
      </c>
      <c r="S572" t="n">
        <v>35.612765357</v>
      </c>
      <c r="T572" t="n">
        <v/>
      </c>
      <c r="U572" t="n">
        <v/>
      </c>
      <c r="V572" t="n">
        <v>42.821144435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41.942004035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39.108950957</v>
      </c>
      <c r="AS572" t="n">
        <v/>
      </c>
      <c r="AT572" t="n">
        <v>34.361380689</v>
      </c>
      <c r="AU572" t="n">
        <v/>
      </c>
    </row>
    <row r="573">
      <c r="A573" s="107" t="n">
        <v>24320</v>
      </c>
      <c r="B573" t="n">
        <v>19.05406323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38.88205212</v>
      </c>
      <c r="L573" t="n">
        <v/>
      </c>
      <c r="M573" t="n">
        <v/>
      </c>
      <c r="N573" t="n">
        <v>37.575227438</v>
      </c>
      <c r="O573" t="n">
        <v/>
      </c>
      <c r="P573" t="n">
        <v/>
      </c>
      <c r="Q573" t="n">
        <v>23.225048171</v>
      </c>
      <c r="R573" t="n">
        <v>49.41746321</v>
      </c>
      <c r="S573" t="n">
        <v>35.729923704</v>
      </c>
      <c r="T573" t="n">
        <v/>
      </c>
      <c r="U573" t="n">
        <v/>
      </c>
      <c r="V573" t="n">
        <v>42.399829437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42.050893719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41.837482419</v>
      </c>
      <c r="AS573" t="n">
        <v/>
      </c>
      <c r="AT573" t="n">
        <v>34.388054314</v>
      </c>
      <c r="AU573" t="n">
        <v/>
      </c>
    </row>
    <row r="574">
      <c r="A574" s="107" t="n">
        <v>24351</v>
      </c>
      <c r="B574" t="n">
        <v>19.610178696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39.128922292</v>
      </c>
      <c r="L574" t="n">
        <v/>
      </c>
      <c r="M574" t="n">
        <v/>
      </c>
      <c r="N574" t="n">
        <v>38.219484662</v>
      </c>
      <c r="O574" t="n">
        <v/>
      </c>
      <c r="P574" t="n">
        <v/>
      </c>
      <c r="Q574" t="n">
        <v>23.841123133</v>
      </c>
      <c r="R574" t="n">
        <v>49.539331178</v>
      </c>
      <c r="S574" t="n">
        <v>36.085677577</v>
      </c>
      <c r="T574" t="n">
        <v/>
      </c>
      <c r="U574" t="n">
        <v/>
      </c>
      <c r="V574" t="n">
        <v>42.71296213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42.190895664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43.656503394</v>
      </c>
      <c r="AS574" t="n">
        <v/>
      </c>
      <c r="AT574" t="n">
        <v>34.70873277</v>
      </c>
      <c r="AU574" t="n">
        <v/>
      </c>
    </row>
    <row r="575">
      <c r="A575" s="107" t="n">
        <v>24381</v>
      </c>
      <c r="B575" t="n">
        <v>20.078091761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38.635181948</v>
      </c>
      <c r="L575" t="n">
        <v/>
      </c>
      <c r="M575" t="n">
        <v/>
      </c>
      <c r="N575" t="n">
        <v>38.377372943</v>
      </c>
      <c r="O575" t="n">
        <v/>
      </c>
      <c r="P575" t="n">
        <v/>
      </c>
      <c r="Q575" t="n">
        <v>24.326811859</v>
      </c>
      <c r="R575" t="n">
        <v>48.929991313</v>
      </c>
      <c r="S575" t="n">
        <v>36.233201151</v>
      </c>
      <c r="T575" t="n">
        <v/>
      </c>
      <c r="U575" t="n">
        <v/>
      </c>
      <c r="V575" t="n">
        <v>43.023103143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42.501144407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43.20174815</v>
      </c>
      <c r="AS575" t="n">
        <v/>
      </c>
      <c r="AT575" t="n">
        <v>34.949192032</v>
      </c>
      <c r="AU575" t="n">
        <v/>
      </c>
    </row>
    <row r="576">
      <c r="A576" s="107" t="n">
        <v>24412</v>
      </c>
      <c r="B576" t="n">
        <v>19.744591169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38.141441603</v>
      </c>
      <c r="L576" t="n">
        <v/>
      </c>
      <c r="M576" t="n">
        <v/>
      </c>
      <c r="N576" t="n">
        <v>37.986347538</v>
      </c>
      <c r="O576" t="n">
        <v/>
      </c>
      <c r="P576" t="n">
        <v/>
      </c>
      <c r="Q576" t="n">
        <v>24.290955645</v>
      </c>
      <c r="R576" t="n">
        <v>49.478397194</v>
      </c>
      <c r="S576" t="n">
        <v>36.248377275</v>
      </c>
      <c r="T576" t="n">
        <v/>
      </c>
      <c r="U576" t="n">
        <v/>
      </c>
      <c r="V576" t="n">
        <v>42.79976886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42.112119397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42.746992906</v>
      </c>
      <c r="AS576" t="n">
        <v/>
      </c>
      <c r="AT576" t="n">
        <v>34.70873277</v>
      </c>
      <c r="AU576" t="n">
        <v/>
      </c>
    </row>
    <row r="577">
      <c r="A577" s="107" t="n">
        <v>24442</v>
      </c>
      <c r="B577" t="n">
        <v>20.364030077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38.203159146</v>
      </c>
      <c r="L577" t="n">
        <v/>
      </c>
      <c r="M577" t="n">
        <v/>
      </c>
      <c r="N577" t="n">
        <v>39.390812245</v>
      </c>
      <c r="O577" t="n">
        <v/>
      </c>
      <c r="P577" t="n">
        <v/>
      </c>
      <c r="Q577" t="n">
        <v>24.157309753</v>
      </c>
      <c r="R577" t="n">
        <v>49.478397194</v>
      </c>
      <c r="S577" t="n">
        <v>36.533976779</v>
      </c>
      <c r="T577" t="n">
        <v/>
      </c>
      <c r="U577" t="n">
        <v/>
      </c>
      <c r="V577" t="n">
        <v>43.863196353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42.47407592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41.837482419</v>
      </c>
      <c r="AS577" t="n">
        <v/>
      </c>
      <c r="AT577" t="n">
        <v>34.788852804</v>
      </c>
      <c r="AU577" t="n">
        <v/>
      </c>
    </row>
    <row r="578">
      <c r="A578" s="107" t="n">
        <v>24473</v>
      </c>
      <c r="B578" t="n">
        <v>19.546062723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37.524266173</v>
      </c>
      <c r="L578" t="n">
        <v/>
      </c>
      <c r="M578" t="n">
        <v/>
      </c>
      <c r="N578" t="n">
        <v>37.685139629</v>
      </c>
      <c r="O578" t="n">
        <v/>
      </c>
      <c r="P578" t="n">
        <v/>
      </c>
      <c r="Q578" t="n">
        <v>24.196425624</v>
      </c>
      <c r="R578" t="n">
        <v>49.23466125</v>
      </c>
      <c r="S578" t="n">
        <v>36.567990989</v>
      </c>
      <c r="T578" t="n">
        <v/>
      </c>
      <c r="U578" t="n">
        <v/>
      </c>
      <c r="V578" t="n">
        <v>43.957724899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43.306364011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42.746992906</v>
      </c>
      <c r="AS578" t="n">
        <v/>
      </c>
      <c r="AT578" t="n">
        <v>34.952960054</v>
      </c>
      <c r="AU578" t="n">
        <v/>
      </c>
    </row>
    <row r="579">
      <c r="A579" s="107" t="n">
        <v>24504</v>
      </c>
      <c r="B579" t="n">
        <v>19.553372565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37.092243371</v>
      </c>
      <c r="L579" t="n">
        <v/>
      </c>
      <c r="M579" t="n">
        <v/>
      </c>
      <c r="N579" t="n">
        <v>35.892663726</v>
      </c>
      <c r="O579" t="n">
        <v/>
      </c>
      <c r="P579" t="n">
        <v/>
      </c>
      <c r="Q579" t="n">
        <v>24.232281839</v>
      </c>
      <c r="R579" t="n">
        <v>48.929991313</v>
      </c>
      <c r="S579" t="n">
        <v>36.264077895</v>
      </c>
      <c r="T579" t="n">
        <v/>
      </c>
      <c r="U579" t="n">
        <v/>
      </c>
      <c r="V579" t="n">
        <v>44.02220929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42.674632923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43.20174815</v>
      </c>
      <c r="AS579" t="n">
        <v/>
      </c>
      <c r="AT579" t="n">
        <v>34.556524536</v>
      </c>
      <c r="AU579" t="n">
        <v/>
      </c>
    </row>
    <row r="580">
      <c r="A580" s="107" t="n">
        <v>24532</v>
      </c>
      <c r="B580" t="n">
        <v>19.613680327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36.845373199</v>
      </c>
      <c r="L580" t="n">
        <v/>
      </c>
      <c r="M580" t="n">
        <v/>
      </c>
      <c r="N580" t="n">
        <v>36.97236722</v>
      </c>
      <c r="O580" t="n">
        <v/>
      </c>
      <c r="P580" t="n">
        <v/>
      </c>
      <c r="Q580" t="n">
        <v>24.245320462</v>
      </c>
      <c r="R580" t="n">
        <v>49.23466125</v>
      </c>
      <c r="S580" t="n">
        <v>36.300411997</v>
      </c>
      <c r="T580" t="n">
        <v/>
      </c>
      <c r="U580" t="n">
        <v/>
      </c>
      <c r="V580" t="n">
        <v>44.150828973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42.388613111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43.20174815</v>
      </c>
      <c r="AS580" t="n">
        <v/>
      </c>
      <c r="AT580" t="n">
        <v>34.361777323</v>
      </c>
      <c r="AU580" t="n">
        <v/>
      </c>
    </row>
    <row r="581">
      <c r="A581" s="107" t="n">
        <v>24563</v>
      </c>
      <c r="B581" t="n">
        <v>20.020721355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37.092243371</v>
      </c>
      <c r="L581" t="n">
        <v/>
      </c>
      <c r="M581" t="n">
        <v/>
      </c>
      <c r="N581" t="n">
        <v>38.603351326</v>
      </c>
      <c r="O581" t="n">
        <v/>
      </c>
      <c r="P581" t="n">
        <v/>
      </c>
      <c r="Q581" t="n">
        <v>24.007365583</v>
      </c>
      <c r="R581" t="n">
        <v>48.68625537</v>
      </c>
      <c r="S581" t="n">
        <v>36.61144127</v>
      </c>
      <c r="T581" t="n">
        <v/>
      </c>
      <c r="U581" t="n">
        <v/>
      </c>
      <c r="V581" t="n">
        <v>44.190893109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42.436269052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43.20174815</v>
      </c>
      <c r="AS581" t="n">
        <v/>
      </c>
      <c r="AT581" t="n">
        <v>34.685827166</v>
      </c>
      <c r="AU581" t="n">
        <v/>
      </c>
    </row>
    <row r="582">
      <c r="A582" s="107" t="n">
        <v>24593</v>
      </c>
      <c r="B582" t="n">
        <v>19.793744613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36.536785484</v>
      </c>
      <c r="L582" t="n">
        <v/>
      </c>
      <c r="M582" t="n">
        <v/>
      </c>
      <c r="N582" t="n">
        <v>37.559586421</v>
      </c>
      <c r="O582" t="n">
        <v/>
      </c>
      <c r="P582" t="n">
        <v/>
      </c>
      <c r="Q582" t="n">
        <v>23.815045886</v>
      </c>
      <c r="R582" t="n">
        <v>48.929991313</v>
      </c>
      <c r="S582" t="n">
        <v>36.576557756</v>
      </c>
      <c r="T582" t="n">
        <v/>
      </c>
      <c r="U582" t="n">
        <v/>
      </c>
      <c r="V582" t="n">
        <v>44.48848909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42.255410884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44.111258637</v>
      </c>
      <c r="AS582" t="n">
        <v/>
      </c>
      <c r="AT582" t="n">
        <v>34.38319555</v>
      </c>
      <c r="AU582" t="n">
        <v/>
      </c>
    </row>
    <row r="583">
      <c r="A583" s="107" t="n">
        <v>24624</v>
      </c>
      <c r="B583" t="n">
        <v>19.662574069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37.339113544</v>
      </c>
      <c r="L583" t="n">
        <v/>
      </c>
      <c r="M583" t="n">
        <v/>
      </c>
      <c r="N583" t="n">
        <v>38.808694005</v>
      </c>
      <c r="O583" t="n">
        <v/>
      </c>
      <c r="P583" t="n">
        <v/>
      </c>
      <c r="Q583" t="n">
        <v>23.433666147</v>
      </c>
      <c r="R583" t="n">
        <v>50.209605035</v>
      </c>
      <c r="S583" t="n">
        <v>36.885113923</v>
      </c>
      <c r="T583" t="n">
        <v/>
      </c>
      <c r="U583" t="n">
        <v/>
      </c>
      <c r="V583" t="n">
        <v>43.332615167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41.427971644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43.656503394</v>
      </c>
      <c r="AS583" t="n">
        <v/>
      </c>
      <c r="AT583" t="n">
        <v>34.378931736</v>
      </c>
      <c r="AU583" t="n">
        <v/>
      </c>
    </row>
    <row r="584">
      <c r="A584" s="107" t="n">
        <v>24654</v>
      </c>
      <c r="B584" t="n">
        <v>19.697064125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38.326594232</v>
      </c>
      <c r="L584" t="n">
        <v/>
      </c>
      <c r="M584" t="n">
        <v/>
      </c>
      <c r="N584" t="n">
        <v>38.233309422</v>
      </c>
      <c r="O584" t="n">
        <v/>
      </c>
      <c r="P584" t="n">
        <v/>
      </c>
      <c r="Q584" t="n">
        <v>24.004105927</v>
      </c>
      <c r="R584" t="n">
        <v>49.783067131</v>
      </c>
      <c r="S584" t="n">
        <v>37.101432064</v>
      </c>
      <c r="T584" t="n">
        <v/>
      </c>
      <c r="U584" t="n">
        <v/>
      </c>
      <c r="V584" t="n">
        <v>43.196271127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42.351985573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42.292237663</v>
      </c>
      <c r="AS584" t="n">
        <v/>
      </c>
      <c r="AT584" t="n">
        <v>34.300695712</v>
      </c>
      <c r="AU584" t="n">
        <v/>
      </c>
    </row>
    <row r="585">
      <c r="A585" s="107" t="n">
        <v>24685</v>
      </c>
      <c r="B585" t="n">
        <v>19.108965784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37.524266173</v>
      </c>
      <c r="L585" t="n">
        <v/>
      </c>
      <c r="M585" t="n">
        <v/>
      </c>
      <c r="N585" t="n">
        <v>38.659094785</v>
      </c>
      <c r="O585" t="n">
        <v/>
      </c>
      <c r="P585" t="n">
        <v/>
      </c>
      <c r="Q585" t="n">
        <v>24.535429836</v>
      </c>
      <c r="R585" t="n">
        <v>49.783067131</v>
      </c>
      <c r="S585" t="n">
        <v>37.436746193</v>
      </c>
      <c r="T585" t="n">
        <v/>
      </c>
      <c r="U585" t="n">
        <v/>
      </c>
      <c r="V585" t="n">
        <v>43.692704604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40.969179726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43.656503394</v>
      </c>
      <c r="AS585" t="n">
        <v/>
      </c>
      <c r="AT585" t="n">
        <v>34.957818818</v>
      </c>
      <c r="AU585" t="n">
        <v/>
      </c>
    </row>
    <row r="586">
      <c r="A586" s="107" t="n">
        <v>24716</v>
      </c>
      <c r="B586" t="n">
        <v>19.77416994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38.511746861</v>
      </c>
      <c r="L586" t="n">
        <v/>
      </c>
      <c r="M586" t="n">
        <v/>
      </c>
      <c r="N586" t="n">
        <v>38.106558262</v>
      </c>
      <c r="O586" t="n">
        <v/>
      </c>
      <c r="P586" t="n">
        <v/>
      </c>
      <c r="Q586" t="n">
        <v>24.268138053</v>
      </c>
      <c r="R586" t="n">
        <v>50.697076931</v>
      </c>
      <c r="S586" t="n">
        <v>37.839260731</v>
      </c>
      <c r="T586" t="n">
        <v/>
      </c>
      <c r="U586" t="n">
        <v/>
      </c>
      <c r="V586" t="n">
        <v>43.619546311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41.795159978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44.566013881</v>
      </c>
      <c r="AS586" t="n">
        <v/>
      </c>
      <c r="AT586" t="n">
        <v>34.901001021</v>
      </c>
      <c r="AU586" t="n">
        <v/>
      </c>
    </row>
    <row r="587">
      <c r="A587" s="107" t="n">
        <v>24746</v>
      </c>
      <c r="B587" t="n">
        <v>19.845660767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38.943769663</v>
      </c>
      <c r="L587" t="n">
        <v/>
      </c>
      <c r="M587" t="n">
        <v/>
      </c>
      <c r="N587" t="n">
        <v>37.689197211</v>
      </c>
      <c r="O587" t="n">
        <v/>
      </c>
      <c r="P587" t="n">
        <v/>
      </c>
      <c r="Q587" t="n">
        <v>24.946146477</v>
      </c>
      <c r="R587" t="n">
        <v>50.026803074</v>
      </c>
      <c r="S587" t="n">
        <v>38.137049789</v>
      </c>
      <c r="T587" t="n">
        <v/>
      </c>
      <c r="U587" t="n">
        <v/>
      </c>
      <c r="V587" t="n">
        <v>44.617317431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42.188288066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43.656503394</v>
      </c>
      <c r="AS587" t="n">
        <v/>
      </c>
      <c r="AT587" t="n">
        <v>35.185288322</v>
      </c>
      <c r="AU587" t="n">
        <v/>
      </c>
    </row>
    <row r="588">
      <c r="A588" s="107" t="n">
        <v>24777</v>
      </c>
      <c r="B588" t="n">
        <v>19.813439058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39.314074921</v>
      </c>
      <c r="L588" t="n">
        <v/>
      </c>
      <c r="M588" t="n">
        <v/>
      </c>
      <c r="N588" t="n">
        <v>38.611369886</v>
      </c>
      <c r="O588" t="n">
        <v/>
      </c>
      <c r="P588" t="n">
        <v/>
      </c>
      <c r="Q588" t="n">
        <v>24.776644371</v>
      </c>
      <c r="R588" t="n">
        <v>50.636142939</v>
      </c>
      <c r="S588" t="n">
        <v>38.674553922</v>
      </c>
      <c r="T588" t="n">
        <v/>
      </c>
      <c r="U588" t="n">
        <v/>
      </c>
      <c r="V588" t="n">
        <v>44.925029797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43.605620617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44.111258637</v>
      </c>
      <c r="AS588" t="n">
        <v/>
      </c>
      <c r="AT588" t="n">
        <v>35.6885175</v>
      </c>
      <c r="AU588" t="n">
        <v/>
      </c>
    </row>
    <row r="589">
      <c r="A589" s="107" t="n">
        <v>24807</v>
      </c>
      <c r="B589" t="n">
        <v>20.721293762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41.597624014</v>
      </c>
      <c r="L589" t="n">
        <v/>
      </c>
      <c r="M589" t="n">
        <v/>
      </c>
      <c r="N589" t="n">
        <v>38.729474528</v>
      </c>
      <c r="O589" t="n">
        <v/>
      </c>
      <c r="P589" t="n">
        <v/>
      </c>
      <c r="Q589" t="n">
        <v>24.704931942</v>
      </c>
      <c r="R589" t="n">
        <v>51.428284763</v>
      </c>
      <c r="S589" t="n">
        <v>39.378990572</v>
      </c>
      <c r="T589" t="n">
        <v/>
      </c>
      <c r="U589" t="n">
        <v/>
      </c>
      <c r="V589" t="n">
        <v>45.049903394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42.189302424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44.111258637</v>
      </c>
      <c r="AS589" t="n">
        <v/>
      </c>
      <c r="AT589" t="n">
        <v>36.072855686</v>
      </c>
      <c r="AU589" t="n">
        <v/>
      </c>
    </row>
    <row r="590">
      <c r="A590" s="107" t="n">
        <v>24838</v>
      </c>
      <c r="B590" t="n">
        <v>20.234765289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38.326594232</v>
      </c>
      <c r="L590" t="n">
        <v/>
      </c>
      <c r="M590" t="n">
        <v/>
      </c>
      <c r="N590" t="n">
        <v>39.307119766</v>
      </c>
      <c r="O590" t="n">
        <v/>
      </c>
      <c r="P590" t="n">
        <v/>
      </c>
      <c r="Q590" t="n">
        <v>24.708191598</v>
      </c>
      <c r="R590" t="n">
        <v>51.367350779</v>
      </c>
      <c r="S590" t="n">
        <v>38.787745289</v>
      </c>
      <c r="T590" t="n">
        <v>55.816454562</v>
      </c>
      <c r="U590" t="n">
        <v/>
      </c>
      <c r="V590" t="n">
        <v>43.773540115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42.101244783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43.20174815</v>
      </c>
      <c r="AS590" t="n">
        <v/>
      </c>
      <c r="AT590" t="n">
        <v>36.034084729</v>
      </c>
      <c r="AU590" t="n">
        <v/>
      </c>
    </row>
    <row r="591">
      <c r="A591" s="107" t="n">
        <v>24869</v>
      </c>
      <c r="B591" t="n">
        <v>20.142833658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39.190639835</v>
      </c>
      <c r="L591" t="n">
        <v/>
      </c>
      <c r="M591" t="n">
        <v/>
      </c>
      <c r="N591" t="n">
        <v>39.582948454</v>
      </c>
      <c r="O591" t="n">
        <v/>
      </c>
      <c r="P591" t="n">
        <v/>
      </c>
      <c r="Q591" t="n">
        <v>24.845097145</v>
      </c>
      <c r="R591" t="n">
        <v>51.672020716</v>
      </c>
      <c r="S591" t="n">
        <v>39.136527411</v>
      </c>
      <c r="T591" t="n">
        <v>56.354185338</v>
      </c>
      <c r="U591" t="n">
        <v/>
      </c>
      <c r="V591" t="n">
        <v>44.202581097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41.862265805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42.746992906</v>
      </c>
      <c r="AS591" t="n">
        <v/>
      </c>
      <c r="AT591" t="n">
        <v>36.163189042</v>
      </c>
      <c r="AU591" t="n">
        <v/>
      </c>
    </row>
    <row r="592">
      <c r="A592" s="107" t="n">
        <v>24898</v>
      </c>
      <c r="B592" t="n">
        <v>20.745865089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39.684380179</v>
      </c>
      <c r="L592" t="n">
        <v/>
      </c>
      <c r="M592" t="n">
        <v/>
      </c>
      <c r="N592" t="n">
        <v>38.970765463</v>
      </c>
      <c r="O592" t="n">
        <v/>
      </c>
      <c r="P592" t="n">
        <v/>
      </c>
      <c r="Q592" t="n">
        <v>24.955925445</v>
      </c>
      <c r="R592" t="n">
        <v>52.6469645</v>
      </c>
      <c r="S592" t="n">
        <v>39.371285013</v>
      </c>
      <c r="T592" t="n">
        <v>56.784369959</v>
      </c>
      <c r="U592" t="n">
        <v/>
      </c>
      <c r="V592" t="n">
        <v>46.135523081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43.761649655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43.656503394</v>
      </c>
      <c r="AS592" t="n">
        <v/>
      </c>
      <c r="AT592" t="n">
        <v>36.276031368</v>
      </c>
      <c r="AU592" t="n">
        <v/>
      </c>
    </row>
    <row r="593">
      <c r="A593" s="107" t="n">
        <v>24929</v>
      </c>
      <c r="B593" t="n">
        <v>20.766475038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39.807815265</v>
      </c>
      <c r="L593" t="n">
        <v/>
      </c>
      <c r="M593" t="n">
        <v/>
      </c>
      <c r="N593" t="n">
        <v>39.179132006</v>
      </c>
      <c r="O593" t="n">
        <v/>
      </c>
      <c r="P593" t="n">
        <v/>
      </c>
      <c r="Q593" t="n">
        <v>25.58503903</v>
      </c>
      <c r="R593" t="n">
        <v>52.525096524</v>
      </c>
      <c r="S593" t="n">
        <v>39.542199346</v>
      </c>
      <c r="T593" t="n">
        <v>56.676823804</v>
      </c>
      <c r="U593" t="n">
        <v/>
      </c>
      <c r="V593" t="n">
        <v>45.866141152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43.853118827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45.020769125</v>
      </c>
      <c r="AS593" t="n">
        <v/>
      </c>
      <c r="AT593" t="n">
        <v>36.328585351</v>
      </c>
      <c r="AU593" t="n">
        <v/>
      </c>
    </row>
    <row r="594">
      <c r="A594" s="107" t="n">
        <v>24959</v>
      </c>
      <c r="B594" t="n">
        <v>20.804269837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40.857013497</v>
      </c>
      <c r="L594" t="n">
        <v/>
      </c>
      <c r="M594" t="n">
        <v/>
      </c>
      <c r="N594" t="n">
        <v>40.74906881</v>
      </c>
      <c r="O594" t="n">
        <v/>
      </c>
      <c r="P594" t="n">
        <v/>
      </c>
      <c r="Q594" t="n">
        <v>25.272112066</v>
      </c>
      <c r="R594" t="n">
        <v>35.951052151</v>
      </c>
      <c r="S594" t="n">
        <v>39.636660275</v>
      </c>
      <c r="T594" t="n">
        <v>57.322100735</v>
      </c>
      <c r="U594" t="n">
        <v/>
      </c>
      <c r="V594" t="n">
        <v>46.462775455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44.414146821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44.566013881</v>
      </c>
      <c r="AS594" t="n">
        <v/>
      </c>
      <c r="AT594" t="n">
        <v>36.736027458</v>
      </c>
      <c r="AU594" t="n">
        <v/>
      </c>
    </row>
    <row r="595">
      <c r="A595" s="107" t="n">
        <v>24990</v>
      </c>
      <c r="B595" t="n">
        <v>21.955256536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41.535906471</v>
      </c>
      <c r="L595" t="n">
        <v/>
      </c>
      <c r="M595" t="n">
        <v/>
      </c>
      <c r="N595" t="n">
        <v>39.975471298</v>
      </c>
      <c r="O595" t="n">
        <v/>
      </c>
      <c r="P595" t="n">
        <v/>
      </c>
      <c r="Q595" t="n">
        <v>25.203659292</v>
      </c>
      <c r="R595" t="n">
        <v>45.213018126</v>
      </c>
      <c r="S595" t="n">
        <v>40.012274965</v>
      </c>
      <c r="T595" t="n">
        <v>57.322100735</v>
      </c>
      <c r="U595" t="n">
        <v/>
      </c>
      <c r="V595" t="n">
        <v>48.143260073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44.826955899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45.930279612</v>
      </c>
      <c r="AS595" t="n">
        <v/>
      </c>
      <c r="AT595" t="n">
        <v>36.87098212</v>
      </c>
      <c r="AU595" t="n">
        <v/>
      </c>
    </row>
    <row r="596">
      <c r="A596" s="107" t="n">
        <v>25020</v>
      </c>
      <c r="B596" t="n">
        <v>21.377681306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40.980448583</v>
      </c>
      <c r="L596" t="n">
        <v/>
      </c>
      <c r="M596" t="n">
        <v/>
      </c>
      <c r="N596" t="n">
        <v>40.980998319</v>
      </c>
      <c r="O596" t="n">
        <v/>
      </c>
      <c r="P596" t="n">
        <v/>
      </c>
      <c r="Q596" t="n">
        <v>25.008079939</v>
      </c>
      <c r="R596" t="n">
        <v>54.779654039</v>
      </c>
      <c r="S596" t="n">
        <v>40.345035323</v>
      </c>
      <c r="T596" t="n">
        <v>57.322100735</v>
      </c>
      <c r="U596" t="n">
        <v/>
      </c>
      <c r="V596" t="n">
        <v>47.760023321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44.761492075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50.023076805</v>
      </c>
      <c r="AS596" t="n">
        <v/>
      </c>
      <c r="AT596" t="n">
        <v>36.814461798</v>
      </c>
      <c r="AU596" t="n">
        <v/>
      </c>
    </row>
    <row r="597">
      <c r="A597" s="107" t="n">
        <v>25051</v>
      </c>
      <c r="B597" t="n">
        <v>21.669646818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43.75773802</v>
      </c>
      <c r="L597" t="n">
        <v/>
      </c>
      <c r="M597" t="n">
        <v/>
      </c>
      <c r="N597" t="n">
        <v>41.121226451</v>
      </c>
      <c r="O597" t="n">
        <v/>
      </c>
      <c r="P597" t="n">
        <v/>
      </c>
      <c r="Q597" t="n">
        <v>25.259073442</v>
      </c>
      <c r="R597" t="n">
        <v>54.779654039</v>
      </c>
      <c r="S597" t="n">
        <v>41.087005655</v>
      </c>
      <c r="T597" t="n">
        <v>57.859831511</v>
      </c>
      <c r="U597" t="n">
        <v/>
      </c>
      <c r="V597" t="n">
        <v>48.854493625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45.095618109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46.839790099</v>
      </c>
      <c r="AS597" t="n">
        <v/>
      </c>
      <c r="AT597" t="n">
        <v>36.917189962</v>
      </c>
      <c r="AU597" t="n">
        <v/>
      </c>
    </row>
    <row r="598">
      <c r="A598" s="107" t="n">
        <v>25082</v>
      </c>
      <c r="B598" t="n">
        <v>22.054703108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43.078845047</v>
      </c>
      <c r="L598" t="n">
        <v/>
      </c>
      <c r="M598" t="n">
        <v/>
      </c>
      <c r="N598" t="n">
        <v>41.463783058</v>
      </c>
      <c r="O598" t="n">
        <v/>
      </c>
      <c r="P598" t="n">
        <v/>
      </c>
      <c r="Q598" t="n">
        <v>25.943601178</v>
      </c>
      <c r="R598" t="n">
        <v>53.195370381</v>
      </c>
      <c r="S598" t="n">
        <v>41.041281023</v>
      </c>
      <c r="T598" t="n">
        <v>57.752285356</v>
      </c>
      <c r="U598" t="n">
        <v/>
      </c>
      <c r="V598" t="n">
        <v>48.713782006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46.511791186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46.839790099</v>
      </c>
      <c r="AS598" t="n">
        <v/>
      </c>
      <c r="AT598" t="n">
        <v>37.057003388</v>
      </c>
      <c r="AU598" t="n">
        <v/>
      </c>
    </row>
    <row r="599">
      <c r="A599" s="107" t="n">
        <v>25112</v>
      </c>
      <c r="B599" t="n">
        <v>21.858375143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43.202280133</v>
      </c>
      <c r="L599" t="n">
        <v/>
      </c>
      <c r="M599" t="n">
        <v/>
      </c>
      <c r="N599" t="n">
        <v>43.148752337</v>
      </c>
      <c r="O599" t="n">
        <v/>
      </c>
      <c r="P599" t="n">
        <v/>
      </c>
      <c r="Q599" t="n">
        <v>26.214152616</v>
      </c>
      <c r="R599" t="n">
        <v>55.571795863</v>
      </c>
      <c r="S599" t="n">
        <v>41.37889355</v>
      </c>
      <c r="T599" t="n">
        <v>57.21455458</v>
      </c>
      <c r="U599" t="n">
        <v/>
      </c>
      <c r="V599" t="n">
        <v>48.952323281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46.398755865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46.385034856</v>
      </c>
      <c r="AS599" t="n">
        <v/>
      </c>
      <c r="AT599" t="n">
        <v>37.130578965</v>
      </c>
      <c r="AU599" t="n">
        <v/>
      </c>
    </row>
    <row r="600">
      <c r="A600" s="107" t="n">
        <v>25143</v>
      </c>
      <c r="B600" t="n">
        <v>22.372204557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44.683501166</v>
      </c>
      <c r="L600" t="n">
        <v/>
      </c>
      <c r="M600" t="n">
        <v/>
      </c>
      <c r="N600" t="n">
        <v>43.306283168</v>
      </c>
      <c r="O600" t="n">
        <v/>
      </c>
      <c r="P600" t="n">
        <v/>
      </c>
      <c r="Q600" t="n">
        <v>26.771553772</v>
      </c>
      <c r="R600" t="n">
        <v>56.729541608</v>
      </c>
      <c r="S600" t="n">
        <v>42.024678373</v>
      </c>
      <c r="T600" t="n">
        <v>57.644739201</v>
      </c>
      <c r="U600" t="n">
        <v/>
      </c>
      <c r="V600" t="n">
        <v>49.50830424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47.111479624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46.839790099</v>
      </c>
      <c r="AS600" t="n">
        <v/>
      </c>
      <c r="AT600" t="n">
        <v>37.610902539</v>
      </c>
      <c r="AU600" t="n">
        <v/>
      </c>
    </row>
    <row r="601">
      <c r="A601" s="107" t="n">
        <v>25173</v>
      </c>
      <c r="B601" t="n">
        <v>20.749819198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44.436630994</v>
      </c>
      <c r="L601" t="n">
        <v/>
      </c>
      <c r="M601" t="n">
        <v/>
      </c>
      <c r="N601" t="n">
        <v>44.86073353</v>
      </c>
      <c r="O601" t="n">
        <v/>
      </c>
      <c r="P601" t="n">
        <v/>
      </c>
      <c r="Q601" t="n">
        <v>27.273540778</v>
      </c>
      <c r="R601" t="n">
        <v>56.668607624</v>
      </c>
      <c r="S601" t="n">
        <v>42.15827389</v>
      </c>
      <c r="T601" t="n">
        <v>58.182469977</v>
      </c>
      <c r="U601" t="n">
        <v/>
      </c>
      <c r="V601" t="n">
        <v>49.715712125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47.867723664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48.20405583</v>
      </c>
      <c r="AS601" t="n">
        <v/>
      </c>
      <c r="AT601" t="n">
        <v>37.729694372</v>
      </c>
      <c r="AU601" t="n">
        <v/>
      </c>
    </row>
    <row r="602">
      <c r="A602" s="107" t="n">
        <v>25204</v>
      </c>
      <c r="B602" t="n">
        <v>22.478921449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44.930371338</v>
      </c>
      <c r="L602" t="n">
        <v/>
      </c>
      <c r="M602" t="n">
        <v/>
      </c>
      <c r="N602" t="n">
        <v>45.473940576</v>
      </c>
      <c r="O602" t="n">
        <v/>
      </c>
      <c r="P602" t="n">
        <v/>
      </c>
      <c r="Q602" t="n">
        <v>27.456081508</v>
      </c>
      <c r="R602" t="n">
        <v>56.303003704</v>
      </c>
      <c r="S602" t="n">
        <v>42.51598022</v>
      </c>
      <c r="T602" t="n">
        <v>58.397562287</v>
      </c>
      <c r="U602" t="n">
        <v/>
      </c>
      <c r="V602" t="n">
        <v>49.230410015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50.453363976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47.749300587</v>
      </c>
      <c r="AS602" t="n">
        <v/>
      </c>
      <c r="AT602" t="n">
        <v>37.957957144</v>
      </c>
      <c r="AU602" t="n">
        <v/>
      </c>
    </row>
    <row r="603">
      <c r="A603" s="107" t="n">
        <v>25235</v>
      </c>
      <c r="B603" t="n">
        <v>22.713581547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45.177241511</v>
      </c>
      <c r="L603" t="n">
        <v/>
      </c>
      <c r="M603" t="n">
        <v/>
      </c>
      <c r="N603" t="n">
        <v>43.971659143</v>
      </c>
      <c r="O603" t="n">
        <v/>
      </c>
      <c r="P603" t="n">
        <v/>
      </c>
      <c r="Q603" t="n">
        <v>27.782047096</v>
      </c>
      <c r="R603" t="n">
        <v>55.69366384</v>
      </c>
      <c r="S603" t="n">
        <v>42.709039011</v>
      </c>
      <c r="T603" t="n">
        <v>58.720200753</v>
      </c>
      <c r="U603" t="n">
        <v/>
      </c>
      <c r="V603" t="n">
        <v>50.738075743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49.040937789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46.839790099</v>
      </c>
      <c r="AS603" t="n">
        <v/>
      </c>
      <c r="AT603" t="n">
        <v>38.200796209</v>
      </c>
      <c r="AU603" t="n">
        <v/>
      </c>
    </row>
    <row r="604">
      <c r="A604" s="107" t="n">
        <v>25263</v>
      </c>
      <c r="B604" t="n">
        <v>22.9328048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45.670981855</v>
      </c>
      <c r="L604" t="n">
        <v/>
      </c>
      <c r="M604" t="n">
        <v/>
      </c>
      <c r="N604" t="n">
        <v>46.918469085</v>
      </c>
      <c r="O604" t="n">
        <v/>
      </c>
      <c r="P604" t="n">
        <v/>
      </c>
      <c r="Q604" t="n">
        <v>28.261216511</v>
      </c>
      <c r="R604" t="n">
        <v>55.69366384</v>
      </c>
      <c r="S604" t="n">
        <v>43.050146362</v>
      </c>
      <c r="T604" t="n">
        <v>58.612654598</v>
      </c>
      <c r="U604" t="n">
        <v/>
      </c>
      <c r="V604" t="n">
        <v>50.911390781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49.275105584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47.749300587</v>
      </c>
      <c r="AS604" t="n">
        <v/>
      </c>
      <c r="AT604" t="n">
        <v>38.500353913</v>
      </c>
      <c r="AU604" t="n">
        <v/>
      </c>
    </row>
    <row r="605">
      <c r="A605" s="107" t="n">
        <v>25294</v>
      </c>
      <c r="B605" t="n">
        <v>22.876801919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45.97956957</v>
      </c>
      <c r="L605" t="n">
        <v/>
      </c>
      <c r="M605" t="n">
        <v/>
      </c>
      <c r="N605" t="n">
        <v>47.019473917</v>
      </c>
      <c r="O605" t="n">
        <v/>
      </c>
      <c r="P605" t="n">
        <v/>
      </c>
      <c r="Q605" t="n">
        <v>28.411160682</v>
      </c>
      <c r="R605" t="n">
        <v>57.521683432</v>
      </c>
      <c r="S605" t="n">
        <v>43.392518443</v>
      </c>
      <c r="T605" t="n">
        <v>59.580569995</v>
      </c>
      <c r="U605" t="n">
        <v/>
      </c>
      <c r="V605" t="n">
        <v>51.362344637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49.334243433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48.658811074</v>
      </c>
      <c r="AS605" t="n">
        <v/>
      </c>
      <c r="AT605" t="n">
        <v>38.358656476</v>
      </c>
      <c r="AU605" t="n">
        <v/>
      </c>
    </row>
    <row r="606">
      <c r="A606" s="107" t="n">
        <v>25324</v>
      </c>
      <c r="B606" t="n">
        <v>23.431391425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46.535027458</v>
      </c>
      <c r="L606" t="n">
        <v/>
      </c>
      <c r="M606" t="n">
        <v/>
      </c>
      <c r="N606" t="n">
        <v>47.632207586</v>
      </c>
      <c r="O606" t="n">
        <v/>
      </c>
      <c r="P606" t="n">
        <v/>
      </c>
      <c r="Q606" t="n">
        <v>28.922926655</v>
      </c>
      <c r="R606" t="n">
        <v>58.862231146</v>
      </c>
      <c r="S606" t="n">
        <v>43.598597718</v>
      </c>
      <c r="T606" t="n">
        <v>59.580569995</v>
      </c>
      <c r="U606" t="n">
        <v/>
      </c>
      <c r="V606" t="n">
        <v>52.739155086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48.412450626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48.20405583</v>
      </c>
      <c r="AS606" t="n">
        <v/>
      </c>
      <c r="AT606" t="n">
        <v>38.213686809</v>
      </c>
      <c r="AU606" t="n">
        <v/>
      </c>
    </row>
    <row r="607">
      <c r="A607" s="107" t="n">
        <v>25355</v>
      </c>
      <c r="B607" t="n">
        <v>23.9299857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47.028767802</v>
      </c>
      <c r="L607" t="n">
        <v/>
      </c>
      <c r="M607" t="n">
        <v/>
      </c>
      <c r="N607" t="n">
        <v>47.024294715</v>
      </c>
      <c r="O607" t="n">
        <v/>
      </c>
      <c r="P607" t="n">
        <v/>
      </c>
      <c r="Q607" t="n">
        <v>28.821877323</v>
      </c>
      <c r="R607" t="n">
        <v>58.131023305</v>
      </c>
      <c r="S607" t="n">
        <v>43.851930598</v>
      </c>
      <c r="T607" t="n">
        <v>59.90320846</v>
      </c>
      <c r="U607" t="n">
        <v/>
      </c>
      <c r="V607" t="n">
        <v>53.531523256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50.5243626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49.568321561</v>
      </c>
      <c r="AS607" t="n">
        <v/>
      </c>
      <c r="AT607" t="n">
        <v>38.587018406</v>
      </c>
      <c r="AU607" t="n">
        <v/>
      </c>
    </row>
    <row r="608">
      <c r="A608" s="107" t="n">
        <v>25385</v>
      </c>
      <c r="B608" t="n">
        <v>23.894449932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46.905332716</v>
      </c>
      <c r="L608" t="n">
        <v/>
      </c>
      <c r="M608" t="n">
        <v/>
      </c>
      <c r="N608" t="n">
        <v>47.309426864</v>
      </c>
      <c r="O608" t="n">
        <v/>
      </c>
      <c r="P608" t="n">
        <v/>
      </c>
      <c r="Q608" t="n">
        <v>29.525962994</v>
      </c>
      <c r="R608" t="n">
        <v>58.374759249</v>
      </c>
      <c r="S608" t="n">
        <v>44.069310522</v>
      </c>
      <c r="T608" t="n">
        <v>59.68811615</v>
      </c>
      <c r="U608" t="n">
        <v/>
      </c>
      <c r="V608" t="n">
        <v>54.104334125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50.883663051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53.206363511</v>
      </c>
      <c r="AS608" t="n">
        <v/>
      </c>
      <c r="AT608" t="n">
        <v>38.790789039</v>
      </c>
      <c r="AU608" t="n">
        <v/>
      </c>
    </row>
    <row r="609">
      <c r="A609" s="107" t="n">
        <v>25416</v>
      </c>
      <c r="B609" t="n">
        <v>24.408806401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48.20140112</v>
      </c>
      <c r="L609" t="n">
        <v/>
      </c>
      <c r="M609" t="n">
        <v/>
      </c>
      <c r="N609" t="n">
        <v>48.459510101</v>
      </c>
      <c r="O609" t="n">
        <v/>
      </c>
      <c r="P609" t="n">
        <v/>
      </c>
      <c r="Q609" t="n">
        <v>29.796514432</v>
      </c>
      <c r="R609" t="n">
        <v>58.374759249</v>
      </c>
      <c r="S609" t="n">
        <v>44.25397845</v>
      </c>
      <c r="T609" t="n">
        <v>58.935293063</v>
      </c>
      <c r="U609" t="n">
        <v/>
      </c>
      <c r="V609" t="n">
        <v>54.486669897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50.379094912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49.113566318</v>
      </c>
      <c r="AS609" t="n">
        <v/>
      </c>
      <c r="AT609" t="n">
        <v>38.879932493</v>
      </c>
      <c r="AU609" t="n">
        <v/>
      </c>
    </row>
    <row r="610">
      <c r="A610" s="107" t="n">
        <v>25447</v>
      </c>
      <c r="B610" t="n">
        <v>24.310676705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47.769378318</v>
      </c>
      <c r="L610" t="n">
        <v/>
      </c>
      <c r="M610" t="n">
        <v/>
      </c>
      <c r="N610" t="n">
        <v>49.1575786</v>
      </c>
      <c r="O610" t="n">
        <v/>
      </c>
      <c r="P610" t="n">
        <v/>
      </c>
      <c r="Q610" t="n">
        <v>29.685686132</v>
      </c>
      <c r="R610" t="n">
        <v>57.643551409</v>
      </c>
      <c r="S610" t="n">
        <v>44.187895891</v>
      </c>
      <c r="T610" t="n">
        <v>59.042839218</v>
      </c>
      <c r="U610" t="n">
        <v/>
      </c>
      <c r="V610" t="n">
        <v>54.794056057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51.563229195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50.023076805</v>
      </c>
      <c r="AS610" t="n">
        <v/>
      </c>
      <c r="AT610" t="n">
        <v>38.871206549</v>
      </c>
      <c r="AU610" t="n">
        <v/>
      </c>
    </row>
    <row r="611">
      <c r="A611" s="107" t="n">
        <v>25477</v>
      </c>
      <c r="B611" t="n">
        <v>24.464222494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48.386553749</v>
      </c>
      <c r="L611" t="n">
        <v/>
      </c>
      <c r="M611" t="n">
        <v/>
      </c>
      <c r="N611" t="n">
        <v>50.394078693</v>
      </c>
      <c r="O611" t="n">
        <v/>
      </c>
      <c r="P611" t="n">
        <v/>
      </c>
      <c r="Q611" t="n">
        <v>29.969276194</v>
      </c>
      <c r="R611" t="n">
        <v>59.593438987</v>
      </c>
      <c r="S611" t="n">
        <v>44.398265085</v>
      </c>
      <c r="T611" t="n">
        <v>58.074923821</v>
      </c>
      <c r="U611" t="n">
        <v/>
      </c>
      <c r="V611" t="n">
        <v>55.143069927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51.820027323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51.387342536</v>
      </c>
      <c r="AS611" t="n">
        <v/>
      </c>
      <c r="AT611" t="n">
        <v>38.882510613</v>
      </c>
      <c r="AU611" t="n">
        <v/>
      </c>
    </row>
    <row r="612">
      <c r="A612" s="107" t="n">
        <v>25508</v>
      </c>
      <c r="B612" t="n">
        <v>25.030918196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49.127164266</v>
      </c>
      <c r="L612" t="n">
        <v/>
      </c>
      <c r="M612" t="n">
        <v/>
      </c>
      <c r="N612" t="n">
        <v>48.049578292</v>
      </c>
      <c r="O612" t="n">
        <v/>
      </c>
      <c r="P612" t="n">
        <v/>
      </c>
      <c r="Q612" t="n">
        <v>30.663582897</v>
      </c>
      <c r="R612" t="n">
        <v>58.191957289</v>
      </c>
      <c r="S612" t="n">
        <v>44.321446628</v>
      </c>
      <c r="T612" t="n">
        <v>59.257931529</v>
      </c>
      <c r="U612" t="n">
        <v/>
      </c>
      <c r="V612" t="n">
        <v>55.647595713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52.841631097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52.296853024</v>
      </c>
      <c r="AS612" t="n">
        <v/>
      </c>
      <c r="AT612" t="n">
        <v>38.51602095</v>
      </c>
      <c r="AU612" t="n">
        <v/>
      </c>
    </row>
    <row r="613">
      <c r="A613" s="107" t="n">
        <v>25538</v>
      </c>
      <c r="B613" t="n">
        <v>22.918362491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48.756859007</v>
      </c>
      <c r="L613" t="n">
        <v/>
      </c>
      <c r="M613" t="n">
        <v/>
      </c>
      <c r="N613" t="n">
        <v>49.220248938</v>
      </c>
      <c r="O613" t="n">
        <v/>
      </c>
      <c r="P613" t="n">
        <v/>
      </c>
      <c r="Q613" t="n">
        <v>31.090597818</v>
      </c>
      <c r="R613" t="n">
        <v>58.313825266</v>
      </c>
      <c r="S613" t="n">
        <v>44.557317953</v>
      </c>
      <c r="T613" t="n">
        <v>59.68811615</v>
      </c>
      <c r="U613" t="n">
        <v/>
      </c>
      <c r="V613" t="n">
        <v>53.714693932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52.552332759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51.387342536</v>
      </c>
      <c r="AS613" t="n">
        <v/>
      </c>
      <c r="AT613" t="n">
        <v>38.412697836</v>
      </c>
      <c r="AU613" t="n">
        <v/>
      </c>
    </row>
    <row r="614">
      <c r="A614" s="107" t="n">
        <v>25569</v>
      </c>
      <c r="B614" t="n">
        <v>24.227450178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48.880294093</v>
      </c>
      <c r="L614" t="n">
        <v/>
      </c>
      <c r="M614" t="n">
        <v/>
      </c>
      <c r="N614" t="n">
        <v>49.942923776</v>
      </c>
      <c r="O614" t="n">
        <v/>
      </c>
      <c r="P614" t="n">
        <v/>
      </c>
      <c r="Q614" t="n">
        <v>31.827280048</v>
      </c>
      <c r="R614" t="n">
        <v>59.959042907</v>
      </c>
      <c r="S614" t="n">
        <v>44.690934109</v>
      </c>
      <c r="T614" t="n">
        <v>58.290016132</v>
      </c>
      <c r="U614" t="n">
        <v/>
      </c>
      <c r="V614" t="n">
        <v>56.693187715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52.986180262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50.477832049</v>
      </c>
      <c r="AS614" t="n">
        <v/>
      </c>
      <c r="AT614" t="n">
        <v>37.701335053</v>
      </c>
      <c r="AU614" t="n">
        <v/>
      </c>
    </row>
    <row r="615">
      <c r="A615" s="107" t="n">
        <v>25600</v>
      </c>
      <c r="B615" t="n">
        <v>25.209637274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49.559187067</v>
      </c>
      <c r="L615" t="n">
        <v/>
      </c>
      <c r="M615" t="n">
        <v/>
      </c>
      <c r="N615" t="n">
        <v>50.038035453</v>
      </c>
      <c r="O615" t="n">
        <v/>
      </c>
      <c r="P615" t="n">
        <v/>
      </c>
      <c r="Q615" t="n">
        <v>31.713192092</v>
      </c>
      <c r="R615" t="n">
        <v>60.629316755</v>
      </c>
      <c r="S615" t="n">
        <v>45.023416573</v>
      </c>
      <c r="T615" t="n">
        <v>59.365477684</v>
      </c>
      <c r="U615" t="n">
        <v/>
      </c>
      <c r="V615" t="n">
        <v>56.422420687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52.338480804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51.84209778</v>
      </c>
      <c r="AS615" t="n">
        <v/>
      </c>
      <c r="AT615" t="n">
        <v>37.676545438</v>
      </c>
      <c r="AU615" t="n">
        <v/>
      </c>
    </row>
    <row r="616">
      <c r="A616" s="107" t="n">
        <v>25628</v>
      </c>
      <c r="B616" t="n">
        <v>25.200630098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49.744339696</v>
      </c>
      <c r="L616" t="n">
        <v/>
      </c>
      <c r="M616" t="n">
        <v/>
      </c>
      <c r="N616" t="n">
        <v>47.473140675</v>
      </c>
      <c r="O616" t="n">
        <v/>
      </c>
      <c r="P616" t="n">
        <v/>
      </c>
      <c r="Q616" t="n">
        <v>31.566507577</v>
      </c>
      <c r="R616" t="n">
        <v>60.507448788</v>
      </c>
      <c r="S616" t="n">
        <v>45.087741963</v>
      </c>
      <c r="T616" t="n">
        <v>60.010754616</v>
      </c>
      <c r="U616" t="n">
        <v/>
      </c>
      <c r="V616" t="n">
        <v>56.711512631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53.167084612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52.296853024</v>
      </c>
      <c r="AS616" t="n">
        <v/>
      </c>
      <c r="AT616" t="n">
        <v>37.62756116</v>
      </c>
      <c r="AU616" t="n">
        <v/>
      </c>
    </row>
    <row r="617">
      <c r="A617" s="107" t="n">
        <v>25659</v>
      </c>
      <c r="B617" t="n">
        <v>25.380118127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50.23808004</v>
      </c>
      <c r="L617" t="n">
        <v/>
      </c>
      <c r="M617" t="n">
        <v/>
      </c>
      <c r="N617" t="n">
        <v>52.97054725</v>
      </c>
      <c r="O617" t="n">
        <v/>
      </c>
      <c r="P617" t="n">
        <v/>
      </c>
      <c r="Q617" t="n">
        <v>32.651972986</v>
      </c>
      <c r="R617" t="n">
        <v>61.360524596</v>
      </c>
      <c r="S617" t="n">
        <v>45.161830304</v>
      </c>
      <c r="T617" t="n">
        <v>59.795662305</v>
      </c>
      <c r="U617" t="n">
        <v/>
      </c>
      <c r="V617" t="n">
        <v>57.373149708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51.782070628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51.84209778</v>
      </c>
      <c r="AS617" t="n">
        <v/>
      </c>
      <c r="AT617" t="n">
        <v>37.530881662</v>
      </c>
      <c r="AU617" t="n">
        <v/>
      </c>
    </row>
    <row r="618">
      <c r="A618" s="107" t="n">
        <v>25689</v>
      </c>
      <c r="B618" t="n">
        <v>26.247269166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50.608385299</v>
      </c>
      <c r="L618" t="n">
        <v/>
      </c>
      <c r="M618" t="n">
        <v/>
      </c>
      <c r="N618" t="n">
        <v>49.747309635</v>
      </c>
      <c r="O618" t="n">
        <v/>
      </c>
      <c r="P618" t="n">
        <v/>
      </c>
      <c r="Q618" t="n">
        <v>33.020314101</v>
      </c>
      <c r="R618" t="n">
        <v>60.629316755</v>
      </c>
      <c r="S618" t="n">
        <v>45.185080935</v>
      </c>
      <c r="T618" t="n">
        <v>59.150385374</v>
      </c>
      <c r="U618" t="n">
        <v/>
      </c>
      <c r="V618" t="n">
        <v>57.238465947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51.564712723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53.661118755</v>
      </c>
      <c r="AS618" t="n">
        <v/>
      </c>
      <c r="AT618" t="n">
        <v>37.487152782</v>
      </c>
      <c r="AU618" t="n">
        <v/>
      </c>
    </row>
    <row r="619">
      <c r="A619" s="107" t="n">
        <v>25720</v>
      </c>
      <c r="B619" t="n">
        <v>25.527676627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50.114644954</v>
      </c>
      <c r="L619" t="n">
        <v/>
      </c>
      <c r="M619" t="n">
        <v/>
      </c>
      <c r="N619" t="n">
        <v>50.678515258</v>
      </c>
      <c r="O619" t="n">
        <v/>
      </c>
      <c r="P619" t="n">
        <v/>
      </c>
      <c r="Q619" t="n">
        <v>32.570481589</v>
      </c>
      <c r="R619" t="n">
        <v>60.751184731</v>
      </c>
      <c r="S619" t="n">
        <v>45.189878206</v>
      </c>
      <c r="T619" t="n">
        <v>59.257931529</v>
      </c>
      <c r="U619" t="n">
        <v/>
      </c>
      <c r="V619" t="n">
        <v>57.547847928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51.37362766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51.387342536</v>
      </c>
      <c r="AS619" t="n">
        <v/>
      </c>
      <c r="AT619" t="n">
        <v>37.365881987</v>
      </c>
      <c r="AU619" t="n">
        <v/>
      </c>
    </row>
    <row r="620">
      <c r="A620" s="107" t="n">
        <v>25750</v>
      </c>
      <c r="B620" t="n">
        <v>25.938505139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50.731820385</v>
      </c>
      <c r="L620" t="n">
        <v/>
      </c>
      <c r="M620" t="n">
        <v/>
      </c>
      <c r="N620" t="n">
        <v>52.191327091</v>
      </c>
      <c r="O620" t="n">
        <v/>
      </c>
      <c r="P620" t="n">
        <v/>
      </c>
      <c r="Q620" t="n">
        <v>33.910200157</v>
      </c>
      <c r="R620" t="n">
        <v>60.446514795</v>
      </c>
      <c r="S620" t="n">
        <v>45.421192542</v>
      </c>
      <c r="T620" t="n">
        <v>59.580569995</v>
      </c>
      <c r="U620" t="n">
        <v/>
      </c>
      <c r="V620" t="n">
        <v>58.450449248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52.228463491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54.570629242</v>
      </c>
      <c r="AS620" t="n">
        <v/>
      </c>
      <c r="AT620" t="n">
        <v>37.457603562</v>
      </c>
      <c r="AU620" t="n">
        <v/>
      </c>
    </row>
    <row r="621">
      <c r="A621" s="107" t="n">
        <v>25781</v>
      </c>
      <c r="B621" t="n">
        <v>26.298869049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49.929492325</v>
      </c>
      <c r="L621" t="n">
        <v/>
      </c>
      <c r="M621" t="n">
        <v/>
      </c>
      <c r="N621" t="n">
        <v>50.978573517</v>
      </c>
      <c r="O621" t="n">
        <v/>
      </c>
      <c r="P621" t="n">
        <v/>
      </c>
      <c r="Q621" t="n">
        <v>33.548378354</v>
      </c>
      <c r="R621" t="n">
        <v>60.446514795</v>
      </c>
      <c r="S621" t="n">
        <v>45.174568614</v>
      </c>
      <c r="T621" t="n">
        <v>59.68811615</v>
      </c>
      <c r="U621" t="n">
        <v/>
      </c>
      <c r="V621" t="n">
        <v>58.98661161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50.671766638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52.296853024</v>
      </c>
      <c r="AS621" t="n">
        <v/>
      </c>
      <c r="AT621" t="n">
        <v>37.39077076</v>
      </c>
      <c r="AU621" t="n">
        <v/>
      </c>
    </row>
    <row r="622">
      <c r="A622" s="107" t="n">
        <v>25812</v>
      </c>
      <c r="B622" t="n">
        <v>26.161634879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49.682622153</v>
      </c>
      <c r="L622" t="n">
        <v/>
      </c>
      <c r="M622" t="n">
        <v/>
      </c>
      <c r="N622" t="n">
        <v>51.327235823</v>
      </c>
      <c r="O622" t="n">
        <v/>
      </c>
      <c r="P622" t="n">
        <v/>
      </c>
      <c r="Q622" t="n">
        <v>32.94208236</v>
      </c>
      <c r="R622" t="n">
        <v>61.116788652</v>
      </c>
      <c r="S622" t="n">
        <v>45.131166589</v>
      </c>
      <c r="T622" t="n">
        <v>59.365477684</v>
      </c>
      <c r="U622" t="n">
        <v/>
      </c>
      <c r="V622" t="n">
        <v>59.965616098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49.004124689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51.84209778</v>
      </c>
      <c r="AS622" t="n">
        <v/>
      </c>
      <c r="AT622" t="n">
        <v>37.133057926</v>
      </c>
      <c r="AU622" t="n">
        <v/>
      </c>
    </row>
    <row r="623">
      <c r="A623" s="107" t="n">
        <v>25842</v>
      </c>
      <c r="B623" t="n">
        <v>26.394837556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50.052927411</v>
      </c>
      <c r="L623" t="n">
        <v/>
      </c>
      <c r="M623" t="n">
        <v/>
      </c>
      <c r="N623" t="n">
        <v>51.943727581</v>
      </c>
      <c r="O623" t="n">
        <v/>
      </c>
      <c r="P623" t="n">
        <v/>
      </c>
      <c r="Q623" t="n">
        <v>32.234737033</v>
      </c>
      <c r="R623" t="n">
        <v>61.665194532</v>
      </c>
      <c r="S623" t="n">
        <v>44.858399895</v>
      </c>
      <c r="T623" t="n">
        <v>60.118300771</v>
      </c>
      <c r="U623" t="n">
        <v/>
      </c>
      <c r="V623" t="n">
        <v>60.779921022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46.728700589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52.751608267</v>
      </c>
      <c r="AS623" t="n">
        <v/>
      </c>
      <c r="AT623" t="n">
        <v>36.390261912</v>
      </c>
      <c r="AU623" t="n">
        <v/>
      </c>
    </row>
    <row r="624">
      <c r="A624" s="107" t="n">
        <v>25873</v>
      </c>
      <c r="B624" t="n">
        <v>26.632833362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49.62090461</v>
      </c>
      <c r="L624" t="n">
        <v/>
      </c>
      <c r="M624" t="n">
        <v/>
      </c>
      <c r="N624" t="n">
        <v>52.852201079</v>
      </c>
      <c r="O624" t="n">
        <v/>
      </c>
      <c r="P624" t="n">
        <v/>
      </c>
      <c r="Q624" t="n">
        <v>32.876889242</v>
      </c>
      <c r="R624" t="n">
        <v>61.299590612</v>
      </c>
      <c r="S624" t="n">
        <v>44.584804629</v>
      </c>
      <c r="T624" t="n">
        <v>59.257931529</v>
      </c>
      <c r="U624" t="n">
        <v/>
      </c>
      <c r="V624" t="n">
        <v>61.537746719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48.238086428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53.206363511</v>
      </c>
      <c r="AS624" t="n">
        <v/>
      </c>
      <c r="AT624" t="n">
        <v>36.169832659</v>
      </c>
      <c r="AU624" t="n">
        <v/>
      </c>
    </row>
    <row r="625">
      <c r="A625" s="107" t="n">
        <v>25903</v>
      </c>
      <c r="B625" t="n">
        <v>25.213749335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50.484950213</v>
      </c>
      <c r="L625" t="n">
        <v/>
      </c>
      <c r="M625" t="n">
        <v/>
      </c>
      <c r="N625" t="n">
        <v>51.791655174</v>
      </c>
      <c r="O625" t="n">
        <v/>
      </c>
      <c r="P625" t="n">
        <v/>
      </c>
      <c r="Q625" t="n">
        <v>33.215893454</v>
      </c>
      <c r="R625" t="n">
        <v>61.908930476</v>
      </c>
      <c r="S625" t="n">
        <v>45.374752621</v>
      </c>
      <c r="T625" t="n">
        <v>59.795662305</v>
      </c>
      <c r="U625" t="n">
        <v/>
      </c>
      <c r="V625" t="n">
        <v>61.424082315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49.664618639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53.661118755</v>
      </c>
      <c r="AS625" t="n">
        <v/>
      </c>
      <c r="AT625" t="n">
        <v>37.000483067</v>
      </c>
      <c r="AU625" t="n">
        <v/>
      </c>
    </row>
    <row r="626">
      <c r="A626" s="107" t="n">
        <v>25934</v>
      </c>
      <c r="B626" t="n">
        <v>27.569413655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51.410713358</v>
      </c>
      <c r="L626" t="n">
        <v/>
      </c>
      <c r="M626" t="n">
        <v/>
      </c>
      <c r="N626" t="n">
        <v>51.250818012</v>
      </c>
      <c r="O626" t="n">
        <v/>
      </c>
      <c r="P626" t="n">
        <v/>
      </c>
      <c r="Q626" t="n">
        <v>34.193790219</v>
      </c>
      <c r="R626" t="n">
        <v>61.726128516</v>
      </c>
      <c r="S626" t="n">
        <v>45.716837054</v>
      </c>
      <c r="T626" t="n">
        <v>60.118300771</v>
      </c>
      <c r="U626" t="n">
        <v/>
      </c>
      <c r="V626" t="n">
        <v>62.27132004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48.13469327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54.115873998</v>
      </c>
      <c r="AS626" t="n">
        <v/>
      </c>
      <c r="AT626" t="n">
        <v>37.285067843</v>
      </c>
      <c r="AU626" t="n">
        <v/>
      </c>
    </row>
    <row r="627">
      <c r="A627" s="107" t="n">
        <v>25965</v>
      </c>
      <c r="B627" t="n">
        <v>27.103390698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50.855255471</v>
      </c>
      <c r="L627" t="n">
        <v/>
      </c>
      <c r="M627" t="n">
        <v/>
      </c>
      <c r="N627" t="n">
        <v>51.807653641</v>
      </c>
      <c r="O627" t="n">
        <v/>
      </c>
      <c r="P627" t="n">
        <v/>
      </c>
      <c r="Q627" t="n">
        <v>27.544092217</v>
      </c>
      <c r="R627" t="n">
        <v>62.762006293</v>
      </c>
      <c r="S627" t="n">
        <v>45.354890284</v>
      </c>
      <c r="T627" t="n">
        <v>59.150385374</v>
      </c>
      <c r="U627" t="n">
        <v/>
      </c>
      <c r="V627" t="n">
        <v>62.939073862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49.148139478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53.206363511</v>
      </c>
      <c r="AS627" t="n">
        <v/>
      </c>
      <c r="AT627" t="n">
        <v>37.214070387</v>
      </c>
      <c r="AU627" t="n">
        <v/>
      </c>
    </row>
    <row r="628">
      <c r="A628" s="107" t="n">
        <v>25993</v>
      </c>
      <c r="B628" t="n">
        <v>26.715459811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50.608385299</v>
      </c>
      <c r="L628" t="n">
        <v/>
      </c>
      <c r="M628" t="n">
        <v/>
      </c>
      <c r="N628" t="n">
        <v>52.632763132</v>
      </c>
      <c r="O628" t="n">
        <v/>
      </c>
      <c r="P628" t="n">
        <v/>
      </c>
      <c r="Q628" t="n">
        <v>25.542663504</v>
      </c>
      <c r="R628" t="n">
        <v>63.188544197</v>
      </c>
      <c r="S628" t="n">
        <v>45.364906191</v>
      </c>
      <c r="T628" t="n">
        <v>58.397562287</v>
      </c>
      <c r="U628" t="n">
        <v/>
      </c>
      <c r="V628" t="n">
        <v>62.160059951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49.094517708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52.296853024</v>
      </c>
      <c r="AS628" t="n">
        <v/>
      </c>
      <c r="AT628" t="n">
        <v>37.173712894</v>
      </c>
      <c r="AU628" t="n">
        <v/>
      </c>
    </row>
    <row r="629">
      <c r="A629" s="107" t="n">
        <v>26024</v>
      </c>
      <c r="B629" t="n">
        <v>27.026814934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50.978690557</v>
      </c>
      <c r="L629" t="n">
        <v/>
      </c>
      <c r="M629" t="n">
        <v/>
      </c>
      <c r="N629" t="n">
        <v>53.311133033</v>
      </c>
      <c r="O629" t="n">
        <v/>
      </c>
      <c r="P629" t="n">
        <v/>
      </c>
      <c r="Q629" t="n">
        <v>33.975393275</v>
      </c>
      <c r="R629" t="n">
        <v>63.005742237</v>
      </c>
      <c r="S629" t="n">
        <v>45.489296027</v>
      </c>
      <c r="T629" t="n">
        <v>59.257931529</v>
      </c>
      <c r="U629" t="n">
        <v/>
      </c>
      <c r="V629" t="n">
        <v>61.044408929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50.611351047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52.751608267</v>
      </c>
      <c r="AS629" t="n">
        <v/>
      </c>
      <c r="AT629" t="n">
        <v>37.382540608</v>
      </c>
      <c r="AU629" t="n">
        <v/>
      </c>
    </row>
    <row r="630">
      <c r="A630" s="107" t="n">
        <v>26054</v>
      </c>
      <c r="B630" t="n">
        <v>27.456402674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50.23808004</v>
      </c>
      <c r="L630" t="n">
        <v/>
      </c>
      <c r="M630" t="n">
        <v/>
      </c>
      <c r="N630" t="n">
        <v>53.115064825</v>
      </c>
      <c r="O630" t="n">
        <v/>
      </c>
      <c r="P630" t="n">
        <v/>
      </c>
      <c r="Q630" t="n">
        <v>34.353513357</v>
      </c>
      <c r="R630" t="n">
        <v>61.908930476</v>
      </c>
      <c r="S630" t="n">
        <v>45.366807342</v>
      </c>
      <c r="T630" t="n">
        <v>59.473023839</v>
      </c>
      <c r="U630" t="n">
        <v/>
      </c>
      <c r="V630" t="n">
        <v>63.469582829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51.21665749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52.751608267</v>
      </c>
      <c r="AS630" t="n">
        <v/>
      </c>
      <c r="AT630" t="n">
        <v>37.57223074</v>
      </c>
      <c r="AU630" t="n">
        <v/>
      </c>
    </row>
    <row r="631">
      <c r="A631" s="107" t="n">
        <v>26085</v>
      </c>
      <c r="B631" t="n">
        <v>26.972207085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50.793537928</v>
      </c>
      <c r="L631" t="n">
        <v/>
      </c>
      <c r="M631" t="n">
        <v/>
      </c>
      <c r="N631" t="n">
        <v>54.03030096</v>
      </c>
      <c r="O631" t="n">
        <v/>
      </c>
      <c r="P631" t="n">
        <v/>
      </c>
      <c r="Q631" t="n">
        <v>35.041300749</v>
      </c>
      <c r="R631" t="n">
        <v>63.127610214</v>
      </c>
      <c r="S631" t="n">
        <v>45.778892755</v>
      </c>
      <c r="T631" t="n">
        <v>59.257931529</v>
      </c>
      <c r="U631" t="n">
        <v/>
      </c>
      <c r="V631" t="n">
        <v>64.398794718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50.890495905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53.206363511</v>
      </c>
      <c r="AS631" t="n">
        <v/>
      </c>
      <c r="AT631" t="n">
        <v>37.729793531</v>
      </c>
      <c r="AU631" t="n">
        <v/>
      </c>
    </row>
    <row r="632">
      <c r="A632" s="107" t="n">
        <v>26115</v>
      </c>
      <c r="B632" t="n">
        <v>27.186785747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51.595865987</v>
      </c>
      <c r="L632" t="n">
        <v/>
      </c>
      <c r="M632" t="n">
        <v/>
      </c>
      <c r="N632" t="n">
        <v>56.315096931</v>
      </c>
      <c r="O632" t="n">
        <v/>
      </c>
      <c r="P632" t="n">
        <v/>
      </c>
      <c r="Q632" t="n">
        <v>35.187985264</v>
      </c>
      <c r="R632" t="n">
        <v>63.493214134</v>
      </c>
      <c r="S632" t="n">
        <v>45.848318774</v>
      </c>
      <c r="T632" t="n">
        <v>59.042839218</v>
      </c>
      <c r="U632" t="n">
        <v/>
      </c>
      <c r="V632" t="n">
        <v>68.018139322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50.811170942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52.751608267</v>
      </c>
      <c r="AS632" t="n">
        <v/>
      </c>
      <c r="AT632" t="n">
        <v>37.620223434</v>
      </c>
      <c r="AU632" t="n">
        <v/>
      </c>
    </row>
    <row r="633">
      <c r="A633" s="107" t="n">
        <v>26146</v>
      </c>
      <c r="B633" t="n">
        <v>27.288697599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49.435751981</v>
      </c>
      <c r="L633" t="n">
        <v/>
      </c>
      <c r="M633" t="n">
        <v/>
      </c>
      <c r="N633" t="n">
        <v>55.997629709</v>
      </c>
      <c r="O633" t="n">
        <v/>
      </c>
      <c r="P633" t="n">
        <v/>
      </c>
      <c r="Q633" t="n">
        <v>34.637103419</v>
      </c>
      <c r="R633" t="n">
        <v>63.493214134</v>
      </c>
      <c r="S633" t="n">
        <v>45.575285126</v>
      </c>
      <c r="T633" t="n">
        <v>59.365477684</v>
      </c>
      <c r="U633" t="n">
        <v/>
      </c>
      <c r="V633" t="n">
        <v>68.246910575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51.334819537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51.84209778</v>
      </c>
      <c r="AS633" t="n">
        <v/>
      </c>
      <c r="AT633" t="n">
        <v>37.401876508</v>
      </c>
      <c r="AU633" t="n">
        <v/>
      </c>
    </row>
    <row r="634">
      <c r="A634" s="107" t="n">
        <v>26177</v>
      </c>
      <c r="B634" t="n">
        <v>27.340661055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50.608385299</v>
      </c>
      <c r="L634" t="n">
        <v/>
      </c>
      <c r="M634" t="n">
        <v/>
      </c>
      <c r="N634" t="n">
        <v>55.150435374</v>
      </c>
      <c r="O634" t="n">
        <v/>
      </c>
      <c r="P634" t="n">
        <v/>
      </c>
      <c r="Q634" t="n">
        <v>34.858760019</v>
      </c>
      <c r="R634" t="n">
        <v>65.321233736</v>
      </c>
      <c r="S634" t="n">
        <v>46.232003473</v>
      </c>
      <c r="T634" t="n">
        <v>58.935293063</v>
      </c>
      <c r="U634" t="n">
        <v/>
      </c>
      <c r="V634" t="n">
        <v>66.12977236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51.835797461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51.84209778</v>
      </c>
      <c r="AS634" t="n">
        <v/>
      </c>
      <c r="AT634" t="n">
        <v>38.009817018</v>
      </c>
      <c r="AU634" t="n">
        <v/>
      </c>
    </row>
    <row r="635">
      <c r="A635" s="107" t="n">
        <v>26207</v>
      </c>
      <c r="B635" t="n">
        <v>27.678737566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50.731820385</v>
      </c>
      <c r="L635" t="n">
        <v/>
      </c>
      <c r="M635" t="n">
        <v/>
      </c>
      <c r="N635" t="n">
        <v>55.086779627</v>
      </c>
      <c r="O635" t="n">
        <v/>
      </c>
      <c r="P635" t="n">
        <v/>
      </c>
      <c r="Q635" t="n">
        <v>34.672959634</v>
      </c>
      <c r="R635" t="n">
        <v>65.199365759</v>
      </c>
      <c r="S635" t="n">
        <v>46.33723422</v>
      </c>
      <c r="T635" t="n">
        <v>58.935293063</v>
      </c>
      <c r="U635" t="n">
        <v/>
      </c>
      <c r="V635" t="n">
        <v>66.71942322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51.011453754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53.206363511</v>
      </c>
      <c r="AS635" t="n">
        <v/>
      </c>
      <c r="AT635" t="n">
        <v>38.294302636</v>
      </c>
      <c r="AU635" t="n">
        <v/>
      </c>
    </row>
    <row r="636">
      <c r="A636" s="107" t="n">
        <v>26238</v>
      </c>
      <c r="B636" t="n">
        <v>27.291214646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49.991209868</v>
      </c>
      <c r="L636" t="n">
        <v/>
      </c>
      <c r="M636" t="n">
        <v/>
      </c>
      <c r="N636" t="n">
        <v>56.197852109</v>
      </c>
      <c r="O636" t="n">
        <v/>
      </c>
      <c r="P636" t="n">
        <v/>
      </c>
      <c r="Q636" t="n">
        <v>34.099260198</v>
      </c>
      <c r="R636" t="n">
        <v>65.9305736</v>
      </c>
      <c r="S636" t="n">
        <v>46.398080455</v>
      </c>
      <c r="T636" t="n">
        <v>58.827746908</v>
      </c>
      <c r="U636" t="n">
        <v/>
      </c>
      <c r="V636" t="n">
        <v>68.257216149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49.982924529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52.296853024</v>
      </c>
      <c r="AS636" t="n">
        <v/>
      </c>
      <c r="AT636" t="n">
        <v>38.45682335</v>
      </c>
      <c r="AU636" t="n">
        <v/>
      </c>
    </row>
    <row r="637">
      <c r="A637" s="107" t="n">
        <v>26268</v>
      </c>
      <c r="B637" t="n">
        <v>27.944958345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49.127164266</v>
      </c>
      <c r="L637" t="n">
        <v/>
      </c>
      <c r="M637" t="n">
        <v/>
      </c>
      <c r="N637" t="n">
        <v>57.538583776</v>
      </c>
      <c r="O637" t="n">
        <v/>
      </c>
      <c r="P637" t="n">
        <v/>
      </c>
      <c r="Q637" t="n">
        <v>33.913459813</v>
      </c>
      <c r="R637" t="n">
        <v>65.869639616</v>
      </c>
      <c r="S637" t="n">
        <v>46.515345292</v>
      </c>
      <c r="T637" t="n">
        <v>59.257931529</v>
      </c>
      <c r="U637" t="n">
        <v/>
      </c>
      <c r="V637" t="n">
        <v>68.711067766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49.415397842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52.296853024</v>
      </c>
      <c r="AS637" t="n">
        <v/>
      </c>
      <c r="AT637" t="n">
        <v>38.900755769</v>
      </c>
      <c r="AU637" t="n">
        <v/>
      </c>
    </row>
    <row r="638">
      <c r="A638" s="107" t="n">
        <v>26299</v>
      </c>
      <c r="B638" t="n">
        <v>28.516204846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51.0404081</v>
      </c>
      <c r="L638" t="n">
        <v/>
      </c>
      <c r="M638" t="n">
        <v/>
      </c>
      <c r="N638" t="n">
        <v>58.747550276</v>
      </c>
      <c r="O638" t="n">
        <v/>
      </c>
      <c r="P638" t="n">
        <v/>
      </c>
      <c r="Q638" t="n">
        <v>35.826877817</v>
      </c>
      <c r="R638" t="n">
        <v>66.47897948000001</v>
      </c>
      <c r="S638" t="n">
        <v>47.220148058</v>
      </c>
      <c r="T638" t="n">
        <v>57.537193045</v>
      </c>
      <c r="U638" t="n">
        <v/>
      </c>
      <c r="V638" t="n">
        <v>69.243712139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50.250532238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51.84209778</v>
      </c>
      <c r="AS638" t="n">
        <v/>
      </c>
      <c r="AT638" t="n">
        <v>39.830762953</v>
      </c>
      <c r="AU638" t="n">
        <v/>
      </c>
    </row>
    <row r="639">
      <c r="A639" s="107" t="n">
        <v>26330</v>
      </c>
      <c r="B639" t="n">
        <v>27.616818543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51.410713358</v>
      </c>
      <c r="L639" t="n">
        <v/>
      </c>
      <c r="M639" t="n">
        <v/>
      </c>
      <c r="N639" t="n">
        <v>60.02423976</v>
      </c>
      <c r="O639" t="n">
        <v/>
      </c>
      <c r="P639" t="n">
        <v/>
      </c>
      <c r="Q639" t="n">
        <v>35.540028099</v>
      </c>
      <c r="R639" t="n">
        <v>65.80870562299999</v>
      </c>
      <c r="S639" t="n">
        <v>47.054546239</v>
      </c>
      <c r="T639" t="n">
        <v>53.020254526</v>
      </c>
      <c r="U639" t="n">
        <v/>
      </c>
      <c r="V639" t="n">
        <v>68.934584669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48.289950796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52.751608267</v>
      </c>
      <c r="AS639" t="n">
        <v/>
      </c>
      <c r="AT639" t="n">
        <v>40.242171398</v>
      </c>
      <c r="AU639" t="n">
        <v/>
      </c>
    </row>
    <row r="640">
      <c r="A640" s="107" t="n">
        <v>26359</v>
      </c>
      <c r="B640" t="n">
        <v>28.33415202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51.966171246</v>
      </c>
      <c r="L640" t="n">
        <v/>
      </c>
      <c r="M640" t="n">
        <v/>
      </c>
      <c r="N640" t="n">
        <v>60.894001984</v>
      </c>
      <c r="O640" t="n">
        <v/>
      </c>
      <c r="P640" t="n">
        <v/>
      </c>
      <c r="Q640" t="n">
        <v>36.286489296</v>
      </c>
      <c r="R640" t="n">
        <v>66.966451377</v>
      </c>
      <c r="S640" t="n">
        <v>47.851761913</v>
      </c>
      <c r="T640" t="n">
        <v>58.182469977</v>
      </c>
      <c r="U640" t="n">
        <v/>
      </c>
      <c r="V640" t="n">
        <v>70.424071501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50.529246905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53.206363511</v>
      </c>
      <c r="AS640" t="n">
        <v/>
      </c>
      <c r="AT640" t="n">
        <v>40.521599935</v>
      </c>
      <c r="AU640" t="n">
        <v/>
      </c>
    </row>
    <row r="641">
      <c r="A641" s="107" t="n">
        <v>26390</v>
      </c>
      <c r="B641" t="n">
        <v>28.828821888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51.966171246</v>
      </c>
      <c r="L641" t="n">
        <v/>
      </c>
      <c r="M641" t="n">
        <v/>
      </c>
      <c r="N641" t="n">
        <v>61.180602594</v>
      </c>
      <c r="O641" t="n">
        <v/>
      </c>
      <c r="P641" t="n">
        <v/>
      </c>
      <c r="Q641" t="n">
        <v>36.276710329</v>
      </c>
      <c r="R641" t="n">
        <v>67.392989281</v>
      </c>
      <c r="S641" t="n">
        <v>48.383966725</v>
      </c>
      <c r="T641" t="n">
        <v>59.473023839</v>
      </c>
      <c r="U641" t="n">
        <v/>
      </c>
      <c r="V641" t="n">
        <v>71.371360426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51.968658464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53.206363511</v>
      </c>
      <c r="AS641" t="n">
        <v/>
      </c>
      <c r="AT641" t="n">
        <v>40.918332928</v>
      </c>
      <c r="AU641" t="n">
        <v/>
      </c>
    </row>
    <row r="642">
      <c r="A642" s="107" t="n">
        <v>26420</v>
      </c>
      <c r="B642" t="n">
        <v>28.468796368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51.65758353</v>
      </c>
      <c r="L642" t="n">
        <v/>
      </c>
      <c r="M642" t="n">
        <v/>
      </c>
      <c r="N642" t="n">
        <v>62.033245678</v>
      </c>
      <c r="O642" t="n">
        <v/>
      </c>
      <c r="P642" t="n">
        <v/>
      </c>
      <c r="Q642" t="n">
        <v>37.169856041</v>
      </c>
      <c r="R642" t="n">
        <v>68.063263138</v>
      </c>
      <c r="S642" t="n">
        <v>48.523384125</v>
      </c>
      <c r="T642" t="n">
        <v>60.656031547</v>
      </c>
      <c r="U642" t="n">
        <v/>
      </c>
      <c r="V642" t="n">
        <v>72.69276632099999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51.647938466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52.751608267</v>
      </c>
      <c r="AS642" t="n">
        <v/>
      </c>
      <c r="AT642" t="n">
        <v>40.923290851</v>
      </c>
      <c r="AU642" t="n">
        <v/>
      </c>
    </row>
    <row r="643">
      <c r="A643" s="107" t="n">
        <v>26451</v>
      </c>
      <c r="B643" t="n">
        <v>28.791088915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51.966171246</v>
      </c>
      <c r="L643" t="n">
        <v/>
      </c>
      <c r="M643" t="n">
        <v/>
      </c>
      <c r="N643" t="n">
        <v>63.7027575</v>
      </c>
      <c r="O643" t="n">
        <v/>
      </c>
      <c r="P643" t="n">
        <v/>
      </c>
      <c r="Q643" t="n">
        <v>37.137259482</v>
      </c>
      <c r="R643" t="n">
        <v>67.51485725800001</v>
      </c>
      <c r="S643" t="n">
        <v>48.726229092</v>
      </c>
      <c r="T643" t="n">
        <v>60.978670013</v>
      </c>
      <c r="U643" t="n">
        <v/>
      </c>
      <c r="V643" t="n">
        <v>72.81158062900001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52.024175565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53.206363511</v>
      </c>
      <c r="AS643" t="n">
        <v/>
      </c>
      <c r="AT643" t="n">
        <v>41.030381986</v>
      </c>
      <c r="AU643" t="n">
        <v/>
      </c>
    </row>
    <row r="644">
      <c r="A644" s="107" t="n">
        <v>26481</v>
      </c>
      <c r="B644" t="n">
        <v>29.135530723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52.213041418</v>
      </c>
      <c r="L644" t="n">
        <v/>
      </c>
      <c r="M644" t="n">
        <v/>
      </c>
      <c r="N644" t="n">
        <v>63.106582638</v>
      </c>
      <c r="O644" t="n">
        <v/>
      </c>
      <c r="P644" t="n">
        <v/>
      </c>
      <c r="Q644" t="n">
        <v>37.088364644</v>
      </c>
      <c r="R644" t="n">
        <v>68.42886705799999</v>
      </c>
      <c r="S644" t="n">
        <v>48.670237524</v>
      </c>
      <c r="T644" t="n">
        <v>60.225846926</v>
      </c>
      <c r="U644" t="n">
        <v/>
      </c>
      <c r="V644" t="n">
        <v>73.367686738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52.37197868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52.296853024</v>
      </c>
      <c r="AS644" t="n">
        <v/>
      </c>
      <c r="AT644" t="n">
        <v>40.986851423</v>
      </c>
      <c r="AU644" t="n">
        <v/>
      </c>
    </row>
    <row r="645">
      <c r="A645" s="107" t="n">
        <v>26512</v>
      </c>
      <c r="B645" t="n">
        <v>29.254684091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51.966171246</v>
      </c>
      <c r="L645" t="n">
        <v/>
      </c>
      <c r="M645" t="n">
        <v/>
      </c>
      <c r="N645" t="n">
        <v>64.194217768</v>
      </c>
      <c r="O645" t="n">
        <v/>
      </c>
      <c r="P645" t="n">
        <v/>
      </c>
      <c r="Q645" t="n">
        <v>36.289748952</v>
      </c>
      <c r="R645" t="n">
        <v>68.42886705799999</v>
      </c>
      <c r="S645" t="n">
        <v>49.24197248</v>
      </c>
      <c r="T645" t="n">
        <v>60.871123857</v>
      </c>
      <c r="U645" t="n">
        <v/>
      </c>
      <c r="V645" t="n">
        <v>71.377219966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54.257698414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55.934894973</v>
      </c>
      <c r="AS645" t="n">
        <v/>
      </c>
      <c r="AT645" t="n">
        <v>41.551955479</v>
      </c>
      <c r="AU645" t="n">
        <v/>
      </c>
    </row>
    <row r="646">
      <c r="A646" s="107" t="n">
        <v>26543</v>
      </c>
      <c r="B646" t="n">
        <v>29.579227986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52.027888789</v>
      </c>
      <c r="L646" t="n">
        <v/>
      </c>
      <c r="M646" t="n">
        <v/>
      </c>
      <c r="N646" t="n">
        <v>65.186412692</v>
      </c>
      <c r="O646" t="n">
        <v/>
      </c>
      <c r="P646" t="n">
        <v/>
      </c>
      <c r="Q646" t="n">
        <v>37.29698262</v>
      </c>
      <c r="R646" t="n">
        <v>69.58661280299999</v>
      </c>
      <c r="S646" t="n">
        <v>49.572195739</v>
      </c>
      <c r="T646" t="n">
        <v>61.839039254</v>
      </c>
      <c r="U646" t="n">
        <v/>
      </c>
      <c r="V646" t="n">
        <v>75.813333947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53.604822064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56.389650217</v>
      </c>
      <c r="AS646" t="n">
        <v/>
      </c>
      <c r="AT646" t="n">
        <v>41.873030568</v>
      </c>
      <c r="AU646" t="n">
        <v/>
      </c>
    </row>
    <row r="647">
      <c r="A647" s="107" t="n">
        <v>26573</v>
      </c>
      <c r="B647" t="n">
        <v>30.420912816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52.706781762</v>
      </c>
      <c r="L647" t="n">
        <v/>
      </c>
      <c r="M647" t="n">
        <v/>
      </c>
      <c r="N647" t="n">
        <v>64.765815264</v>
      </c>
      <c r="O647" t="n">
        <v/>
      </c>
      <c r="P647" t="n">
        <v/>
      </c>
      <c r="Q647" t="n">
        <v>38.450900803</v>
      </c>
      <c r="R647" t="n">
        <v>70.195952667</v>
      </c>
      <c r="S647" t="n">
        <v>50.352875913</v>
      </c>
      <c r="T647" t="n">
        <v>62.591862341</v>
      </c>
      <c r="U647" t="n">
        <v/>
      </c>
      <c r="V647" t="n">
        <v>76.86642674700001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54.856129038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55.025384486</v>
      </c>
      <c r="AS647" t="n">
        <v/>
      </c>
      <c r="AT647" t="n">
        <v>42.414534911</v>
      </c>
      <c r="AU647" t="n">
        <v/>
      </c>
    </row>
    <row r="648">
      <c r="A648" s="107" t="n">
        <v>26604</v>
      </c>
      <c r="B648" t="n">
        <v>30.302697918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53.632544908</v>
      </c>
      <c r="L648" t="n">
        <v/>
      </c>
      <c r="M648" t="n">
        <v/>
      </c>
      <c r="N648" t="n">
        <v>66.549866854</v>
      </c>
      <c r="O648" t="n">
        <v/>
      </c>
      <c r="P648" t="n">
        <v/>
      </c>
      <c r="Q648" t="n">
        <v>38.248802138</v>
      </c>
      <c r="R648" t="n">
        <v>70.561556588</v>
      </c>
      <c r="S648" t="n">
        <v>50.84106206</v>
      </c>
      <c r="T648" t="n">
        <v>63.129593117</v>
      </c>
      <c r="U648" t="n">
        <v/>
      </c>
      <c r="V648" t="n">
        <v>77.681233065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53.096517419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55.025384486</v>
      </c>
      <c r="AS648" t="n">
        <v/>
      </c>
      <c r="AT648" t="n">
        <v>42.915285128</v>
      </c>
      <c r="AU648" t="n">
        <v/>
      </c>
    </row>
    <row r="649">
      <c r="A649" s="107" t="n">
        <v>26634</v>
      </c>
      <c r="B649" t="n">
        <v>33.848982914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54.311437881</v>
      </c>
      <c r="L649" t="n">
        <v/>
      </c>
      <c r="M649" t="n">
        <v/>
      </c>
      <c r="N649" t="n">
        <v>67.39890641</v>
      </c>
      <c r="O649" t="n">
        <v/>
      </c>
      <c r="P649" t="n">
        <v/>
      </c>
      <c r="Q649" t="n">
        <v>39.405979977</v>
      </c>
      <c r="R649" t="n">
        <v>71.963038285</v>
      </c>
      <c r="S649" t="n">
        <v>51.981510745</v>
      </c>
      <c r="T649" t="n">
        <v>63.559777738</v>
      </c>
      <c r="U649" t="n">
        <v/>
      </c>
      <c r="V649" t="n">
        <v>82.44521417199999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56.285843423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56.389650217</v>
      </c>
      <c r="AS649" t="n">
        <v/>
      </c>
      <c r="AT649" t="n">
        <v>43.401161575</v>
      </c>
      <c r="AU649" t="n">
        <v/>
      </c>
    </row>
    <row r="650">
      <c r="A650" s="107" t="n">
        <v>26665</v>
      </c>
      <c r="B650" t="n">
        <v>29.595751424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54.805178226</v>
      </c>
      <c r="L650" t="n">
        <v/>
      </c>
      <c r="M650" t="n">
        <v/>
      </c>
      <c r="N650" t="n">
        <v>69.008346652</v>
      </c>
      <c r="O650" t="n">
        <v/>
      </c>
      <c r="P650" t="n">
        <v/>
      </c>
      <c r="Q650" t="n">
        <v>38.242282827</v>
      </c>
      <c r="R650" t="n">
        <v>71.475566388</v>
      </c>
      <c r="S650" t="n">
        <v>52.010341808</v>
      </c>
      <c r="T650" t="n">
        <v>65.49560853200001</v>
      </c>
      <c r="U650" t="n">
        <v/>
      </c>
      <c r="V650" t="n">
        <v>79.485609031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55.395578441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56.652943359</v>
      </c>
      <c r="AS650" t="n">
        <v/>
      </c>
      <c r="AT650" t="n">
        <v>43.713709037</v>
      </c>
      <c r="AU650" t="n">
        <v/>
      </c>
    </row>
    <row r="651">
      <c r="A651" s="107" t="n">
        <v>26696</v>
      </c>
      <c r="B651" t="n">
        <v>30.062293656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55.29891857</v>
      </c>
      <c r="L651" t="n">
        <v/>
      </c>
      <c r="M651" t="n">
        <v/>
      </c>
      <c r="N651" t="n">
        <v>67.103891111</v>
      </c>
      <c r="O651" t="n">
        <v/>
      </c>
      <c r="P651" t="n">
        <v/>
      </c>
      <c r="Q651" t="n">
        <v>39.236477871</v>
      </c>
      <c r="R651" t="n">
        <v>72.206774229</v>
      </c>
      <c r="S651" t="n">
        <v>52.577991726</v>
      </c>
      <c r="T651" t="n">
        <v>64.957877756</v>
      </c>
      <c r="U651" t="n">
        <v/>
      </c>
      <c r="V651" t="n">
        <v>81.498421099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57.498929039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56.997687436</v>
      </c>
      <c r="AS651" t="n">
        <v/>
      </c>
      <c r="AT651" t="n">
        <v>44.34782738</v>
      </c>
      <c r="AU651" t="n">
        <v/>
      </c>
    </row>
    <row r="652">
      <c r="A652" s="107" t="n">
        <v>26724</v>
      </c>
      <c r="B652" t="n">
        <v>30.200217581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55.669223829</v>
      </c>
      <c r="L652" t="n">
        <v/>
      </c>
      <c r="M652" t="n">
        <v/>
      </c>
      <c r="N652" t="n">
        <v>68.090173607</v>
      </c>
      <c r="O652" t="n">
        <v/>
      </c>
      <c r="P652" t="n">
        <v/>
      </c>
      <c r="Q652" t="n">
        <v>39.106091636</v>
      </c>
      <c r="R652" t="n">
        <v>72.633312133</v>
      </c>
      <c r="S652" t="n">
        <v>53.023364552</v>
      </c>
      <c r="T652" t="n">
        <v>65.71070084199999</v>
      </c>
      <c r="U652" t="n">
        <v/>
      </c>
      <c r="V652" t="n">
        <v>82.531279485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60.255728934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57.170059475</v>
      </c>
      <c r="AS652" t="n">
        <v/>
      </c>
      <c r="AT652" t="n">
        <v>44.366964963</v>
      </c>
      <c r="AU652" t="n">
        <v/>
      </c>
    </row>
    <row r="653">
      <c r="A653" s="107" t="n">
        <v>26755</v>
      </c>
      <c r="B653" t="n">
        <v>30.62404221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55.360636113</v>
      </c>
      <c r="L653" t="n">
        <v/>
      </c>
      <c r="M653" t="n">
        <v/>
      </c>
      <c r="N653" t="n">
        <v>67.35834021399999</v>
      </c>
      <c r="O653" t="n">
        <v/>
      </c>
      <c r="P653" t="n">
        <v/>
      </c>
      <c r="Q653" t="n">
        <v>38.499795641</v>
      </c>
      <c r="R653" t="n">
        <v>71.10996246800001</v>
      </c>
      <c r="S653" t="n">
        <v>53.02803708</v>
      </c>
      <c r="T653" t="n">
        <v>65.065423911</v>
      </c>
      <c r="U653" t="n">
        <v/>
      </c>
      <c r="V653" t="n">
        <v>83.884744052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57.037228292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57.284974167</v>
      </c>
      <c r="AS653" t="n">
        <v/>
      </c>
      <c r="AT653" t="n">
        <v>44.302214489</v>
      </c>
      <c r="AU653" t="n">
        <v/>
      </c>
    </row>
    <row r="654">
      <c r="A654" s="107" t="n">
        <v>26785</v>
      </c>
      <c r="B654" t="n">
        <v>30.6392722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55.730941372</v>
      </c>
      <c r="L654" t="n">
        <v/>
      </c>
      <c r="M654" t="n">
        <v/>
      </c>
      <c r="N654" t="n">
        <v>70.06212996399999</v>
      </c>
      <c r="O654" t="n">
        <v/>
      </c>
      <c r="P654" t="n">
        <v/>
      </c>
      <c r="Q654" t="n">
        <v>38.167310741</v>
      </c>
      <c r="R654" t="n">
        <v>75.131605592</v>
      </c>
      <c r="S654" t="n">
        <v>53.615822194</v>
      </c>
      <c r="T654" t="n">
        <v>65.172970066</v>
      </c>
      <c r="U654" t="n">
        <v/>
      </c>
      <c r="V654" t="n">
        <v>84.020279249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57.897979941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58.491578437</v>
      </c>
      <c r="AS654" t="n">
        <v/>
      </c>
      <c r="AT654" t="n">
        <v>44.595624369</v>
      </c>
      <c r="AU654" t="n">
        <v/>
      </c>
    </row>
    <row r="655">
      <c r="A655" s="107" t="n">
        <v>26816</v>
      </c>
      <c r="B655" t="n">
        <v>31.086561645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55.360636113</v>
      </c>
      <c r="L655" t="n">
        <v/>
      </c>
      <c r="M655" t="n">
        <v/>
      </c>
      <c r="N655" t="n">
        <v>70.713043508</v>
      </c>
      <c r="O655" t="n">
        <v/>
      </c>
      <c r="P655" t="n">
        <v/>
      </c>
      <c r="Q655" t="n">
        <v>38.985484368</v>
      </c>
      <c r="R655" t="n">
        <v>73.730123894</v>
      </c>
      <c r="S655" t="n">
        <v>53.873707443</v>
      </c>
      <c r="T655" t="n">
        <v>66.248431619</v>
      </c>
      <c r="U655" t="n">
        <v/>
      </c>
      <c r="V655" t="n">
        <v>85.42947221999999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56.557983278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57.802090283</v>
      </c>
      <c r="AS655" t="n">
        <v/>
      </c>
      <c r="AT655" t="n">
        <v>44.646790133</v>
      </c>
      <c r="AU655" t="n">
        <v/>
      </c>
    </row>
    <row r="656">
      <c r="A656" s="107" t="n">
        <v>26846</v>
      </c>
      <c r="B656" t="n">
        <v>30.882584848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53.385674736</v>
      </c>
      <c r="L656" t="n">
        <v/>
      </c>
      <c r="M656" t="n">
        <v/>
      </c>
      <c r="N656" t="n">
        <v>69.928838372</v>
      </c>
      <c r="O656" t="n">
        <v/>
      </c>
      <c r="P656" t="n">
        <v/>
      </c>
      <c r="Q656" t="n">
        <v>40.657687836</v>
      </c>
      <c r="R656" t="n">
        <v>74.826935655</v>
      </c>
      <c r="S656" t="n">
        <v>53.592648704</v>
      </c>
      <c r="T656" t="n">
        <v>66.033339308</v>
      </c>
      <c r="U656" t="n">
        <v/>
      </c>
      <c r="V656" t="n">
        <v>86.110283526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59.04537763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57.572260898</v>
      </c>
      <c r="AS656" t="n">
        <v/>
      </c>
      <c r="AT656" t="n">
        <v>44.814863721</v>
      </c>
      <c r="AU656" t="n">
        <v/>
      </c>
    </row>
    <row r="657">
      <c r="A657" s="107" t="n">
        <v>26877</v>
      </c>
      <c r="B657" t="n">
        <v>31.213207462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56.348116802</v>
      </c>
      <c r="L657" t="n">
        <v/>
      </c>
      <c r="M657" t="n">
        <v/>
      </c>
      <c r="N657" t="n">
        <v>72.072913478</v>
      </c>
      <c r="O657" t="n">
        <v/>
      </c>
      <c r="P657" t="n">
        <v/>
      </c>
      <c r="Q657" t="n">
        <v>39.777580748</v>
      </c>
      <c r="R657" t="n">
        <v>74.826935655</v>
      </c>
      <c r="S657" t="n">
        <v>54.23087562</v>
      </c>
      <c r="T657" t="n">
        <v>66.033339308</v>
      </c>
      <c r="U657" t="n">
        <v/>
      </c>
      <c r="V657" t="n">
        <v>86.45246593900001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59.980759871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58.204291706</v>
      </c>
      <c r="AS657" t="n">
        <v/>
      </c>
      <c r="AT657" t="n">
        <v>44.751005673</v>
      </c>
      <c r="AU657" t="n">
        <v/>
      </c>
    </row>
    <row r="658">
      <c r="A658" s="107" t="n">
        <v>26908</v>
      </c>
      <c r="B658" t="n">
        <v>31.638468641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56.10124663</v>
      </c>
      <c r="L658" t="n">
        <v/>
      </c>
      <c r="M658" t="n">
        <v/>
      </c>
      <c r="N658" t="n">
        <v>69.88596325</v>
      </c>
      <c r="O658" t="n">
        <v/>
      </c>
      <c r="P658" t="n">
        <v/>
      </c>
      <c r="Q658" t="n">
        <v>40.475147107</v>
      </c>
      <c r="R658" t="n">
        <v>73.66918991</v>
      </c>
      <c r="S658" t="n">
        <v>54.342038434</v>
      </c>
      <c r="T658" t="n">
        <v>65.71070084199999</v>
      </c>
      <c r="U658" t="n">
        <v/>
      </c>
      <c r="V658" t="n">
        <v>88.781774505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58.718423716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59.583268015</v>
      </c>
      <c r="AS658" t="n">
        <v/>
      </c>
      <c r="AT658" t="n">
        <v>45.103414836</v>
      </c>
      <c r="AU658" t="n">
        <v/>
      </c>
    </row>
    <row r="659">
      <c r="A659" s="107" t="n">
        <v>26938</v>
      </c>
      <c r="B659" t="n">
        <v>31.428169157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55.730941372</v>
      </c>
      <c r="L659" t="n">
        <v/>
      </c>
      <c r="M659" t="n">
        <v/>
      </c>
      <c r="N659" t="n">
        <v>71.356605186</v>
      </c>
      <c r="O659" t="n">
        <v/>
      </c>
      <c r="P659" t="n">
        <v/>
      </c>
      <c r="Q659" t="n">
        <v>40.693544051</v>
      </c>
      <c r="R659" t="n">
        <v>74.826935655</v>
      </c>
      <c r="S659" t="n">
        <v>54.608344808</v>
      </c>
      <c r="T659" t="n">
        <v>66.248431619</v>
      </c>
      <c r="U659" t="n">
        <v/>
      </c>
      <c r="V659" t="n">
        <v>88.866522575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59.974463187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59.123609246</v>
      </c>
      <c r="AS659" t="n">
        <v/>
      </c>
      <c r="AT659" t="n">
        <v>45.46722722</v>
      </c>
      <c r="AU659" t="n">
        <v/>
      </c>
    </row>
    <row r="660">
      <c r="A660" s="107" t="n">
        <v>26969</v>
      </c>
      <c r="B660" t="n">
        <v>31.029479701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56.039529087</v>
      </c>
      <c r="L660" t="n">
        <v/>
      </c>
      <c r="M660" t="n">
        <v/>
      </c>
      <c r="N660" t="n">
        <v>72.80908462399999</v>
      </c>
      <c r="O660" t="n">
        <v/>
      </c>
      <c r="P660" t="n">
        <v/>
      </c>
      <c r="Q660" t="n">
        <v>40.895642716</v>
      </c>
      <c r="R660" t="n">
        <v>75.192539575</v>
      </c>
      <c r="S660" t="n">
        <v>54.862207148</v>
      </c>
      <c r="T660" t="n">
        <v>65.49560853200001</v>
      </c>
      <c r="U660" t="n">
        <v/>
      </c>
      <c r="V660" t="n">
        <v>86.84178045900001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61.734263513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58.778865168</v>
      </c>
      <c r="AS660" t="n">
        <v/>
      </c>
      <c r="AT660" t="n">
        <v>45.677740628</v>
      </c>
      <c r="AU660" t="n">
        <v/>
      </c>
    </row>
    <row r="661">
      <c r="A661" s="107" t="n">
        <v>26999</v>
      </c>
      <c r="B661" t="n">
        <v>32.749184319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55.484071199</v>
      </c>
      <c r="L661" t="n">
        <v/>
      </c>
      <c r="M661" t="n">
        <v/>
      </c>
      <c r="N661" t="n">
        <v>72.185897817</v>
      </c>
      <c r="O661" t="n">
        <v/>
      </c>
      <c r="P661" t="n">
        <v/>
      </c>
      <c r="Q661" t="n">
        <v>41.90613604</v>
      </c>
      <c r="R661" t="n">
        <v>73.181718014</v>
      </c>
      <c r="S661" t="n">
        <v>54.723860291</v>
      </c>
      <c r="T661" t="n">
        <v>64.957877756</v>
      </c>
      <c r="U661" t="n">
        <v/>
      </c>
      <c r="V661" t="n">
        <v>87.05041723799999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59.943443747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60.387670862</v>
      </c>
      <c r="AS661" t="n">
        <v/>
      </c>
      <c r="AT661" t="n">
        <v>45.547843047</v>
      </c>
      <c r="AU661" t="n">
        <v/>
      </c>
    </row>
    <row r="662">
      <c r="A662" s="107" t="n">
        <v>27030</v>
      </c>
      <c r="B662" t="n">
        <v>32.262029934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55.669223829</v>
      </c>
      <c r="L662" t="n">
        <v>59.40728641</v>
      </c>
      <c r="M662" t="n">
        <v/>
      </c>
      <c r="N662" t="n">
        <v>79.406318367</v>
      </c>
      <c r="O662" t="n">
        <v/>
      </c>
      <c r="P662" t="n">
        <v/>
      </c>
      <c r="Q662" t="n">
        <v>41.338955916</v>
      </c>
      <c r="R662" t="n">
        <v>76.35028532</v>
      </c>
      <c r="S662" t="n">
        <v>54.491013554</v>
      </c>
      <c r="T662" t="n">
        <v>60.333393081</v>
      </c>
      <c r="U662" t="n">
        <v/>
      </c>
      <c r="V662" t="n">
        <v>86.81772953700001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63.016868679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60.215298824</v>
      </c>
      <c r="AS662" t="n">
        <v/>
      </c>
      <c r="AT662" t="n">
        <v>45.245806382</v>
      </c>
      <c r="AU662" t="n">
        <v/>
      </c>
    </row>
    <row r="663">
      <c r="A663" s="107" t="n">
        <v>27061</v>
      </c>
      <c r="B663" t="n">
        <v>32.721342125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55.484071199</v>
      </c>
      <c r="L663" t="n">
        <v>59.40728641</v>
      </c>
      <c r="M663" t="n">
        <v/>
      </c>
      <c r="N663" t="n">
        <v>75.560377035</v>
      </c>
      <c r="O663" t="n">
        <v/>
      </c>
      <c r="P663" t="n">
        <v/>
      </c>
      <c r="Q663" t="n">
        <v>41.228127616</v>
      </c>
      <c r="R663" t="n">
        <v>76.654955257</v>
      </c>
      <c r="S663" t="n">
        <v>54.212132072</v>
      </c>
      <c r="T663" t="n">
        <v>60.333393081</v>
      </c>
      <c r="U663" t="n">
        <v/>
      </c>
      <c r="V663" t="n">
        <v>89.866198385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63.192251744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60.445128208</v>
      </c>
      <c r="AS663" t="n">
        <v/>
      </c>
      <c r="AT663" t="n">
        <v>45.112239938</v>
      </c>
      <c r="AU663" t="n">
        <v/>
      </c>
    </row>
    <row r="664">
      <c r="A664" s="107" t="n">
        <v>27089</v>
      </c>
      <c r="B664" t="n">
        <v>33.006847846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55.175483484</v>
      </c>
      <c r="L664" t="n">
        <v>60.032626267</v>
      </c>
      <c r="M664" t="n">
        <v/>
      </c>
      <c r="N664" t="n">
        <v>74.313530089</v>
      </c>
      <c r="O664" t="n">
        <v/>
      </c>
      <c r="P664" t="n">
        <v/>
      </c>
      <c r="Q664" t="n">
        <v>41.319397981</v>
      </c>
      <c r="R664" t="n">
        <v>75.070671608</v>
      </c>
      <c r="S664" t="n">
        <v>54.211044039</v>
      </c>
      <c r="T664" t="n">
        <v>62.37677003</v>
      </c>
      <c r="U664" t="n">
        <v/>
      </c>
      <c r="V664" t="n">
        <v>85.03027594300001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61.862999843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59.985469439</v>
      </c>
      <c r="AS664" t="n">
        <v/>
      </c>
      <c r="AT664" t="n">
        <v>45.112339097</v>
      </c>
      <c r="AU664" t="n">
        <v/>
      </c>
    </row>
    <row r="665">
      <c r="A665" s="107" t="n">
        <v>27120</v>
      </c>
      <c r="B665" t="n">
        <v>32.672059089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55.29891857</v>
      </c>
      <c r="L665" t="n">
        <v>57.531266839</v>
      </c>
      <c r="M665" t="n">
        <v/>
      </c>
      <c r="N665" t="n">
        <v>74.415529998</v>
      </c>
      <c r="O665" t="n">
        <v/>
      </c>
      <c r="P665" t="n">
        <v/>
      </c>
      <c r="Q665" t="n">
        <v>41.182492434</v>
      </c>
      <c r="R665" t="n">
        <v>76.289351336</v>
      </c>
      <c r="S665" t="n">
        <v>54.229823216</v>
      </c>
      <c r="T665" t="n">
        <v>65.603154687</v>
      </c>
      <c r="U665" t="n">
        <v/>
      </c>
      <c r="V665" t="n">
        <v>83.472024301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60.794133763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61.421903094</v>
      </c>
      <c r="AS665" t="n">
        <v/>
      </c>
      <c r="AT665" t="n">
        <v>44.980755822</v>
      </c>
      <c r="AU665" t="n">
        <v/>
      </c>
    </row>
    <row r="666">
      <c r="A666" s="107" t="n">
        <v>27150</v>
      </c>
      <c r="B666" t="n">
        <v>32.384493458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55.916094001</v>
      </c>
      <c r="L666" t="n">
        <v>56.280587125</v>
      </c>
      <c r="M666" t="n">
        <v/>
      </c>
      <c r="N666" t="n">
        <v>74.98494411900001</v>
      </c>
      <c r="O666" t="n">
        <v/>
      </c>
      <c r="P666" t="n">
        <v/>
      </c>
      <c r="Q666" t="n">
        <v>41.084702757</v>
      </c>
      <c r="R666" t="n">
        <v>77.325229114</v>
      </c>
      <c r="S666" t="n">
        <v>54.600250687</v>
      </c>
      <c r="T666" t="n">
        <v>66.355977774</v>
      </c>
      <c r="U666" t="n">
        <v/>
      </c>
      <c r="V666" t="n">
        <v>85.02237307599999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60.137426698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61.192073709</v>
      </c>
      <c r="AS666" t="n">
        <v/>
      </c>
      <c r="AT666" t="n">
        <v>45.339312809</v>
      </c>
      <c r="AU666" t="n">
        <v/>
      </c>
    </row>
    <row r="667">
      <c r="A667" s="107" t="n">
        <v>27181</v>
      </c>
      <c r="B667" t="n">
        <v>33.578615425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55.237201027</v>
      </c>
      <c r="L667" t="n">
        <v>55.029907411</v>
      </c>
      <c r="M667" t="n">
        <v/>
      </c>
      <c r="N667" t="n">
        <v>75.222467303</v>
      </c>
      <c r="O667" t="n">
        <v/>
      </c>
      <c r="P667" t="n">
        <v/>
      </c>
      <c r="Q667" t="n">
        <v>42.27773681</v>
      </c>
      <c r="R667" t="n">
        <v>75.9846814</v>
      </c>
      <c r="S667" t="n">
        <v>54.248365186</v>
      </c>
      <c r="T667" t="n">
        <v>66.67861623899999</v>
      </c>
      <c r="U667" t="n">
        <v/>
      </c>
      <c r="V667" t="n">
        <v>82.93224033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60.537261879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62.915794095</v>
      </c>
      <c r="AS667" t="n">
        <v/>
      </c>
      <c r="AT667" t="n">
        <v>45.25492896</v>
      </c>
      <c r="AU667" t="n">
        <v/>
      </c>
    </row>
    <row r="668">
      <c r="A668" s="107" t="n">
        <v>27211</v>
      </c>
      <c r="B668" t="n">
        <v>32.940418524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55.175483484</v>
      </c>
      <c r="L668" t="n">
        <v>55.029907411</v>
      </c>
      <c r="M668" t="n">
        <v/>
      </c>
      <c r="N668" t="n">
        <v>74.88966819300001</v>
      </c>
      <c r="O668" t="n">
        <v/>
      </c>
      <c r="P668" t="n">
        <v/>
      </c>
      <c r="Q668" t="n">
        <v>43.897785785</v>
      </c>
      <c r="R668" t="n">
        <v>78.11737093799999</v>
      </c>
      <c r="S668" t="n">
        <v>54.012789923</v>
      </c>
      <c r="T668" t="n">
        <v>66.463523929</v>
      </c>
      <c r="U668" t="n">
        <v/>
      </c>
      <c r="V668" t="n">
        <v>76.338302235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62.673129314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60.732414939</v>
      </c>
      <c r="AS668" t="n">
        <v/>
      </c>
      <c r="AT668" t="n">
        <v>45.334553203</v>
      </c>
      <c r="AU668" t="n">
        <v/>
      </c>
    </row>
    <row r="669">
      <c r="A669" s="107" t="n">
        <v>27242</v>
      </c>
      <c r="B669" t="n">
        <v>32.69728698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53.817697537</v>
      </c>
      <c r="L669" t="n">
        <v>53.779227697</v>
      </c>
      <c r="M669" t="n">
        <v/>
      </c>
      <c r="N669" t="n">
        <v>84.472944896</v>
      </c>
      <c r="O669" t="n">
        <v/>
      </c>
      <c r="P669" t="n">
        <v/>
      </c>
      <c r="Q669" t="n">
        <v>42.382045799</v>
      </c>
      <c r="R669" t="n">
        <v>78.11737093799999</v>
      </c>
      <c r="S669" t="n">
        <v>53.452970606</v>
      </c>
      <c r="T669" t="n">
        <v>66.67861623899999</v>
      </c>
      <c r="U669" t="n">
        <v/>
      </c>
      <c r="V669" t="n">
        <v>83.200872555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63.232519393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60.904786978</v>
      </c>
      <c r="AS669" t="n">
        <v/>
      </c>
      <c r="AT669" t="n">
        <v>44.855022897</v>
      </c>
      <c r="AU669" t="n">
        <v/>
      </c>
    </row>
    <row r="670">
      <c r="A670" s="107" t="n">
        <v>27273</v>
      </c>
      <c r="B670" t="n">
        <v>32.666377785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53.941132623</v>
      </c>
      <c r="L670" t="n">
        <v>53.779227697</v>
      </c>
      <c r="M670" t="n">
        <v/>
      </c>
      <c r="N670" t="n">
        <v>73.836822052</v>
      </c>
      <c r="O670" t="n">
        <v/>
      </c>
      <c r="P670" t="n">
        <v/>
      </c>
      <c r="Q670" t="n">
        <v>40.990172736</v>
      </c>
      <c r="R670" t="n">
        <v>74.461331735</v>
      </c>
      <c r="S670" t="n">
        <v>53.14412673</v>
      </c>
      <c r="T670" t="n">
        <v>65.49560853200001</v>
      </c>
      <c r="U670" t="n">
        <v/>
      </c>
      <c r="V670" t="n">
        <v>83.051828875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61.576404154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60.560042901</v>
      </c>
      <c r="AS670" t="n">
        <v/>
      </c>
      <c r="AT670" t="n">
        <v>44.861369038</v>
      </c>
      <c r="AU670" t="n">
        <v/>
      </c>
    </row>
    <row r="671">
      <c r="A671" s="107" t="n">
        <v>27303</v>
      </c>
      <c r="B671" t="n">
        <v>31.956295969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53.755979994</v>
      </c>
      <c r="L671" t="n">
        <v>51.903208127</v>
      </c>
      <c r="M671" t="n">
        <v/>
      </c>
      <c r="N671" t="n">
        <v>75.450957514</v>
      </c>
      <c r="O671" t="n">
        <v/>
      </c>
      <c r="P671" t="n">
        <v/>
      </c>
      <c r="Q671" t="n">
        <v>41.495419398</v>
      </c>
      <c r="R671" t="n">
        <v>74.58319971100001</v>
      </c>
      <c r="S671" t="n">
        <v>52.527168521</v>
      </c>
      <c r="T671" t="n">
        <v>64.097508514</v>
      </c>
      <c r="U671" t="n">
        <v/>
      </c>
      <c r="V671" t="n">
        <v>83.099137383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61.619860579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61.01970167</v>
      </c>
      <c r="AS671" t="n">
        <v/>
      </c>
      <c r="AT671" t="n">
        <v>44.721555611</v>
      </c>
      <c r="AU671" t="n">
        <v/>
      </c>
    </row>
    <row r="672">
      <c r="A672" s="107" t="n">
        <v>27334</v>
      </c>
      <c r="B672" t="n">
        <v>31.895184328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53.385674736</v>
      </c>
      <c r="L672" t="n">
        <v>52.528547984</v>
      </c>
      <c r="M672" t="n">
        <v/>
      </c>
      <c r="N672" t="n">
        <v>71.68624513</v>
      </c>
      <c r="O672" t="n">
        <v/>
      </c>
      <c r="P672" t="n">
        <v/>
      </c>
      <c r="Q672" t="n">
        <v>41.371552475</v>
      </c>
      <c r="R672" t="n">
        <v>71.658368349</v>
      </c>
      <c r="S672" t="n">
        <v>51.43717709</v>
      </c>
      <c r="T672" t="n">
        <v>63.989962359</v>
      </c>
      <c r="U672" t="n">
        <v/>
      </c>
      <c r="V672" t="n">
        <v>83.350580263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55.809628064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61.134616363</v>
      </c>
      <c r="AS672" t="n">
        <v/>
      </c>
      <c r="AT672" t="n">
        <v>43.248755024</v>
      </c>
      <c r="AU672" t="n">
        <v/>
      </c>
    </row>
    <row r="673">
      <c r="A673" s="107" t="n">
        <v>27364</v>
      </c>
      <c r="B673" t="n">
        <v>31.133765871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50.731820385</v>
      </c>
      <c r="L673" t="n">
        <v>50.027188556</v>
      </c>
      <c r="M673" t="n">
        <v/>
      </c>
      <c r="N673" t="n">
        <v>70.361212475</v>
      </c>
      <c r="O673" t="n">
        <v/>
      </c>
      <c r="P673" t="n">
        <v/>
      </c>
      <c r="Q673" t="n">
        <v>41.192271401</v>
      </c>
      <c r="R673" t="n">
        <v>70.43968861099999</v>
      </c>
      <c r="S673" t="n">
        <v>49.830581261</v>
      </c>
      <c r="T673" t="n">
        <v>62.914500807</v>
      </c>
      <c r="U673" t="n">
        <v/>
      </c>
      <c r="V673" t="n">
        <v>84.257352635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54.179470244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59.008694553</v>
      </c>
      <c r="AS673" t="n">
        <v/>
      </c>
      <c r="AT673" t="n">
        <v>41.701387276</v>
      </c>
      <c r="AU673" t="n">
        <v/>
      </c>
    </row>
    <row r="674">
      <c r="A674" s="107" t="n">
        <v>27395</v>
      </c>
      <c r="B674" t="n">
        <v>30.957075606</v>
      </c>
      <c r="C674" t="n">
        <v>47.655059178</v>
      </c>
      <c r="D674" t="n">
        <v>47.663655089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51.0404081</v>
      </c>
      <c r="L674" t="n">
        <v>51.903208127</v>
      </c>
      <c r="M674" t="n">
        <v/>
      </c>
      <c r="N674" t="n">
        <v>71.134273666</v>
      </c>
      <c r="O674" t="n">
        <v/>
      </c>
      <c r="P674" t="n">
        <v/>
      </c>
      <c r="Q674" t="n">
        <v>41.424314742</v>
      </c>
      <c r="R674" t="n">
        <v>69.647546787</v>
      </c>
      <c r="S674" t="n">
        <v>49.171989112</v>
      </c>
      <c r="T674" t="n">
        <v>63.559777738</v>
      </c>
      <c r="U674" t="n">
        <v/>
      </c>
      <c r="V674" t="n">
        <v>84.264965886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51.017055475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43.230879824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62.341220633</v>
      </c>
      <c r="AS674" t="n">
        <v/>
      </c>
      <c r="AT674" t="n">
        <v>41.125970741</v>
      </c>
      <c r="AU674" t="n">
        <v/>
      </c>
    </row>
    <row r="675">
      <c r="A675" s="107" t="n">
        <v>27426</v>
      </c>
      <c r="B675" t="n">
        <v>31.539261984</v>
      </c>
      <c r="C675" t="n">
        <v>46.842940572</v>
      </c>
      <c r="D675" t="n">
        <v>47.563725577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50.793537928</v>
      </c>
      <c r="L675" t="n">
        <v>51.903208127</v>
      </c>
      <c r="M675" t="n">
        <v/>
      </c>
      <c r="N675" t="n">
        <v>71.45725480199999</v>
      </c>
      <c r="O675" t="n">
        <v/>
      </c>
      <c r="P675" t="n">
        <v/>
      </c>
      <c r="Q675" t="n">
        <v>41.525720654</v>
      </c>
      <c r="R675" t="n">
        <v>69.403810843</v>
      </c>
      <c r="S675" t="n">
        <v>48.557956463</v>
      </c>
      <c r="T675" t="n">
        <v>63.022046962</v>
      </c>
      <c r="U675" t="n">
        <v/>
      </c>
      <c r="V675" t="n">
        <v>85.57506838400001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53.000123739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42.775766033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61.077159017</v>
      </c>
      <c r="AS675" t="n">
        <v/>
      </c>
      <c r="AT675" t="n">
        <v>40.187931721</v>
      </c>
      <c r="AU675" t="n">
        <v/>
      </c>
    </row>
    <row r="676">
      <c r="A676" s="107" t="n">
        <v>27454</v>
      </c>
      <c r="B676" t="n">
        <v>30.764188637</v>
      </c>
      <c r="C676" t="n">
        <v>47.518357183</v>
      </c>
      <c r="D676" t="n">
        <v>46.685859885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51.348995815</v>
      </c>
      <c r="L676" t="n">
        <v>48.151168985</v>
      </c>
      <c r="M676" t="n">
        <v/>
      </c>
      <c r="N676" t="n">
        <v>78.03572373</v>
      </c>
      <c r="O676" t="n">
        <v/>
      </c>
      <c r="P676" t="n">
        <v/>
      </c>
      <c r="Q676" t="n">
        <v>41.018691097</v>
      </c>
      <c r="R676" t="n">
        <v>68.36793306600001</v>
      </c>
      <c r="S676" t="n">
        <v>48.153684992</v>
      </c>
      <c r="T676" t="n">
        <v>61.839039254</v>
      </c>
      <c r="U676" t="n">
        <v/>
      </c>
      <c r="V676" t="n">
        <v>86.623168654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52.463063714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42.620715046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62.053933902</v>
      </c>
      <c r="AS676" t="n">
        <v/>
      </c>
      <c r="AT676" t="n">
        <v>39.742313608</v>
      </c>
      <c r="AU676" t="n">
        <v/>
      </c>
    </row>
    <row r="677">
      <c r="A677" s="107" t="n">
        <v>27485</v>
      </c>
      <c r="B677" t="n">
        <v>30.397898223</v>
      </c>
      <c r="C677" t="n">
        <v>43.360890895</v>
      </c>
      <c r="D677" t="n">
        <v>49.647931574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50.670102842</v>
      </c>
      <c r="L677" t="n">
        <v>52.528547984</v>
      </c>
      <c r="M677" t="n">
        <v/>
      </c>
      <c r="N677" t="n">
        <v>68.638099152</v>
      </c>
      <c r="O677" t="n">
        <v/>
      </c>
      <c r="P677" t="n">
        <v/>
      </c>
      <c r="Q677" t="n">
        <v>41.170799964</v>
      </c>
      <c r="R677" t="n">
        <v>68.550735026</v>
      </c>
      <c r="S677" t="n">
        <v>48.174631428</v>
      </c>
      <c r="T677" t="n">
        <v>60.763577702</v>
      </c>
      <c r="U677" t="n">
        <v/>
      </c>
      <c r="V677" t="n">
        <v>87.429658844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45.673829619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42.333128958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59.583268015</v>
      </c>
      <c r="AS677" t="n">
        <v/>
      </c>
      <c r="AT677" t="n">
        <v>39.814798441</v>
      </c>
      <c r="AU677" t="n">
        <v/>
      </c>
    </row>
    <row r="678">
      <c r="A678" s="107" t="n">
        <v>27515</v>
      </c>
      <c r="B678" t="n">
        <v>29.988355723</v>
      </c>
      <c r="C678" t="n">
        <v>45.238461194</v>
      </c>
      <c r="D678" t="n">
        <v>47.243907252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50.484950213</v>
      </c>
      <c r="L678" t="n">
        <v>51.27786827</v>
      </c>
      <c r="M678" t="n">
        <v/>
      </c>
      <c r="N678" t="n">
        <v>72.091650634</v>
      </c>
      <c r="O678" t="n">
        <v/>
      </c>
      <c r="P678" t="n">
        <v/>
      </c>
      <c r="Q678" t="n">
        <v>39.091978784</v>
      </c>
      <c r="R678" t="n">
        <v>66.600847457</v>
      </c>
      <c r="S678" t="n">
        <v>47.965876464</v>
      </c>
      <c r="T678" t="n">
        <v>59.90320846</v>
      </c>
      <c r="U678" t="n">
        <v/>
      </c>
      <c r="V678" t="n">
        <v>86.232071034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45.610077835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42.269965189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59.410895977</v>
      </c>
      <c r="AS678" t="n">
        <v/>
      </c>
      <c r="AT678" t="n">
        <v>39.7029477</v>
      </c>
      <c r="AU678" t="n">
        <v/>
      </c>
    </row>
    <row r="679">
      <c r="A679" s="107" t="n">
        <v>27546</v>
      </c>
      <c r="B679" t="n">
        <v>29.918387203</v>
      </c>
      <c r="C679" t="n">
        <v>45.184686707</v>
      </c>
      <c r="D679" t="n">
        <v>48.91152926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50.361515126</v>
      </c>
      <c r="L679" t="n">
        <v>51.27786827</v>
      </c>
      <c r="M679" t="n">
        <v/>
      </c>
      <c r="N679" t="n">
        <v>72.00283325300001</v>
      </c>
      <c r="O679" t="n">
        <v/>
      </c>
      <c r="P679" t="n">
        <v/>
      </c>
      <c r="Q679" t="n">
        <v>38.534246272</v>
      </c>
      <c r="R679" t="n">
        <v>68.246065098</v>
      </c>
      <c r="S679" t="n">
        <v>48.325304017</v>
      </c>
      <c r="T679" t="n">
        <v>60.333393081</v>
      </c>
      <c r="U679" t="n">
        <v/>
      </c>
      <c r="V679" t="n">
        <v>86.231512709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47.349654567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42.528526773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58.261749053</v>
      </c>
      <c r="AS679" t="n">
        <v/>
      </c>
      <c r="AT679" t="n">
        <v>39.959569791</v>
      </c>
      <c r="AU679" t="n">
        <v/>
      </c>
    </row>
    <row r="680">
      <c r="A680" s="107" t="n">
        <v>27576</v>
      </c>
      <c r="B680" t="n">
        <v>29.862392955</v>
      </c>
      <c r="C680" t="n">
        <v>45.692961089</v>
      </c>
      <c r="D680" t="n">
        <v>48.389623596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49.127164266</v>
      </c>
      <c r="L680" t="n">
        <v>53.15388784</v>
      </c>
      <c r="M680" t="n">
        <v>56.709000654</v>
      </c>
      <c r="N680" t="n">
        <v>71.51630399</v>
      </c>
      <c r="O680" t="n">
        <v/>
      </c>
      <c r="P680" t="n">
        <v/>
      </c>
      <c r="Q680" t="n">
        <v>41.880641343</v>
      </c>
      <c r="R680" t="n">
        <v>67.453923265</v>
      </c>
      <c r="S680" t="n">
        <v>48.31786651</v>
      </c>
      <c r="T680" t="n">
        <v>59.580569995</v>
      </c>
      <c r="U680" t="n">
        <v/>
      </c>
      <c r="V680" t="n">
        <v>86.86922273099999</v>
      </c>
      <c r="W680" t="n">
        <v/>
      </c>
      <c r="X680" t="n">
        <v/>
      </c>
      <c r="Y680" t="n">
        <v/>
      </c>
      <c r="Z680" t="n">
        <v>5.673300077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46.003533104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42.556682356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59.583268015</v>
      </c>
      <c r="AS680" t="n">
        <v/>
      </c>
      <c r="AT680" t="n">
        <v>40.366813581</v>
      </c>
      <c r="AU680" t="n">
        <v/>
      </c>
    </row>
    <row r="681">
      <c r="A681" s="107" t="n">
        <v>27607</v>
      </c>
      <c r="B681" t="n">
        <v>30.289648961</v>
      </c>
      <c r="C681" t="n">
        <v>45.056615474</v>
      </c>
      <c r="D681" t="n">
        <v>48.623834329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51.0404081</v>
      </c>
      <c r="L681" t="n">
        <v>51.27786827</v>
      </c>
      <c r="M681" t="n">
        <v>57.480616486</v>
      </c>
      <c r="N681" t="n">
        <v>76.724575922</v>
      </c>
      <c r="O681" t="n">
        <v/>
      </c>
      <c r="P681" t="n">
        <v/>
      </c>
      <c r="Q681" t="n">
        <v>39.345493562</v>
      </c>
      <c r="R681" t="n">
        <v>67.453923265</v>
      </c>
      <c r="S681" t="n">
        <v>48.744354556</v>
      </c>
      <c r="T681" t="n">
        <v>58.720200753</v>
      </c>
      <c r="U681" t="n">
        <v/>
      </c>
      <c r="V681" t="n">
        <v>89.187328374</v>
      </c>
      <c r="W681" t="n">
        <v/>
      </c>
      <c r="X681" t="n">
        <v/>
      </c>
      <c r="Y681" t="n">
        <v/>
      </c>
      <c r="Z681" t="n">
        <v>5.765548029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36.733988697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42.942271945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59.353438631</v>
      </c>
      <c r="AS681" t="n">
        <v/>
      </c>
      <c r="AT681" t="n">
        <v>40.76384405</v>
      </c>
      <c r="AU681" t="n">
        <v/>
      </c>
    </row>
    <row r="682">
      <c r="A682" s="107" t="n">
        <v>27638</v>
      </c>
      <c r="B682" t="n">
        <v>29.870487451</v>
      </c>
      <c r="C682" t="n">
        <v>45.99883523</v>
      </c>
      <c r="D682" t="n">
        <v>49.947109527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50.978690557</v>
      </c>
      <c r="L682" t="n">
        <v>52.528547984</v>
      </c>
      <c r="M682" t="n">
        <v>57.385355273</v>
      </c>
      <c r="N682" t="n">
        <v>72.65246655</v>
      </c>
      <c r="O682" t="n">
        <v/>
      </c>
      <c r="P682" t="n">
        <v/>
      </c>
      <c r="Q682" t="n">
        <v>37.824404893</v>
      </c>
      <c r="R682" t="n">
        <v>67.94139516200001</v>
      </c>
      <c r="S682" t="n">
        <v>49.105365936</v>
      </c>
      <c r="T682" t="n">
        <v>59.90320846</v>
      </c>
      <c r="U682" t="n">
        <v/>
      </c>
      <c r="V682" t="n">
        <v>88.23903539699999</v>
      </c>
      <c r="W682" t="n">
        <v/>
      </c>
      <c r="X682" t="n">
        <v/>
      </c>
      <c r="Y682" t="n">
        <v/>
      </c>
      <c r="Z682" t="n">
        <v>5.534926731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47.491973429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43.146159528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58.663950476</v>
      </c>
      <c r="AS682" t="n">
        <v/>
      </c>
      <c r="AT682" t="n">
        <v>41.287599028</v>
      </c>
      <c r="AU682" t="n">
        <v/>
      </c>
    </row>
    <row r="683">
      <c r="A683" s="107" t="n">
        <v>27668</v>
      </c>
      <c r="B683" t="n">
        <v>29.718183365</v>
      </c>
      <c r="C683" t="n">
        <v>45.870237573</v>
      </c>
      <c r="D683" t="n">
        <v>49.399941178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51.966171246</v>
      </c>
      <c r="L683" t="n">
        <v>54.404567554</v>
      </c>
      <c r="M683" t="n">
        <v>58.347493533</v>
      </c>
      <c r="N683" t="n">
        <v>72.79880837100001</v>
      </c>
      <c r="O683" t="n">
        <v/>
      </c>
      <c r="P683" t="n">
        <v/>
      </c>
      <c r="Q683" t="n">
        <v>38.33143445</v>
      </c>
      <c r="R683" t="n">
        <v>70.01315070699999</v>
      </c>
      <c r="S683" t="n">
        <v>49.567908758</v>
      </c>
      <c r="T683" t="n">
        <v>60.656031547</v>
      </c>
      <c r="U683" t="n">
        <v/>
      </c>
      <c r="V683" t="n">
        <v>86.76210555599999</v>
      </c>
      <c r="W683" t="n">
        <v/>
      </c>
      <c r="X683" t="n">
        <v/>
      </c>
      <c r="Y683" t="n">
        <v/>
      </c>
      <c r="Z683" t="n">
        <v>5.473427624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46.589023075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43.505834909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58.549035784</v>
      </c>
      <c r="AS683" t="n">
        <v/>
      </c>
      <c r="AT683" t="n">
        <v>41.465191828</v>
      </c>
      <c r="AU683" t="n">
        <v/>
      </c>
    </row>
    <row r="684">
      <c r="A684" s="107" t="n">
        <v>27699</v>
      </c>
      <c r="B684" t="n">
        <v>30.720485607</v>
      </c>
      <c r="C684" t="n">
        <v>47.22997819</v>
      </c>
      <c r="D684" t="n">
        <v>50.9896903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52.706781762</v>
      </c>
      <c r="L684" t="n">
        <v>55.029907411</v>
      </c>
      <c r="M684" t="n">
        <v>58.823799603</v>
      </c>
      <c r="N684" t="n">
        <v>72.11785606700001</v>
      </c>
      <c r="O684" t="n">
        <v/>
      </c>
      <c r="P684" t="n">
        <v/>
      </c>
      <c r="Q684" t="n">
        <v>39.59900834</v>
      </c>
      <c r="R684" t="n">
        <v>68.794470979</v>
      </c>
      <c r="S684" t="n">
        <v>49.661845694</v>
      </c>
      <c r="T684" t="n">
        <v>60.763577702</v>
      </c>
      <c r="U684" t="n">
        <v/>
      </c>
      <c r="V684" t="n">
        <v>90.572912105</v>
      </c>
      <c r="W684" t="n">
        <v/>
      </c>
      <c r="X684" t="n">
        <v/>
      </c>
      <c r="Y684" t="n">
        <v/>
      </c>
      <c r="Z684" t="n">
        <v>6.04229472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47.396504619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43.66219153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59.353438631</v>
      </c>
      <c r="AS684" t="n">
        <v/>
      </c>
      <c r="AT684" t="n">
        <v>41.523992794</v>
      </c>
      <c r="AU684" t="n">
        <v/>
      </c>
    </row>
    <row r="685">
      <c r="A685" s="107" t="n">
        <v>27729</v>
      </c>
      <c r="B685" t="n">
        <v>31.524741145</v>
      </c>
      <c r="C685" t="n">
        <v>46.954762042</v>
      </c>
      <c r="D685" t="n">
        <v>49.934277013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52.645064219</v>
      </c>
      <c r="L685" t="n">
        <v>55.655247268</v>
      </c>
      <c r="M685" t="n">
        <v>59.204844459</v>
      </c>
      <c r="N685" t="n">
        <v>73.06377786900001</v>
      </c>
      <c r="O685" t="n">
        <v/>
      </c>
      <c r="P685" t="n">
        <v/>
      </c>
      <c r="Q685" t="n">
        <v>38.584949228</v>
      </c>
      <c r="R685" t="n">
        <v>72.328642206</v>
      </c>
      <c r="S685" t="n">
        <v>50.285865738</v>
      </c>
      <c r="T685" t="n">
        <v>60.440939236</v>
      </c>
      <c r="U685" t="n">
        <v/>
      </c>
      <c r="V685" t="n">
        <v>90.28054995399999</v>
      </c>
      <c r="W685" t="n">
        <v/>
      </c>
      <c r="X685" t="n">
        <v/>
      </c>
      <c r="Y685" t="n">
        <v/>
      </c>
      <c r="Z685" t="n">
        <v>5.903921374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48.148885897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44.102314891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58.60649313</v>
      </c>
      <c r="AS685" t="n">
        <v/>
      </c>
      <c r="AT685" t="n">
        <v>42.091179178</v>
      </c>
      <c r="AU685" t="n">
        <v/>
      </c>
    </row>
    <row r="686">
      <c r="A686" s="107" t="n">
        <v>27760</v>
      </c>
      <c r="B686" t="n">
        <v>31.079677434</v>
      </c>
      <c r="C686" t="n">
        <v>47.660484222</v>
      </c>
      <c r="D686" t="n">
        <v>51.717261471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53.323957193</v>
      </c>
      <c r="L686" t="n">
        <v>54.404567554</v>
      </c>
      <c r="M686" t="n">
        <v>59.881199078</v>
      </c>
      <c r="N686" t="n">
        <v>71.577057368</v>
      </c>
      <c r="O686" t="n">
        <v/>
      </c>
      <c r="P686" t="n">
        <v/>
      </c>
      <c r="Q686" t="n">
        <v>39.649711296</v>
      </c>
      <c r="R686" t="n">
        <v>72.511444166</v>
      </c>
      <c r="S686" t="n">
        <v>50.981226173</v>
      </c>
      <c r="T686" t="n">
        <v>60.763577702</v>
      </c>
      <c r="U686" t="n">
        <v/>
      </c>
      <c r="V686" t="n">
        <v>92.831614407</v>
      </c>
      <c r="W686" t="n">
        <v/>
      </c>
      <c r="X686" t="n">
        <v/>
      </c>
      <c r="Y686" t="n">
        <v/>
      </c>
      <c r="Z686" t="n">
        <v>6.142231655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48.781667737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44.645137918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56.997687436</v>
      </c>
      <c r="AS686" t="n">
        <v/>
      </c>
      <c r="AT686" t="n">
        <v>42.652911846</v>
      </c>
      <c r="AU686" t="n">
        <v/>
      </c>
    </row>
    <row r="687">
      <c r="A687" s="107" t="n">
        <v>27791</v>
      </c>
      <c r="B687" t="n">
        <v>31.310558772</v>
      </c>
      <c r="C687" t="n">
        <v>48.723263922</v>
      </c>
      <c r="D687" t="n">
        <v>54.926422538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54.373155425</v>
      </c>
      <c r="L687" t="n">
        <v>56.905926982</v>
      </c>
      <c r="M687" t="n">
        <v>60.262243933</v>
      </c>
      <c r="N687" t="n">
        <v>70.98332551999999</v>
      </c>
      <c r="O687" t="n">
        <v/>
      </c>
      <c r="P687" t="n">
        <v/>
      </c>
      <c r="Q687" t="n">
        <v>39.396196518</v>
      </c>
      <c r="R687" t="n">
        <v>72.633312133</v>
      </c>
      <c r="S687" t="n">
        <v>51.610865662</v>
      </c>
      <c r="T687" t="n">
        <v>61.516400789</v>
      </c>
      <c r="U687" t="n">
        <v/>
      </c>
      <c r="V687" t="n">
        <v>88.484284722</v>
      </c>
      <c r="W687" t="n">
        <v/>
      </c>
      <c r="X687" t="n">
        <v/>
      </c>
      <c r="Y687" t="n">
        <v/>
      </c>
      <c r="Z687" t="n">
        <v>5.850109833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48.475350409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45.132517949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57.744632937</v>
      </c>
      <c r="AS687" t="n">
        <v/>
      </c>
      <c r="AT687" t="n">
        <v>43.085837677</v>
      </c>
      <c r="AU687" t="n">
        <v/>
      </c>
    </row>
    <row r="688">
      <c r="A688" s="107" t="n">
        <v>27820</v>
      </c>
      <c r="B688" t="n">
        <v>31.258651488</v>
      </c>
      <c r="C688" t="n">
        <v>48.251469063</v>
      </c>
      <c r="D688" t="n">
        <v>52.823345011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54.311437881</v>
      </c>
      <c r="L688" t="n">
        <v>56.280587125</v>
      </c>
      <c r="M688" t="n">
        <v>60.557553696</v>
      </c>
      <c r="N688" t="n">
        <v>73.791007959</v>
      </c>
      <c r="O688" t="n">
        <v/>
      </c>
      <c r="P688" t="n">
        <v/>
      </c>
      <c r="Q688" t="n">
        <v>39.548305384</v>
      </c>
      <c r="R688" t="n">
        <v>73.425453967</v>
      </c>
      <c r="S688" t="n">
        <v>51.842083813</v>
      </c>
      <c r="T688" t="n">
        <v>61.623946944</v>
      </c>
      <c r="U688" t="n">
        <v/>
      </c>
      <c r="V688" t="n">
        <v>93.847076765</v>
      </c>
      <c r="W688" t="n">
        <v/>
      </c>
      <c r="X688" t="n">
        <v/>
      </c>
      <c r="Y688" t="n">
        <v/>
      </c>
      <c r="Z688" t="n">
        <v>5.87317253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47.939509055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45.375290534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57.342431513</v>
      </c>
      <c r="AS688" t="n">
        <v/>
      </c>
      <c r="AT688" t="n">
        <v>43.169527416</v>
      </c>
      <c r="AU688" t="n">
        <v/>
      </c>
    </row>
    <row r="689">
      <c r="A689" s="107" t="n">
        <v>27851</v>
      </c>
      <c r="B689" t="n">
        <v>30.917537403</v>
      </c>
      <c r="C689" t="n">
        <v>49.889463963</v>
      </c>
      <c r="D689" t="n">
        <v>53.873356652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54.620025597</v>
      </c>
      <c r="L689" t="n">
        <v>57.531266839</v>
      </c>
      <c r="M689" t="n">
        <v>61.319643408</v>
      </c>
      <c r="N689" t="n">
        <v>75.288804693</v>
      </c>
      <c r="O689" t="n">
        <v/>
      </c>
      <c r="P689" t="n">
        <v/>
      </c>
      <c r="Q689" t="n">
        <v>39.446899473</v>
      </c>
      <c r="R689" t="n">
        <v>74.339463767</v>
      </c>
      <c r="S689" t="n">
        <v>52.34035048</v>
      </c>
      <c r="T689" t="n">
        <v>62.269223875</v>
      </c>
      <c r="U689" t="n">
        <v/>
      </c>
      <c r="V689" t="n">
        <v>94.96396789800001</v>
      </c>
      <c r="W689" t="n">
        <v/>
      </c>
      <c r="X689" t="n">
        <v/>
      </c>
      <c r="Y689" t="n">
        <v/>
      </c>
      <c r="Z689" t="n">
        <v>5.919296506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48.641904048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45.828578476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58.663950476</v>
      </c>
      <c r="AS689" t="n">
        <v/>
      </c>
      <c r="AT689" t="n">
        <v>43.391047412</v>
      </c>
      <c r="AU689" t="n">
        <v/>
      </c>
    </row>
    <row r="690">
      <c r="A690" s="107" t="n">
        <v>27881</v>
      </c>
      <c r="B690" t="n">
        <v>32.227337245</v>
      </c>
      <c r="C690" t="n">
        <v>48.968712758</v>
      </c>
      <c r="D690" t="n">
        <v>54.916757839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54.928613312</v>
      </c>
      <c r="L690" t="n">
        <v>60.032626267</v>
      </c>
      <c r="M690" t="n">
        <v>62.472304097</v>
      </c>
      <c r="N690" t="n">
        <v>76.312550848</v>
      </c>
      <c r="O690" t="n">
        <v/>
      </c>
      <c r="P690" t="n">
        <v/>
      </c>
      <c r="Q690" t="n">
        <v>40.613067452</v>
      </c>
      <c r="R690" t="n">
        <v>74.339463767</v>
      </c>
      <c r="S690" t="n">
        <v>52.814969044</v>
      </c>
      <c r="T690" t="n">
        <v>63.237139272</v>
      </c>
      <c r="U690" t="n">
        <v/>
      </c>
      <c r="V690" t="n">
        <v>95.646094138</v>
      </c>
      <c r="W690" t="n">
        <v/>
      </c>
      <c r="X690" t="n">
        <v/>
      </c>
      <c r="Y690" t="n">
        <v/>
      </c>
      <c r="Z690" t="n">
        <v>6.234479607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52.742697814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46.254944788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58.778865168</v>
      </c>
      <c r="AS690" t="n">
        <v/>
      </c>
      <c r="AT690" t="n">
        <v>43.56616125</v>
      </c>
      <c r="AU690" t="n">
        <v/>
      </c>
    </row>
    <row r="691">
      <c r="A691" s="107" t="n">
        <v>27912</v>
      </c>
      <c r="B691" t="n">
        <v>32.104949998</v>
      </c>
      <c r="C691" t="n">
        <v>50.177591376</v>
      </c>
      <c r="D691" t="n">
        <v>54.231275598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55.545788742</v>
      </c>
      <c r="L691" t="n">
        <v>58.156606696</v>
      </c>
      <c r="M691" t="n">
        <v>62.472304097</v>
      </c>
      <c r="N691" t="n">
        <v>76.753659431</v>
      </c>
      <c r="O691" t="n">
        <v/>
      </c>
      <c r="P691" t="n">
        <v/>
      </c>
      <c r="Q691" t="n">
        <v>40.106037896</v>
      </c>
      <c r="R691" t="n">
        <v>74.52226572799999</v>
      </c>
      <c r="S691" t="n">
        <v>52.978593405</v>
      </c>
      <c r="T691" t="n">
        <v>62.054131565</v>
      </c>
      <c r="U691" t="n">
        <v/>
      </c>
      <c r="V691" t="n">
        <v>97.51335401199999</v>
      </c>
      <c r="W691" t="n">
        <v/>
      </c>
      <c r="X691" t="n">
        <v/>
      </c>
      <c r="Y691" t="n">
        <v/>
      </c>
      <c r="Z691" t="n">
        <v>6.019232022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49.691047363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46.415735409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59.583268015</v>
      </c>
      <c r="AS691" t="n">
        <v/>
      </c>
      <c r="AT691" t="n">
        <v>43.621590829</v>
      </c>
      <c r="AU691" t="n">
        <v/>
      </c>
    </row>
    <row r="692">
      <c r="A692" s="107" t="n">
        <v>27942</v>
      </c>
      <c r="B692" t="n">
        <v>32.214934767</v>
      </c>
      <c r="C692" t="n">
        <v>49.940407121</v>
      </c>
      <c r="D692" t="n">
        <v>54.780074818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53.509109822</v>
      </c>
      <c r="L692" t="n">
        <v>58.156606696</v>
      </c>
      <c r="M692" t="n">
        <v>62.186520455</v>
      </c>
      <c r="N692" t="n">
        <v>77.347776227</v>
      </c>
      <c r="O692" t="n">
        <v/>
      </c>
      <c r="P692" t="n">
        <v/>
      </c>
      <c r="Q692" t="n">
        <v>38.939869917</v>
      </c>
      <c r="R692" t="n">
        <v>75.619077479</v>
      </c>
      <c r="S692" t="n">
        <v>53.006714748</v>
      </c>
      <c r="T692" t="n">
        <v>62.16167772</v>
      </c>
      <c r="U692" t="n">
        <v/>
      </c>
      <c r="V692" t="n">
        <v>96.906035358</v>
      </c>
      <c r="W692" t="n">
        <v/>
      </c>
      <c r="X692" t="n">
        <v/>
      </c>
      <c r="Y692" t="n">
        <v/>
      </c>
      <c r="Z692" t="n">
        <v>6.234479607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47.936808453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46.444352282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59.755640054</v>
      </c>
      <c r="AS692" t="n">
        <v/>
      </c>
      <c r="AT692" t="n">
        <v>43.853224988</v>
      </c>
      <c r="AU692" t="n">
        <v/>
      </c>
    </row>
    <row r="693">
      <c r="A693" s="107" t="n">
        <v>27973</v>
      </c>
      <c r="B693" t="n">
        <v>32.356850779</v>
      </c>
      <c r="C693" t="n">
        <v>49.621280106</v>
      </c>
      <c r="D693" t="n">
        <v>54.854224575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55.237201027</v>
      </c>
      <c r="L693" t="n">
        <v>58.156606696</v>
      </c>
      <c r="M693" t="n">
        <v>62.186520455</v>
      </c>
      <c r="N693" t="n">
        <v>78.16925003999999</v>
      </c>
      <c r="O693" t="n">
        <v/>
      </c>
      <c r="P693" t="n">
        <v/>
      </c>
      <c r="Q693" t="n">
        <v>40.207443807</v>
      </c>
      <c r="R693" t="n">
        <v>75.619077479</v>
      </c>
      <c r="S693" t="n">
        <v>53.248054887</v>
      </c>
      <c r="T693" t="n">
        <v>62.054131565</v>
      </c>
      <c r="U693" t="n">
        <v/>
      </c>
      <c r="V693" t="n">
        <v>96.83539989400001</v>
      </c>
      <c r="W693" t="n">
        <v/>
      </c>
      <c r="X693" t="n">
        <v/>
      </c>
      <c r="Y693" t="n">
        <v/>
      </c>
      <c r="Z693" t="n">
        <v>6.618849381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46.110048252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46.629053407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58.60649313</v>
      </c>
      <c r="AS693" t="n">
        <v/>
      </c>
      <c r="AT693" t="n">
        <v>44.161706953</v>
      </c>
      <c r="AU693" t="n">
        <v/>
      </c>
    </row>
    <row r="694">
      <c r="A694" s="107" t="n">
        <v>28004</v>
      </c>
      <c r="B694" t="n">
        <v>33.116473767</v>
      </c>
      <c r="C694" t="n">
        <v>50.728071655</v>
      </c>
      <c r="D694" t="n">
        <v>55.058063907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55.792658915</v>
      </c>
      <c r="L694" t="n">
        <v>58.156606696</v>
      </c>
      <c r="M694" t="n">
        <v>63.434442357</v>
      </c>
      <c r="N694" t="n">
        <v>77.02040429500001</v>
      </c>
      <c r="O694" t="n">
        <v/>
      </c>
      <c r="P694" t="n">
        <v/>
      </c>
      <c r="Q694" t="n">
        <v>41.018691097</v>
      </c>
      <c r="R694" t="n">
        <v>78.300172898</v>
      </c>
      <c r="S694" t="n">
        <v>53.736159325</v>
      </c>
      <c r="T694" t="n">
        <v>63.022046962</v>
      </c>
      <c r="U694" t="n">
        <v/>
      </c>
      <c r="V694" t="n">
        <v>97.813327152</v>
      </c>
      <c r="W694" t="n">
        <v/>
      </c>
      <c r="X694" t="n">
        <v/>
      </c>
      <c r="Y694" t="n">
        <v/>
      </c>
      <c r="Z694" t="n">
        <v>6.426664494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52.68698012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47.033720445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57.457346206</v>
      </c>
      <c r="AS694" t="n">
        <v/>
      </c>
      <c r="AT694" t="n">
        <v>44.30152038</v>
      </c>
      <c r="AU694" t="n">
        <v/>
      </c>
    </row>
    <row r="695">
      <c r="A695" s="107" t="n">
        <v>28034</v>
      </c>
      <c r="B695" t="n">
        <v>33.300073381</v>
      </c>
      <c r="C695" t="n">
        <v>51.078888482</v>
      </c>
      <c r="D695" t="n">
        <v>55.527326909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55.792658915</v>
      </c>
      <c r="L695" t="n">
        <v>58.156606696</v>
      </c>
      <c r="M695" t="n">
        <v>63.624964785</v>
      </c>
      <c r="N695" t="n">
        <v>77.57847045</v>
      </c>
      <c r="O695" t="n">
        <v/>
      </c>
      <c r="P695" t="n">
        <v/>
      </c>
      <c r="Q695" t="n">
        <v>41.069394053</v>
      </c>
      <c r="R695" t="n">
        <v>75.801879449</v>
      </c>
      <c r="S695" t="n">
        <v>53.796598377</v>
      </c>
      <c r="T695" t="n">
        <v>64.42014698</v>
      </c>
      <c r="U695" t="n">
        <v/>
      </c>
      <c r="V695" t="n">
        <v>99.51789777400001</v>
      </c>
      <c r="W695" t="n">
        <v/>
      </c>
      <c r="X695" t="n">
        <v/>
      </c>
      <c r="Y695" t="n">
        <v/>
      </c>
      <c r="Z695" t="n">
        <v>6.426664494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53.103298854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47.090000328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58.60649313</v>
      </c>
      <c r="AS695" t="n">
        <v/>
      </c>
      <c r="AT695" t="n">
        <v>44.293587703</v>
      </c>
      <c r="AU695" t="n">
        <v/>
      </c>
    </row>
    <row r="696">
      <c r="A696" s="107" t="n">
        <v>28065</v>
      </c>
      <c r="B696" t="n">
        <v>32.925219575</v>
      </c>
      <c r="C696" t="n">
        <v>50.856121079</v>
      </c>
      <c r="D696" t="n">
        <v>54.619469184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55.854376458</v>
      </c>
      <c r="L696" t="n">
        <v>58.156606696</v>
      </c>
      <c r="M696" t="n">
        <v>64.015535762</v>
      </c>
      <c r="N696" t="n">
        <v>78.353071013</v>
      </c>
      <c r="O696" t="n">
        <v/>
      </c>
      <c r="P696" t="n">
        <v/>
      </c>
      <c r="Q696" t="n">
        <v>40.055334941</v>
      </c>
      <c r="R696" t="n">
        <v>77.751767018</v>
      </c>
      <c r="S696" t="n">
        <v>54.450450737</v>
      </c>
      <c r="T696" t="n">
        <v>64.957877756</v>
      </c>
      <c r="U696" t="n">
        <v/>
      </c>
      <c r="V696" t="n">
        <v>100.809283142</v>
      </c>
      <c r="W696" t="n">
        <v/>
      </c>
      <c r="X696" t="n">
        <v/>
      </c>
      <c r="Y696" t="n">
        <v/>
      </c>
      <c r="Z696" t="n">
        <v>6.418976928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49.339383092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47.584657234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57.974462322</v>
      </c>
      <c r="AS696" t="n">
        <v/>
      </c>
      <c r="AT696" t="n">
        <v>44.972327353</v>
      </c>
      <c r="AU696" t="n">
        <v/>
      </c>
    </row>
    <row r="697">
      <c r="A697" s="107" t="n">
        <v>28095</v>
      </c>
      <c r="B697" t="n">
        <v>33.325245305</v>
      </c>
      <c r="C697" t="n">
        <v>49.1707701</v>
      </c>
      <c r="D697" t="n">
        <v>55.244367277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55.916094001</v>
      </c>
      <c r="L697" t="n">
        <v>58.156606696</v>
      </c>
      <c r="M697" t="n">
        <v>64.015535762</v>
      </c>
      <c r="N697" t="n">
        <v>76.141572451</v>
      </c>
      <c r="O697" t="n">
        <v/>
      </c>
      <c r="P697" t="n">
        <v/>
      </c>
      <c r="Q697" t="n">
        <v>41.576423609</v>
      </c>
      <c r="R697" t="n">
        <v>77.508031074</v>
      </c>
      <c r="S697" t="n">
        <v>54.777561281</v>
      </c>
      <c r="T697" t="n">
        <v>65.388062377</v>
      </c>
      <c r="U697" t="n">
        <v/>
      </c>
      <c r="V697" t="n">
        <v>99.94659281</v>
      </c>
      <c r="W697" t="n">
        <v/>
      </c>
      <c r="X697" t="n">
        <v/>
      </c>
      <c r="Y697" t="n">
        <v/>
      </c>
      <c r="Z697" t="n">
        <v>6.242167172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43.990814188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47.78510555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58.549035784</v>
      </c>
      <c r="AS697" t="n">
        <v/>
      </c>
      <c r="AT697" t="n">
        <v>45.449973649</v>
      </c>
      <c r="AU697" t="n">
        <v/>
      </c>
    </row>
    <row r="698">
      <c r="A698" s="107" t="n">
        <v>28126</v>
      </c>
      <c r="B698" t="n">
        <v>33.098004131</v>
      </c>
      <c r="C698" t="n">
        <v>50.165346598</v>
      </c>
      <c r="D698" t="n">
        <v>54.320178642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56.224681716</v>
      </c>
      <c r="L698" t="n">
        <v>60.032626267</v>
      </c>
      <c r="M698" t="n">
        <v>64.97767402300001</v>
      </c>
      <c r="N698" t="n">
        <v>79.199545297</v>
      </c>
      <c r="O698" t="n">
        <v/>
      </c>
      <c r="P698" t="n">
        <v/>
      </c>
      <c r="Q698" t="n">
        <v>41.576423609</v>
      </c>
      <c r="R698" t="n">
        <v>78.300172898</v>
      </c>
      <c r="S698" t="n">
        <v>55.042177876</v>
      </c>
      <c r="T698" t="n">
        <v>66.571070084</v>
      </c>
      <c r="U698" t="n">
        <v/>
      </c>
      <c r="V698" t="n">
        <v>98.675829053</v>
      </c>
      <c r="W698" t="n">
        <v/>
      </c>
      <c r="X698" t="n">
        <v/>
      </c>
      <c r="Y698" t="n">
        <v/>
      </c>
      <c r="Z698" t="n">
        <v>6.30366628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50.109508509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48.046217044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56.652943359</v>
      </c>
      <c r="AS698" t="n">
        <v/>
      </c>
      <c r="AT698" t="n">
        <v>45.144466437</v>
      </c>
      <c r="AU698" t="n">
        <v/>
      </c>
    </row>
    <row r="699">
      <c r="A699" s="107" t="n">
        <v>28157</v>
      </c>
      <c r="B699" t="n">
        <v>33.10919146</v>
      </c>
      <c r="C699" t="n">
        <v>50.002452113</v>
      </c>
      <c r="D699" t="n">
        <v>54.574216478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56.039529087</v>
      </c>
      <c r="L699" t="n">
        <v>59.40728641</v>
      </c>
      <c r="M699" t="n">
        <v>64.396580618</v>
      </c>
      <c r="N699" t="n">
        <v>80.632746205</v>
      </c>
      <c r="O699" t="n">
        <v/>
      </c>
      <c r="P699" t="n">
        <v/>
      </c>
      <c r="Q699" t="n">
        <v>42.134156121</v>
      </c>
      <c r="R699" t="n">
        <v>77.447097081</v>
      </c>
      <c r="S699" t="n">
        <v>55.002046658</v>
      </c>
      <c r="T699" t="n">
        <v>66.248431619</v>
      </c>
      <c r="U699" t="n">
        <v/>
      </c>
      <c r="V699" t="n">
        <v>97.24647919100001</v>
      </c>
      <c r="W699" t="n">
        <v/>
      </c>
      <c r="X699" t="n">
        <v/>
      </c>
      <c r="Y699" t="n">
        <v/>
      </c>
      <c r="Z699" t="n">
        <v>6.549662708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48.074950039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48.048842062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56.94023009</v>
      </c>
      <c r="AS699" t="n">
        <v/>
      </c>
      <c r="AT699" t="n">
        <v>45.86743076</v>
      </c>
      <c r="AU699" t="n">
        <v/>
      </c>
    </row>
    <row r="700">
      <c r="A700" s="107" t="n">
        <v>28185</v>
      </c>
      <c r="B700" t="n">
        <v>33.677219777</v>
      </c>
      <c r="C700" t="n">
        <v>50.156339428</v>
      </c>
      <c r="D700" t="n">
        <v>55.919600348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56.656704517</v>
      </c>
      <c r="L700" t="n">
        <v>58.156606696</v>
      </c>
      <c r="M700" t="n">
        <v>64.110796976</v>
      </c>
      <c r="N700" t="n">
        <v>80.557582395</v>
      </c>
      <c r="O700" t="n">
        <v/>
      </c>
      <c r="P700" t="n">
        <v/>
      </c>
      <c r="Q700" t="n">
        <v>37.063860559</v>
      </c>
      <c r="R700" t="n">
        <v>77.934568978</v>
      </c>
      <c r="S700" t="n">
        <v>55.355347485</v>
      </c>
      <c r="T700" t="n">
        <v>66.355977774</v>
      </c>
      <c r="U700" t="n">
        <v/>
      </c>
      <c r="V700" t="n">
        <v>94.366645902</v>
      </c>
      <c r="W700" t="n">
        <v/>
      </c>
      <c r="X700" t="n">
        <v/>
      </c>
      <c r="Y700" t="n">
        <v/>
      </c>
      <c r="Z700" t="n">
        <v>6.442039625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49.26391513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48.266349169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56.308199282</v>
      </c>
      <c r="AS700" t="n">
        <v/>
      </c>
      <c r="AT700" t="n">
        <v>46.441459077</v>
      </c>
      <c r="AU700" t="n">
        <v/>
      </c>
    </row>
    <row r="701">
      <c r="A701" s="107" t="n">
        <v>28216</v>
      </c>
      <c r="B701" t="n">
        <v>33.727255088</v>
      </c>
      <c r="C701" t="n">
        <v>49.542448738</v>
      </c>
      <c r="D701" t="n">
        <v>55.320484203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56.039529087</v>
      </c>
      <c r="L701" t="n">
        <v>55.029907411</v>
      </c>
      <c r="M701" t="n">
        <v>64.110796976</v>
      </c>
      <c r="N701" t="n">
        <v>80.821779995</v>
      </c>
      <c r="O701" t="n">
        <v/>
      </c>
      <c r="P701" t="n">
        <v/>
      </c>
      <c r="Q701" t="n">
        <v>37.672296026</v>
      </c>
      <c r="R701" t="n">
        <v>75.923747416</v>
      </c>
      <c r="S701" t="n">
        <v>55.512957481</v>
      </c>
      <c r="T701" t="n">
        <v>65.81824699800001</v>
      </c>
      <c r="U701" t="n">
        <v/>
      </c>
      <c r="V701" t="n">
        <v>94.500818935</v>
      </c>
      <c r="W701" t="n">
        <v/>
      </c>
      <c r="X701" t="n">
        <v/>
      </c>
      <c r="Y701" t="n">
        <v/>
      </c>
      <c r="Z701" t="n">
        <v>6.495851167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49.3414604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48.390466201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55.905997858</v>
      </c>
      <c r="AS701" t="n">
        <v/>
      </c>
      <c r="AT701" t="n">
        <v>46.891836796</v>
      </c>
      <c r="AU701" t="n">
        <v/>
      </c>
    </row>
    <row r="702">
      <c r="A702" s="107" t="n">
        <v>28246</v>
      </c>
      <c r="B702" t="n">
        <v>33.518530236</v>
      </c>
      <c r="C702" t="n">
        <v>49.557405781</v>
      </c>
      <c r="D702" t="n">
        <v>57.24740993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55.545788742</v>
      </c>
      <c r="L702" t="n">
        <v>56.280587125</v>
      </c>
      <c r="M702" t="n">
        <v>63.624964785</v>
      </c>
      <c r="N702" t="n">
        <v>79.572714834</v>
      </c>
      <c r="O702" t="n">
        <v/>
      </c>
      <c r="P702" t="n">
        <v/>
      </c>
      <c r="Q702" t="n">
        <v>39.801820163</v>
      </c>
      <c r="R702" t="n">
        <v>75.253473568</v>
      </c>
      <c r="S702" t="n">
        <v>55.511062323</v>
      </c>
      <c r="T702" t="n">
        <v>67.64653163600001</v>
      </c>
      <c r="U702" t="n">
        <v/>
      </c>
      <c r="V702" t="n">
        <v>95.733621132</v>
      </c>
      <c r="W702" t="n">
        <v/>
      </c>
      <c r="X702" t="n">
        <v/>
      </c>
      <c r="Y702" t="n">
        <v/>
      </c>
      <c r="Z702" t="n">
        <v>6.595788102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51.370013269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48.360165228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55.676168473</v>
      </c>
      <c r="AS702" t="n">
        <v/>
      </c>
      <c r="AT702" t="n">
        <v>47.25961552</v>
      </c>
      <c r="AU702" t="n">
        <v/>
      </c>
    </row>
    <row r="703">
      <c r="A703" s="107" t="n">
        <v>28277</v>
      </c>
      <c r="B703" t="n">
        <v>33.248631767</v>
      </c>
      <c r="C703" t="n">
        <v>49.365410573</v>
      </c>
      <c r="D703" t="n">
        <v>55.832163745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56.533269431</v>
      </c>
      <c r="L703" t="n">
        <v>58.156606696</v>
      </c>
      <c r="M703" t="n">
        <v>63.339181143</v>
      </c>
      <c r="N703" t="n">
        <v>78.53410613600001</v>
      </c>
      <c r="O703" t="n">
        <v/>
      </c>
      <c r="P703" t="n">
        <v/>
      </c>
      <c r="Q703" t="n">
        <v>41.322908831</v>
      </c>
      <c r="R703" t="n">
        <v>78.05643695400001</v>
      </c>
      <c r="S703" t="n">
        <v>55.673545784</v>
      </c>
      <c r="T703" t="n">
        <v>64.85033160099999</v>
      </c>
      <c r="U703" t="n">
        <v/>
      </c>
      <c r="V703" t="n">
        <v>98.429823971</v>
      </c>
      <c r="W703" t="n">
        <v/>
      </c>
      <c r="X703" t="n">
        <v/>
      </c>
      <c r="Y703" t="n">
        <v/>
      </c>
      <c r="Z703" t="n">
        <v>6.741847595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50.116410717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48.515555002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55.216509704</v>
      </c>
      <c r="AS703" t="n">
        <v/>
      </c>
      <c r="AT703" t="n">
        <v>47.615495228</v>
      </c>
      <c r="AU703" t="n">
        <v/>
      </c>
    </row>
    <row r="704">
      <c r="A704" s="107" t="n">
        <v>28307</v>
      </c>
      <c r="B704" t="n">
        <v>33.880866402</v>
      </c>
      <c r="C704" t="n">
        <v>50.150003991</v>
      </c>
      <c r="D704" t="n">
        <v>55.989326024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54.126285252</v>
      </c>
      <c r="L704" t="n">
        <v>57.531266839</v>
      </c>
      <c r="M704" t="n">
        <v>62.76761386</v>
      </c>
      <c r="N704" t="n">
        <v>79.65214012200001</v>
      </c>
      <c r="O704" t="n">
        <v/>
      </c>
      <c r="P704" t="n">
        <v/>
      </c>
      <c r="Q704" t="n">
        <v>38.635652183</v>
      </c>
      <c r="R704" t="n">
        <v>75.862813432</v>
      </c>
      <c r="S704" t="n">
        <v>55.223245637</v>
      </c>
      <c r="T704" t="n">
        <v>65.172970066</v>
      </c>
      <c r="U704" t="n">
        <v/>
      </c>
      <c r="V704" t="n">
        <v>100.261275723</v>
      </c>
      <c r="W704" t="n">
        <v/>
      </c>
      <c r="X704" t="n">
        <v/>
      </c>
      <c r="Y704" t="n">
        <v/>
      </c>
      <c r="Z704" t="n">
        <v>6.641912078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49.4751195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48.205655059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55.446339089</v>
      </c>
      <c r="AS704" t="n">
        <v/>
      </c>
      <c r="AT704" t="n">
        <v>47.677270948</v>
      </c>
      <c r="AU704" t="n">
        <v/>
      </c>
    </row>
    <row r="705">
      <c r="A705" s="107" t="n">
        <v>28338</v>
      </c>
      <c r="B705" t="n">
        <v>33.354631293</v>
      </c>
      <c r="C705" t="n">
        <v>50.715229271</v>
      </c>
      <c r="D705" t="n">
        <v>55.540714139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56.471551888</v>
      </c>
      <c r="L705" t="n">
        <v>61.283305981</v>
      </c>
      <c r="M705" t="n">
        <v>63.624964785</v>
      </c>
      <c r="N705" t="n">
        <v>80.34525733700001</v>
      </c>
      <c r="O705" t="n">
        <v/>
      </c>
      <c r="P705" t="n">
        <v/>
      </c>
      <c r="Q705" t="n">
        <v>40.663770408</v>
      </c>
      <c r="R705" t="n">
        <v>75.862813432</v>
      </c>
      <c r="S705" t="n">
        <v>55.797793007</v>
      </c>
      <c r="T705" t="n">
        <v>65.81824699800001</v>
      </c>
      <c r="U705" t="n">
        <v/>
      </c>
      <c r="V705" t="n">
        <v>99.164361738</v>
      </c>
      <c r="W705" t="n">
        <v/>
      </c>
      <c r="X705" t="n">
        <v/>
      </c>
      <c r="Y705" t="n">
        <v/>
      </c>
      <c r="Z705" t="n">
        <v>6.749535161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45.620880761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48.652061699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54.527021549</v>
      </c>
      <c r="AS705" t="n">
        <v/>
      </c>
      <c r="AT705" t="n">
        <v>47.726453543</v>
      </c>
      <c r="AU705" t="n">
        <v/>
      </c>
    </row>
    <row r="706">
      <c r="A706" s="107" t="n">
        <v>28369</v>
      </c>
      <c r="B706" t="n">
        <v>33.021889702</v>
      </c>
      <c r="C706" t="n">
        <v>48.971719239</v>
      </c>
      <c r="D706" t="n">
        <v>55.382948486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56.594986974</v>
      </c>
      <c r="L706" t="n">
        <v>60.032626267</v>
      </c>
      <c r="M706" t="n">
        <v>63.72975212</v>
      </c>
      <c r="N706" t="n">
        <v>80.05999394</v>
      </c>
      <c r="O706" t="n">
        <v/>
      </c>
      <c r="P706" t="n">
        <v/>
      </c>
      <c r="Q706" t="n">
        <v>41.982047254</v>
      </c>
      <c r="R706" t="n">
        <v>76.289351336</v>
      </c>
      <c r="S706" t="n">
        <v>55.927766359</v>
      </c>
      <c r="T706" t="n">
        <v>66.033339308</v>
      </c>
      <c r="U706" t="n">
        <v/>
      </c>
      <c r="V706" t="n">
        <v>101.41833983</v>
      </c>
      <c r="W706" t="n">
        <v/>
      </c>
      <c r="X706" t="n">
        <v/>
      </c>
      <c r="Y706" t="n">
        <v/>
      </c>
      <c r="Z706" t="n">
        <v>6.787972989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48.919479116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48.759917991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54.871765626</v>
      </c>
      <c r="AS706" t="n">
        <v/>
      </c>
      <c r="AT706" t="n">
        <v>47.924076351</v>
      </c>
      <c r="AU706" t="n">
        <v/>
      </c>
    </row>
    <row r="707">
      <c r="A707" s="107" t="n">
        <v>28399</v>
      </c>
      <c r="B707" t="n">
        <v>34.503475769</v>
      </c>
      <c r="C707" t="n">
        <v>49.423382045</v>
      </c>
      <c r="D707" t="n">
        <v>55.675621748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56.348116802</v>
      </c>
      <c r="L707" t="n">
        <v>58.156606696</v>
      </c>
      <c r="M707" t="n">
        <v>63.624964785</v>
      </c>
      <c r="N707" t="n">
        <v>80.314826514</v>
      </c>
      <c r="O707" t="n">
        <v/>
      </c>
      <c r="P707" t="n">
        <v/>
      </c>
      <c r="Q707" t="n">
        <v>41.779235432</v>
      </c>
      <c r="R707" t="n">
        <v>75.37534153599999</v>
      </c>
      <c r="S707" t="n">
        <v>55.858059612</v>
      </c>
      <c r="T707" t="n">
        <v>65.81824699800001</v>
      </c>
      <c r="U707" t="n">
        <v/>
      </c>
      <c r="V707" t="n">
        <v>101.937625978</v>
      </c>
      <c r="W707" t="n">
        <v/>
      </c>
      <c r="X707" t="n">
        <v/>
      </c>
      <c r="Y707" t="n">
        <v/>
      </c>
      <c r="Z707" t="n">
        <v>6.964782745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50.35505878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48.725717648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54.009905433</v>
      </c>
      <c r="AS707" t="n">
        <v/>
      </c>
      <c r="AT707" t="n">
        <v>47.994082223</v>
      </c>
      <c r="AU707" t="n">
        <v/>
      </c>
    </row>
    <row r="708">
      <c r="A708" s="107" t="n">
        <v>28430</v>
      </c>
      <c r="B708" t="n">
        <v>33.656449465</v>
      </c>
      <c r="C708" t="n">
        <v>50.160892491</v>
      </c>
      <c r="D708" t="n">
        <v>56.340607469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56.409834345</v>
      </c>
      <c r="L708" t="n">
        <v>57.531266839</v>
      </c>
      <c r="M708" t="n">
        <v>63.148658715</v>
      </c>
      <c r="N708" t="n">
        <v>78.212183604</v>
      </c>
      <c r="O708" t="n">
        <v/>
      </c>
      <c r="P708" t="n">
        <v/>
      </c>
      <c r="Q708" t="n">
        <v>41.373611787</v>
      </c>
      <c r="R708" t="n">
        <v>76.71588924</v>
      </c>
      <c r="S708" t="n">
        <v>55.998706019</v>
      </c>
      <c r="T708" t="n">
        <v>65.388062377</v>
      </c>
      <c r="U708" t="n">
        <v/>
      </c>
      <c r="V708" t="n">
        <v>99.649309942</v>
      </c>
      <c r="W708" t="n">
        <v/>
      </c>
      <c r="X708" t="n">
        <v/>
      </c>
      <c r="Y708" t="n">
        <v/>
      </c>
      <c r="Z708" t="n">
        <v>6.934032482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49.980297002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48.750811752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53.090587894</v>
      </c>
      <c r="AS708" t="n">
        <v/>
      </c>
      <c r="AT708" t="n">
        <v>48.084316421</v>
      </c>
      <c r="AU708" t="n">
        <v/>
      </c>
    </row>
    <row r="709">
      <c r="A709" s="107" t="n">
        <v>28460</v>
      </c>
      <c r="B709" t="n">
        <v>32.731428153</v>
      </c>
      <c r="C709" t="n">
        <v>49.457842385</v>
      </c>
      <c r="D709" t="n">
        <v>56.736121711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57.52075012</v>
      </c>
      <c r="L709" t="n">
        <v>59.40728641</v>
      </c>
      <c r="M709" t="n">
        <v>64.015535762</v>
      </c>
      <c r="N709" t="n">
        <v>81.014962987</v>
      </c>
      <c r="O709" t="n">
        <v/>
      </c>
      <c r="P709" t="n">
        <v/>
      </c>
      <c r="Q709" t="n">
        <v>40.460958586</v>
      </c>
      <c r="R709" t="n">
        <v>74.64413369499999</v>
      </c>
      <c r="S709" t="n">
        <v>56.374471947</v>
      </c>
      <c r="T709" t="n">
        <v>66.571070084</v>
      </c>
      <c r="U709" t="n">
        <v/>
      </c>
      <c r="V709" t="n">
        <v>102.2206366</v>
      </c>
      <c r="W709" t="n">
        <v/>
      </c>
      <c r="X709" t="n">
        <v/>
      </c>
      <c r="Y709" t="n">
        <v/>
      </c>
      <c r="Z709" t="n">
        <v>7.180030329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49.633640883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49.116150327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53.14804524</v>
      </c>
      <c r="AS709" t="n">
        <v/>
      </c>
      <c r="AT709" t="n">
        <v>48.155313877</v>
      </c>
      <c r="AU709" t="n">
        <v/>
      </c>
    </row>
    <row r="710">
      <c r="A710" s="107" t="n">
        <v>28491</v>
      </c>
      <c r="B710" t="n">
        <v>33.944216601</v>
      </c>
      <c r="C710" t="n">
        <v>49.209356552</v>
      </c>
      <c r="D710" t="n">
        <v>57.203533517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57.705902749</v>
      </c>
      <c r="L710" t="n">
        <v>61.283305981</v>
      </c>
      <c r="M710" t="n">
        <v>64.301319404</v>
      </c>
      <c r="N710" t="n">
        <v>81.842751327</v>
      </c>
      <c r="O710" t="n">
        <v/>
      </c>
      <c r="P710" t="n">
        <v/>
      </c>
      <c r="Q710" t="n">
        <v>41.373611787</v>
      </c>
      <c r="R710" t="n">
        <v>76.411219313</v>
      </c>
      <c r="S710" t="n">
        <v>56.185594228</v>
      </c>
      <c r="T710" t="n">
        <v>66.355977774</v>
      </c>
      <c r="U710" t="n">
        <v/>
      </c>
      <c r="V710" t="n">
        <v>97.942621174</v>
      </c>
      <c r="W710" t="n">
        <v/>
      </c>
      <c r="X710" t="n">
        <v/>
      </c>
      <c r="Y710" t="n">
        <v/>
      </c>
      <c r="Z710" t="n">
        <v>7.149280066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52.411454085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49.019784381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54.81430828</v>
      </c>
      <c r="AS710" t="n">
        <v/>
      </c>
      <c r="AT710" t="n">
        <v>47.466460065</v>
      </c>
      <c r="AU710" t="n">
        <v/>
      </c>
    </row>
    <row r="711">
      <c r="A711" s="107" t="n">
        <v>28522</v>
      </c>
      <c r="B711" t="n">
        <v>33.701361764</v>
      </c>
      <c r="C711" t="n">
        <v>49.194843264</v>
      </c>
      <c r="D711" t="n">
        <v>57.184451993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56.039529087</v>
      </c>
      <c r="L711" t="n">
        <v>57.531266839</v>
      </c>
      <c r="M711" t="n">
        <v>63.72975212</v>
      </c>
      <c r="N711" t="n">
        <v>81.552581868</v>
      </c>
      <c r="O711" t="n">
        <v/>
      </c>
      <c r="P711" t="n">
        <v/>
      </c>
      <c r="Q711" t="n">
        <v>42.286264988</v>
      </c>
      <c r="R711" t="n">
        <v>76.228417353</v>
      </c>
      <c r="S711" t="n">
        <v>56.014975752</v>
      </c>
      <c r="T711" t="n">
        <v>66.248431619</v>
      </c>
      <c r="U711" t="n">
        <v/>
      </c>
      <c r="V711" t="n">
        <v>105.381345907</v>
      </c>
      <c r="W711" t="n">
        <v/>
      </c>
      <c r="X711" t="n">
        <v/>
      </c>
      <c r="Y711" t="n">
        <v/>
      </c>
      <c r="Z711" t="n">
        <v>6.941720048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50.225441338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48.891655422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53.952448087</v>
      </c>
      <c r="AS711" t="n">
        <v/>
      </c>
      <c r="AT711" t="n">
        <v>47.723280473</v>
      </c>
      <c r="AU711" t="n">
        <v/>
      </c>
    </row>
    <row r="712">
      <c r="A712" s="107" t="n">
        <v>28550</v>
      </c>
      <c r="B712" t="n">
        <v>33.418102019</v>
      </c>
      <c r="C712" t="n">
        <v>50.37812397</v>
      </c>
      <c r="D712" t="n">
        <v>57.979500633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54.866895769</v>
      </c>
      <c r="L712" t="n">
        <v>53.15388784</v>
      </c>
      <c r="M712" t="n">
        <v>63.243919929</v>
      </c>
      <c r="N712" t="n">
        <v>82.03873219800001</v>
      </c>
      <c r="O712" t="n">
        <v/>
      </c>
      <c r="P712" t="n">
        <v/>
      </c>
      <c r="Q712" t="n">
        <v>41.880641343</v>
      </c>
      <c r="R712" t="n">
        <v>77.38616309699999</v>
      </c>
      <c r="S712" t="n">
        <v>56.454176867</v>
      </c>
      <c r="T712" t="n">
        <v>65.603154687</v>
      </c>
      <c r="U712" t="n">
        <v/>
      </c>
      <c r="V712" t="n">
        <v>105.982815551</v>
      </c>
      <c r="W712" t="n">
        <v/>
      </c>
      <c r="X712" t="n">
        <v/>
      </c>
      <c r="Y712" t="n">
        <v/>
      </c>
      <c r="Z712" t="n">
        <v>7.118531222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49.666812719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49.235257103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54.009905433</v>
      </c>
      <c r="AS712" t="n">
        <v/>
      </c>
      <c r="AT712" t="n">
        <v>48.642479385</v>
      </c>
      <c r="AU712" t="n">
        <v/>
      </c>
    </row>
    <row r="713">
      <c r="A713" s="107" t="n">
        <v>28581</v>
      </c>
      <c r="B713" t="n">
        <v>34.842221922</v>
      </c>
      <c r="C713" t="n">
        <v>49.729293038</v>
      </c>
      <c r="D713" t="n">
        <v>60.243331391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55.977811544</v>
      </c>
      <c r="L713" t="n">
        <v>63.784665409</v>
      </c>
      <c r="M713" t="n">
        <v>65.168196451</v>
      </c>
      <c r="N713" t="n">
        <v>79.578577248</v>
      </c>
      <c r="O713" t="n">
        <v/>
      </c>
      <c r="P713" t="n">
        <v/>
      </c>
      <c r="Q713" t="n">
        <v>41.880641343</v>
      </c>
      <c r="R713" t="n">
        <v>80.006324523</v>
      </c>
      <c r="S713" t="n">
        <v>57.766984018</v>
      </c>
      <c r="T713" t="n">
        <v>69.689908586</v>
      </c>
      <c r="U713" t="n">
        <v/>
      </c>
      <c r="V713" t="n">
        <v>106.467098033</v>
      </c>
      <c r="W713" t="n">
        <v/>
      </c>
      <c r="X713" t="n">
        <v/>
      </c>
      <c r="Y713" t="n">
        <v/>
      </c>
      <c r="Z713" t="n">
        <v>7.133904935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50.516750883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50.217241186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54.009905433</v>
      </c>
      <c r="AS713" t="n">
        <v/>
      </c>
      <c r="AT713" t="n">
        <v>49.605010543</v>
      </c>
      <c r="AU713" t="n">
        <v/>
      </c>
    </row>
    <row r="714">
      <c r="A714" s="107" t="n">
        <v>28611</v>
      </c>
      <c r="B714" t="n">
        <v>33.800479278</v>
      </c>
      <c r="C714" t="n">
        <v>50.937960487</v>
      </c>
      <c r="D714" t="n">
        <v>58.052007187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55.916094001</v>
      </c>
      <c r="L714" t="n">
        <v>60.657966124</v>
      </c>
      <c r="M714" t="n">
        <v>64.20605818999999</v>
      </c>
      <c r="N714" t="n">
        <v>80.644018922</v>
      </c>
      <c r="O714" t="n">
        <v/>
      </c>
      <c r="P714" t="n">
        <v/>
      </c>
      <c r="Q714" t="n">
        <v>42.083453165</v>
      </c>
      <c r="R714" t="n">
        <v>78.604842835</v>
      </c>
      <c r="S714" t="n">
        <v>57.534407622</v>
      </c>
      <c r="T714" t="n">
        <v>67.32389317099999</v>
      </c>
      <c r="U714" t="n">
        <v/>
      </c>
      <c r="V714" t="n">
        <v>104.104280284</v>
      </c>
      <c r="W714" t="n">
        <v/>
      </c>
      <c r="X714" t="n">
        <v/>
      </c>
      <c r="Y714" t="n">
        <v/>
      </c>
      <c r="Z714" t="n">
        <v>6.980157876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49.799055244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50.026686898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53.205502587</v>
      </c>
      <c r="AS714" t="n">
        <v/>
      </c>
      <c r="AT714" t="n">
        <v>49.848642876</v>
      </c>
      <c r="AU714" t="n">
        <v/>
      </c>
    </row>
    <row r="715">
      <c r="A715" s="107" t="n">
        <v>28642</v>
      </c>
      <c r="B715" t="n">
        <v>33.743341725</v>
      </c>
      <c r="C715" t="n">
        <v>49.308673021</v>
      </c>
      <c r="D715" t="n">
        <v>57.859338789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55.607506285</v>
      </c>
      <c r="L715" t="n">
        <v>60.032626267</v>
      </c>
      <c r="M715" t="n">
        <v>64.110796976</v>
      </c>
      <c r="N715" t="n">
        <v>81.462276828</v>
      </c>
      <c r="O715" t="n">
        <v/>
      </c>
      <c r="P715" t="n">
        <v/>
      </c>
      <c r="Q715" t="n">
        <v>41.475017698</v>
      </c>
      <c r="R715" t="n">
        <v>77.142427154</v>
      </c>
      <c r="S715" t="n">
        <v>57.738508952</v>
      </c>
      <c r="T715" t="n">
        <v>67.32389317099999</v>
      </c>
      <c r="U715" t="n">
        <v/>
      </c>
      <c r="V715" t="n">
        <v>104.390540203</v>
      </c>
      <c r="W715" t="n">
        <v/>
      </c>
      <c r="X715" t="n">
        <v/>
      </c>
      <c r="Y715" t="n">
        <v/>
      </c>
      <c r="Z715" t="n">
        <v>7.372215216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49.576538104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50.204203991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52.975673202</v>
      </c>
      <c r="AS715" t="n">
        <v/>
      </c>
      <c r="AT715" t="n">
        <v>50.16813143</v>
      </c>
      <c r="AU715" t="n">
        <v/>
      </c>
    </row>
    <row r="716">
      <c r="A716" s="107" t="n">
        <v>28672</v>
      </c>
      <c r="B716" t="n">
        <v>34.373015588</v>
      </c>
      <c r="C716" t="n">
        <v>51.047861925</v>
      </c>
      <c r="D716" t="n">
        <v>59.049593197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57.088727319</v>
      </c>
      <c r="L716" t="n">
        <v>59.40728641</v>
      </c>
      <c r="M716" t="n">
        <v>64.97767402300001</v>
      </c>
      <c r="N716" t="n">
        <v>81.03143549000001</v>
      </c>
      <c r="O716" t="n">
        <v/>
      </c>
      <c r="P716" t="n">
        <v/>
      </c>
      <c r="Q716" t="n">
        <v>38.686355139</v>
      </c>
      <c r="R716" t="n">
        <v>77.081493161</v>
      </c>
      <c r="S716" t="n">
        <v>58.149340515</v>
      </c>
      <c r="T716" t="n">
        <v>68.399354723</v>
      </c>
      <c r="U716" t="n">
        <v/>
      </c>
      <c r="V716" t="n">
        <v>105.999930101</v>
      </c>
      <c r="W716" t="n">
        <v/>
      </c>
      <c r="X716" t="n">
        <v/>
      </c>
      <c r="Y716" t="n">
        <v/>
      </c>
      <c r="Z716" t="n">
        <v>7.479838299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52.545804721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50.541998315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53.320417279</v>
      </c>
      <c r="AS716" t="n">
        <v/>
      </c>
      <c r="AT716" t="n">
        <v>50.124501708</v>
      </c>
      <c r="AU716" t="n">
        <v/>
      </c>
    </row>
    <row r="717">
      <c r="A717" s="107" t="n">
        <v>28703</v>
      </c>
      <c r="B717" t="n">
        <v>34.289139824</v>
      </c>
      <c r="C717" t="n">
        <v>51.091502292</v>
      </c>
      <c r="D717" t="n">
        <v>59.744977837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57.644185206</v>
      </c>
      <c r="L717" t="n">
        <v>60.657966124</v>
      </c>
      <c r="M717" t="n">
        <v>65.35871887899999</v>
      </c>
      <c r="N717" t="n">
        <v>81.660182432</v>
      </c>
      <c r="O717" t="n">
        <v/>
      </c>
      <c r="P717" t="n">
        <v/>
      </c>
      <c r="Q717" t="n">
        <v>42.590482722</v>
      </c>
      <c r="R717" t="n">
        <v>77.081493161</v>
      </c>
      <c r="S717" t="n">
        <v>58.509143623</v>
      </c>
      <c r="T717" t="n">
        <v>69.044631654</v>
      </c>
      <c r="U717" t="n">
        <v/>
      </c>
      <c r="V717" t="n">
        <v>105.795126696</v>
      </c>
      <c r="W717" t="n">
        <v/>
      </c>
      <c r="X717" t="n">
        <v/>
      </c>
      <c r="Y717" t="n">
        <v/>
      </c>
      <c r="Z717" t="n">
        <v>6.787972989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51.952544416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50.84236344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54.527021549</v>
      </c>
      <c r="AS717" t="n">
        <v/>
      </c>
      <c r="AT717" t="n">
        <v>50.335015116</v>
      </c>
      <c r="AU717" t="n">
        <v/>
      </c>
    </row>
    <row r="718">
      <c r="A718" s="107" t="n">
        <v>28734</v>
      </c>
      <c r="B718" t="n">
        <v>35.030885843</v>
      </c>
      <c r="C718" t="n">
        <v>51.905841545</v>
      </c>
      <c r="D718" t="n">
        <v>60.037586562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58.569948352</v>
      </c>
      <c r="L718" t="n">
        <v>60.657966124</v>
      </c>
      <c r="M718" t="n">
        <v>66.22559592499999</v>
      </c>
      <c r="N718" t="n">
        <v>83.627768269</v>
      </c>
      <c r="O718" t="n">
        <v/>
      </c>
      <c r="P718" t="n">
        <v/>
      </c>
      <c r="Q718" t="n">
        <v>43.452432967</v>
      </c>
      <c r="R718" t="n">
        <v>78.42204087499999</v>
      </c>
      <c r="S718" t="n">
        <v>58.957984063</v>
      </c>
      <c r="T718" t="n">
        <v>68.93708549900001</v>
      </c>
      <c r="U718" t="n">
        <v/>
      </c>
      <c r="V718" t="n">
        <v>106.540682</v>
      </c>
      <c r="W718" t="n">
        <v/>
      </c>
      <c r="X718" t="n">
        <v/>
      </c>
      <c r="Y718" t="n">
        <v/>
      </c>
      <c r="Z718" t="n">
        <v>7.40296406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51.608375293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51.265929526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55.216509704</v>
      </c>
      <c r="AS718" t="n">
        <v/>
      </c>
      <c r="AT718" t="n">
        <v>50.457376654</v>
      </c>
      <c r="AU718" t="n">
        <v/>
      </c>
    </row>
    <row r="719">
      <c r="A719" s="107" t="n">
        <v>28764</v>
      </c>
      <c r="B719" t="n">
        <v>34.853771577</v>
      </c>
      <c r="C719" t="n">
        <v>53.046637675</v>
      </c>
      <c r="D719" t="n">
        <v>60.613281038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57.582467663</v>
      </c>
      <c r="L719" t="n">
        <v>60.657966124</v>
      </c>
      <c r="M719" t="n">
        <v>66.035073498</v>
      </c>
      <c r="N719" t="n">
        <v>83.37242644299999</v>
      </c>
      <c r="O719" t="n">
        <v/>
      </c>
      <c r="P719" t="n">
        <v/>
      </c>
      <c r="Q719" t="n">
        <v>43.807353657</v>
      </c>
      <c r="R719" t="n">
        <v>79.579786619</v>
      </c>
      <c r="S719" t="n">
        <v>59.05740365</v>
      </c>
      <c r="T719" t="n">
        <v>67.538985481</v>
      </c>
      <c r="U719" t="n">
        <v/>
      </c>
      <c r="V719" t="n">
        <v>107.535589329</v>
      </c>
      <c r="W719" t="n">
        <v/>
      </c>
      <c r="X719" t="n">
        <v/>
      </c>
      <c r="Y719" t="n">
        <v/>
      </c>
      <c r="Z719" t="n">
        <v>7.349152519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51.609031156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51.369713874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55.618711127</v>
      </c>
      <c r="AS719" t="n">
        <v/>
      </c>
      <c r="AT719" t="n">
        <v>50.850539943</v>
      </c>
      <c r="AU719" t="n">
        <v/>
      </c>
    </row>
    <row r="720">
      <c r="A720" s="107" t="n">
        <v>28795</v>
      </c>
      <c r="B720" t="n">
        <v>34.850424597</v>
      </c>
      <c r="C720" t="n">
        <v>52.342484587</v>
      </c>
      <c r="D720" t="n">
        <v>60.345627172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58.014490464</v>
      </c>
      <c r="L720" t="n">
        <v>60.657966124</v>
      </c>
      <c r="M720" t="n">
        <v>66.320857139</v>
      </c>
      <c r="N720" t="n">
        <v>83.454854113</v>
      </c>
      <c r="O720" t="n">
        <v/>
      </c>
      <c r="P720" t="n">
        <v/>
      </c>
      <c r="Q720" t="n">
        <v>44.060868435</v>
      </c>
      <c r="R720" t="n">
        <v>80.067258516</v>
      </c>
      <c r="S720" t="n">
        <v>59.43125264</v>
      </c>
      <c r="T720" t="n">
        <v>67.96917010200001</v>
      </c>
      <c r="U720" t="n">
        <v/>
      </c>
      <c r="V720" t="n">
        <v>110.246264465</v>
      </c>
      <c r="W720" t="n">
        <v/>
      </c>
      <c r="X720" t="n">
        <v/>
      </c>
      <c r="Y720" t="n">
        <v/>
      </c>
      <c r="Z720" t="n">
        <v>7.602836513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51.11403309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51.691631623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55.905997858</v>
      </c>
      <c r="AS720" t="n">
        <v/>
      </c>
      <c r="AT720" t="n">
        <v>51.238844467</v>
      </c>
      <c r="AU720" t="n">
        <v/>
      </c>
    </row>
    <row r="721">
      <c r="A721" s="107" t="n">
        <v>28825</v>
      </c>
      <c r="B721" t="n">
        <v>35.608651098</v>
      </c>
      <c r="C721" t="n">
        <v>54.472892855</v>
      </c>
      <c r="D721" t="n">
        <v>61.958082622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59.866016756</v>
      </c>
      <c r="L721" t="n">
        <v>61.908645838</v>
      </c>
      <c r="M721" t="n">
        <v>68.340394875</v>
      </c>
      <c r="N721" t="n">
        <v>83.701675991</v>
      </c>
      <c r="O721" t="n">
        <v/>
      </c>
      <c r="P721" t="n">
        <v/>
      </c>
      <c r="Q721" t="n">
        <v>44.770709813</v>
      </c>
      <c r="R721" t="n">
        <v>80.250060476</v>
      </c>
      <c r="S721" t="n">
        <v>60.414844914</v>
      </c>
      <c r="T721" t="n">
        <v>70.120093207</v>
      </c>
      <c r="U721" t="n">
        <v/>
      </c>
      <c r="V721" t="n">
        <v>111.061239224</v>
      </c>
      <c r="W721" t="n">
        <v/>
      </c>
      <c r="X721" t="n">
        <v/>
      </c>
      <c r="Y721" t="n">
        <v/>
      </c>
      <c r="Z721" t="n">
        <v>7.572087668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51.448722048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52.506299951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55.791083166</v>
      </c>
      <c r="AS721" t="n">
        <v/>
      </c>
      <c r="AT721" t="n">
        <v>51.503300076</v>
      </c>
      <c r="AU721" t="n">
        <v/>
      </c>
    </row>
    <row r="722">
      <c r="A722" s="107" t="n">
        <v>28856</v>
      </c>
      <c r="B722" t="n">
        <v>35.589676363</v>
      </c>
      <c r="C722" t="n">
        <v>49.27786999</v>
      </c>
      <c r="D722" t="n">
        <v>62.49086098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58.261360636</v>
      </c>
      <c r="L722" t="n">
        <v>57.531266839</v>
      </c>
      <c r="M722" t="n">
        <v>65.73976373399999</v>
      </c>
      <c r="N722" t="n">
        <v>83.435571702</v>
      </c>
      <c r="O722" t="n">
        <v/>
      </c>
      <c r="P722" t="n">
        <v/>
      </c>
      <c r="Q722" t="n">
        <v>45.581957103</v>
      </c>
      <c r="R722" t="n">
        <v>79.396984659</v>
      </c>
      <c r="S722" t="n">
        <v>59.329257137</v>
      </c>
      <c r="T722" t="n">
        <v>65.280516222</v>
      </c>
      <c r="U722" t="n">
        <v/>
      </c>
      <c r="V722" t="n">
        <v>111.722032333</v>
      </c>
      <c r="W722" t="n">
        <v/>
      </c>
      <c r="X722" t="n">
        <v/>
      </c>
      <c r="Y722" t="n">
        <v/>
      </c>
      <c r="Z722" t="n">
        <v>7.464463167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50.222294342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51.579225038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55.331424396</v>
      </c>
      <c r="AS722" t="n">
        <v/>
      </c>
      <c r="AT722" t="n">
        <v>51.216038021</v>
      </c>
      <c r="AU722" t="n">
        <v/>
      </c>
    </row>
    <row r="723">
      <c r="A723" s="107" t="n">
        <v>28887</v>
      </c>
      <c r="B723" t="n">
        <v>35.505620262</v>
      </c>
      <c r="C723" t="n">
        <v>51.621735058</v>
      </c>
      <c r="D723" t="n">
        <v>62.233618894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58.076208007</v>
      </c>
      <c r="L723" t="n">
        <v>58.781946553</v>
      </c>
      <c r="M723" t="n">
        <v>66.606640781</v>
      </c>
      <c r="N723" t="n">
        <v>78.715363807</v>
      </c>
      <c r="O723" t="n">
        <v/>
      </c>
      <c r="P723" t="n">
        <v/>
      </c>
      <c r="Q723" t="n">
        <v>46.241095526</v>
      </c>
      <c r="R723" t="n">
        <v>79.579786619</v>
      </c>
      <c r="S723" t="n">
        <v>59.913530269</v>
      </c>
      <c r="T723" t="n">
        <v>70.120093207</v>
      </c>
      <c r="U723" t="n">
        <v/>
      </c>
      <c r="V723" t="n">
        <v>110.894016975</v>
      </c>
      <c r="W723" t="n">
        <v/>
      </c>
      <c r="X723" t="n">
        <v/>
      </c>
      <c r="Y723" t="n">
        <v/>
      </c>
      <c r="Z723" t="n">
        <v>7.564400103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53.666624802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51.939987309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55.905997858</v>
      </c>
      <c r="AS723" t="n">
        <v/>
      </c>
      <c r="AT723" t="n">
        <v>51.472858429</v>
      </c>
      <c r="AU723" t="n">
        <v/>
      </c>
    </row>
    <row r="724">
      <c r="A724" s="107" t="n">
        <v>28915</v>
      </c>
      <c r="B724" t="n">
        <v>35.930902749</v>
      </c>
      <c r="C724" t="n">
        <v>51.561763374</v>
      </c>
      <c r="D724" t="n">
        <v>61.541834945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58.32307818</v>
      </c>
      <c r="L724" t="n">
        <v>60.657966124</v>
      </c>
      <c r="M724" t="n">
        <v>67.2829954</v>
      </c>
      <c r="N724" t="n">
        <v>81.46030899</v>
      </c>
      <c r="O724" t="n">
        <v/>
      </c>
      <c r="P724" t="n">
        <v/>
      </c>
      <c r="Q724" t="n">
        <v>46.900233949</v>
      </c>
      <c r="R724" t="n">
        <v>80.67659838</v>
      </c>
      <c r="S724" t="n">
        <v>60.179862347</v>
      </c>
      <c r="T724" t="n">
        <v>70.980462448</v>
      </c>
      <c r="U724" t="n">
        <v/>
      </c>
      <c r="V724" t="n">
        <v>113.445954162</v>
      </c>
      <c r="W724" t="n">
        <v/>
      </c>
      <c r="X724" t="n">
        <v/>
      </c>
      <c r="Y724" t="n">
        <v/>
      </c>
      <c r="Z724" t="n">
        <v>7.802708966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53.707881534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52.268035286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55.963455204</v>
      </c>
      <c r="AS724" t="n">
        <v/>
      </c>
      <c r="AT724" t="n">
        <v>51.628537209</v>
      </c>
      <c r="AU724" t="n">
        <v/>
      </c>
    </row>
    <row r="725">
      <c r="A725" s="107" t="n">
        <v>28946</v>
      </c>
      <c r="B725" t="n">
        <v>36.050584157</v>
      </c>
      <c r="C725" t="n">
        <v>53.609448061</v>
      </c>
      <c r="D725" t="n">
        <v>63.537443212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59.680864127</v>
      </c>
      <c r="L725" t="n">
        <v>60.657966124</v>
      </c>
      <c r="M725" t="n">
        <v>67.66404025600001</v>
      </c>
      <c r="N725" t="n">
        <v>81.424143066</v>
      </c>
      <c r="O725" t="n">
        <v/>
      </c>
      <c r="P725" t="n">
        <v/>
      </c>
      <c r="Q725" t="n">
        <v>47.103045772</v>
      </c>
      <c r="R725" t="n">
        <v>79.27511668299999</v>
      </c>
      <c r="S725" t="n">
        <v>60.062657883</v>
      </c>
      <c r="T725" t="n">
        <v>70.980462448</v>
      </c>
      <c r="U725" t="n">
        <v/>
      </c>
      <c r="V725" t="n">
        <v>113.906911265</v>
      </c>
      <c r="W725" t="n">
        <v/>
      </c>
      <c r="X725" t="n">
        <v/>
      </c>
      <c r="Y725" t="n">
        <v/>
      </c>
      <c r="Z725" t="n">
        <v>7.833459228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52.899885309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52.236001932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57.227516821</v>
      </c>
      <c r="AS725" t="n">
        <v/>
      </c>
      <c r="AT725" t="n">
        <v>51.021786601</v>
      </c>
      <c r="AU725" t="n">
        <v/>
      </c>
    </row>
    <row r="726">
      <c r="A726" s="107" t="n">
        <v>28976</v>
      </c>
      <c r="B726" t="n">
        <v>36.058364564</v>
      </c>
      <c r="C726" t="n">
        <v>53.00600035</v>
      </c>
      <c r="D726" t="n">
        <v>62.641355598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59.55742904</v>
      </c>
      <c r="L726" t="n">
        <v>62.533985695</v>
      </c>
      <c r="M726" t="n">
        <v>67.94982389800001</v>
      </c>
      <c r="N726" t="n">
        <v>83.184947476</v>
      </c>
      <c r="O726" t="n">
        <v/>
      </c>
      <c r="P726" t="n">
        <v/>
      </c>
      <c r="Q726" t="n">
        <v>46.748125083</v>
      </c>
      <c r="R726" t="n">
        <v>81.59060818099999</v>
      </c>
      <c r="S726" t="n">
        <v>60.601056234</v>
      </c>
      <c r="T726" t="n">
        <v>72.05592400099999</v>
      </c>
      <c r="U726" t="n">
        <v/>
      </c>
      <c r="V726" t="n">
        <v>115.090559606</v>
      </c>
      <c r="W726" t="n">
        <v/>
      </c>
      <c r="X726" t="n">
        <v/>
      </c>
      <c r="Y726" t="n">
        <v/>
      </c>
      <c r="Z726" t="n">
        <v>7.679710751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51.554155887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52.67934619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57.802090283</v>
      </c>
      <c r="AS726" t="n">
        <v/>
      </c>
      <c r="AT726" t="n">
        <v>51.469288725</v>
      </c>
      <c r="AU726" t="n">
        <v/>
      </c>
    </row>
    <row r="727">
      <c r="A727" s="107" t="n">
        <v>29007</v>
      </c>
      <c r="B727" t="n">
        <v>37.108927737</v>
      </c>
      <c r="C727" t="n">
        <v>54.988917191</v>
      </c>
      <c r="D727" t="n">
        <v>63.05397542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60.730062358</v>
      </c>
      <c r="L727" t="n">
        <v>61.908645838</v>
      </c>
      <c r="M727" t="n">
        <v>68.72143973</v>
      </c>
      <c r="N727" t="n">
        <v>84.212664393</v>
      </c>
      <c r="O727" t="n">
        <v/>
      </c>
      <c r="P727" t="n">
        <v/>
      </c>
      <c r="Q727" t="n">
        <v>46.798828038</v>
      </c>
      <c r="R727" t="n">
        <v>82.199948045</v>
      </c>
      <c r="S727" t="n">
        <v>60.88238041</v>
      </c>
      <c r="T727" t="n">
        <v>73.238931708</v>
      </c>
      <c r="U727" t="n">
        <v/>
      </c>
      <c r="V727" t="n">
        <v>113.882840368</v>
      </c>
      <c r="W727" t="n">
        <v/>
      </c>
      <c r="X727" t="n">
        <v/>
      </c>
      <c r="Y727" t="n">
        <v/>
      </c>
      <c r="Z727" t="n">
        <v>7.641274341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53.194730598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52.943154132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59.123609246</v>
      </c>
      <c r="AS727" t="n">
        <v/>
      </c>
      <c r="AT727" t="n">
        <v>51.469883676</v>
      </c>
      <c r="AU727" t="n">
        <v/>
      </c>
    </row>
    <row r="728">
      <c r="A728" s="107" t="n">
        <v>29037</v>
      </c>
      <c r="B728" t="n">
        <v>37.477523325</v>
      </c>
      <c r="C728" t="n">
        <v>54.086657123</v>
      </c>
      <c r="D728" t="n">
        <v>62.440487916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61.038650074</v>
      </c>
      <c r="L728" t="n">
        <v>64.410005265</v>
      </c>
      <c r="M728" t="n">
        <v>68.72143973</v>
      </c>
      <c r="N728" t="n">
        <v>83.74008242399999</v>
      </c>
      <c r="O728" t="n">
        <v/>
      </c>
      <c r="P728" t="n">
        <v/>
      </c>
      <c r="Q728" t="n">
        <v>47.762184195</v>
      </c>
      <c r="R728" t="n">
        <v>84.027967647</v>
      </c>
      <c r="S728" t="n">
        <v>60.983760597</v>
      </c>
      <c r="T728" t="n">
        <v>72.37856246600001</v>
      </c>
      <c r="U728" t="n">
        <v/>
      </c>
      <c r="V728" t="n">
        <v>111.629496313</v>
      </c>
      <c r="W728" t="n">
        <v/>
      </c>
      <c r="X728" t="n">
        <v/>
      </c>
      <c r="Y728" t="n">
        <v/>
      </c>
      <c r="Z728" t="n">
        <v>7.764272555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51.144034765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53.004190522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58.031919668</v>
      </c>
      <c r="AS728" t="n">
        <v/>
      </c>
      <c r="AT728" t="n">
        <v>51.389664482</v>
      </c>
      <c r="AU728" t="n">
        <v/>
      </c>
    </row>
    <row r="729">
      <c r="A729" s="107" t="n">
        <v>29068</v>
      </c>
      <c r="B729" t="n">
        <v>37.540769657</v>
      </c>
      <c r="C729" t="n">
        <v>54.339740965</v>
      </c>
      <c r="D729" t="n">
        <v>63.85712572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60.174604471</v>
      </c>
      <c r="L729" t="n">
        <v>62.533985695</v>
      </c>
      <c r="M729" t="n">
        <v>69.112010708</v>
      </c>
      <c r="N729" t="n">
        <v>84.59579442099999</v>
      </c>
      <c r="O729" t="n">
        <v/>
      </c>
      <c r="P729" t="n">
        <v/>
      </c>
      <c r="Q729" t="n">
        <v>47.204451683</v>
      </c>
      <c r="R729" t="n">
        <v>84.027967647</v>
      </c>
      <c r="S729" t="n">
        <v>61.064436457</v>
      </c>
      <c r="T729" t="n">
        <v>69.797454741</v>
      </c>
      <c r="U729" t="n">
        <v/>
      </c>
      <c r="V729" t="n">
        <v>113.443414651</v>
      </c>
      <c r="W729" t="n">
        <v/>
      </c>
      <c r="X729" t="n">
        <v/>
      </c>
      <c r="Y729" t="n">
        <v/>
      </c>
      <c r="Z729" t="n">
        <v>7.810396531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52.039700911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53.124329034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59.525810669</v>
      </c>
      <c r="AS729" t="n">
        <v/>
      </c>
      <c r="AT729" t="n">
        <v>51.056690378</v>
      </c>
      <c r="AU729" t="n">
        <v/>
      </c>
    </row>
    <row r="730">
      <c r="A730" s="107" t="n">
        <v>29099</v>
      </c>
      <c r="B730" t="n">
        <v>37.904339687</v>
      </c>
      <c r="C730" t="n">
        <v>55.076727749</v>
      </c>
      <c r="D730" t="n">
        <v>62.649120787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60.298039557</v>
      </c>
      <c r="L730" t="n">
        <v>62.533985695</v>
      </c>
      <c r="M730" t="n">
        <v>69.207271921</v>
      </c>
      <c r="N730" t="n">
        <v>83.34415793700001</v>
      </c>
      <c r="O730" t="n">
        <v/>
      </c>
      <c r="P730" t="n">
        <v/>
      </c>
      <c r="Q730" t="n">
        <v>46.950936905</v>
      </c>
      <c r="R730" t="n">
        <v>82.80928790999999</v>
      </c>
      <c r="S730" t="n">
        <v>60.893804493</v>
      </c>
      <c r="T730" t="n">
        <v>69.58236243100001</v>
      </c>
      <c r="U730" t="n">
        <v/>
      </c>
      <c r="V730" t="n">
        <v>111.842897129</v>
      </c>
      <c r="W730" t="n">
        <v/>
      </c>
      <c r="X730" t="n">
        <v/>
      </c>
      <c r="Y730" t="n">
        <v/>
      </c>
      <c r="Z730" t="n">
        <v>8.110204501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54.244634741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53.00694385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60.042926785</v>
      </c>
      <c r="AS730" t="n">
        <v/>
      </c>
      <c r="AT730" t="n">
        <v>51.05143498</v>
      </c>
      <c r="AU730" t="n">
        <v/>
      </c>
    </row>
    <row r="731">
      <c r="A731" s="107" t="n">
        <v>29129</v>
      </c>
      <c r="B731" t="n">
        <v>37.195641216</v>
      </c>
      <c r="C731" t="n">
        <v>53.939385012</v>
      </c>
      <c r="D731" t="n">
        <v>64.886681948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59.619146584</v>
      </c>
      <c r="L731" t="n">
        <v>65.660684979</v>
      </c>
      <c r="M731" t="n">
        <v>68.626178517</v>
      </c>
      <c r="N731" t="n">
        <v>82.531262215</v>
      </c>
      <c r="O731" t="n">
        <v/>
      </c>
      <c r="P731" t="n">
        <v/>
      </c>
      <c r="Q731" t="n">
        <v>47.407263506</v>
      </c>
      <c r="R731" t="n">
        <v>82.078080078</v>
      </c>
      <c r="S731" t="n">
        <v>61.133237978</v>
      </c>
      <c r="T731" t="n">
        <v>69.797454741</v>
      </c>
      <c r="U731" t="n">
        <v/>
      </c>
      <c r="V731" t="n">
        <v>114.341843265</v>
      </c>
      <c r="W731" t="n">
        <v/>
      </c>
      <c r="X731" t="n">
        <v/>
      </c>
      <c r="Y731" t="n">
        <v/>
      </c>
      <c r="Z731" t="n">
        <v>8.002581418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50.9508957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53.133525484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58.60649313</v>
      </c>
      <c r="AS731" t="n">
        <v/>
      </c>
      <c r="AT731" t="n">
        <v>51.405827311</v>
      </c>
      <c r="AU731" t="n">
        <v/>
      </c>
    </row>
    <row r="732">
      <c r="A732" s="107" t="n">
        <v>29160</v>
      </c>
      <c r="B732" t="n">
        <v>37.023564387</v>
      </c>
      <c r="C732" t="n">
        <v>53.827864588</v>
      </c>
      <c r="D732" t="n">
        <v>64.188276931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61.16208516</v>
      </c>
      <c r="L732" t="n">
        <v>65.660684979</v>
      </c>
      <c r="M732" t="n">
        <v>69.39779434899999</v>
      </c>
      <c r="N732" t="n">
        <v>82.244180348</v>
      </c>
      <c r="O732" t="n">
        <v/>
      </c>
      <c r="P732" t="n">
        <v/>
      </c>
      <c r="Q732" t="n">
        <v>48.573431485</v>
      </c>
      <c r="R732" t="n">
        <v>82.44368398899999</v>
      </c>
      <c r="S732" t="n">
        <v>61.549927011</v>
      </c>
      <c r="T732" t="n">
        <v>70.76537013799999</v>
      </c>
      <c r="U732" t="n">
        <v/>
      </c>
      <c r="V732" t="n">
        <v>108.085504793</v>
      </c>
      <c r="W732" t="n">
        <v/>
      </c>
      <c r="X732" t="n">
        <v/>
      </c>
      <c r="Y732" t="n">
        <v/>
      </c>
      <c r="Z732" t="n">
        <v>8.041017827999999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52.926763816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53.447165823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59.066151899</v>
      </c>
      <c r="AS732" t="n">
        <v/>
      </c>
      <c r="AT732" t="n">
        <v>51.323525791</v>
      </c>
      <c r="AU732" t="n">
        <v/>
      </c>
    </row>
    <row r="733">
      <c r="A733" s="107" t="n">
        <v>29190</v>
      </c>
      <c r="B733" t="n">
        <v>40.057977618</v>
      </c>
      <c r="C733" t="n">
        <v>55.835073108</v>
      </c>
      <c r="D733" t="n">
        <v>65.43077805999999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62.087848305</v>
      </c>
      <c r="L733" t="n">
        <v>65.035345122</v>
      </c>
      <c r="M733" t="n">
        <v>70.16941018199999</v>
      </c>
      <c r="N733" t="n">
        <v>80.70024617200001</v>
      </c>
      <c r="O733" t="n">
        <v/>
      </c>
      <c r="P733" t="n">
        <v/>
      </c>
      <c r="Q733" t="n">
        <v>48.218510796</v>
      </c>
      <c r="R733" t="n">
        <v>82.32181602199999</v>
      </c>
      <c r="S733" t="n">
        <v>61.814214511</v>
      </c>
      <c r="T733" t="n">
        <v>71.195554759</v>
      </c>
      <c r="U733" t="n">
        <v/>
      </c>
      <c r="V733" t="n">
        <v>112.68757723</v>
      </c>
      <c r="W733" t="n">
        <v/>
      </c>
      <c r="X733" t="n">
        <v/>
      </c>
      <c r="Y733" t="n">
        <v/>
      </c>
      <c r="Z733" t="n">
        <v>7.733522293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55.3264468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53.658032406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60.732414939</v>
      </c>
      <c r="AS733" t="n">
        <v/>
      </c>
      <c r="AT733" t="n">
        <v>51.36150348</v>
      </c>
      <c r="AU733" t="n">
        <v/>
      </c>
    </row>
    <row r="734">
      <c r="A734" s="107" t="n">
        <v>29221</v>
      </c>
      <c r="B734" t="n">
        <v>37.969392142</v>
      </c>
      <c r="C734" t="n">
        <v>55.372013703</v>
      </c>
      <c r="D734" t="n">
        <v>66.433760193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61.717543047</v>
      </c>
      <c r="L734" t="n">
        <v>64.410005265</v>
      </c>
      <c r="M734" t="n">
        <v>68.16727016599999</v>
      </c>
      <c r="N734" t="n">
        <v>83.39433731699999</v>
      </c>
      <c r="O734" t="n">
        <v/>
      </c>
      <c r="P734" t="n">
        <v/>
      </c>
      <c r="Q734" t="n">
        <v>49.587490597</v>
      </c>
      <c r="R734" t="n">
        <v>81.834486304</v>
      </c>
      <c r="S734" t="n">
        <v>61.899440271</v>
      </c>
      <c r="T734" t="n">
        <v>70.76537013799999</v>
      </c>
      <c r="U734" t="n">
        <v/>
      </c>
      <c r="V734" t="n">
        <v>112.947607443</v>
      </c>
      <c r="W734" t="n">
        <v/>
      </c>
      <c r="X734" t="n">
        <v/>
      </c>
      <c r="Y734" t="n">
        <v/>
      </c>
      <c r="Z734" t="n">
        <v>7.872166461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54.513305259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53.803603822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60.042926785</v>
      </c>
      <c r="AS734" t="n">
        <v/>
      </c>
      <c r="AT734" t="n">
        <v>51.629528794</v>
      </c>
      <c r="AU734" t="n">
        <v/>
      </c>
    </row>
    <row r="735">
      <c r="A735" s="107" t="n">
        <v>29252</v>
      </c>
      <c r="B735" t="n">
        <v>37.758010036</v>
      </c>
      <c r="C735" t="n">
        <v>54.117760215</v>
      </c>
      <c r="D735" t="n">
        <v>67.26491659200001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61.655825504</v>
      </c>
      <c r="L735" t="n">
        <v>63.784665409</v>
      </c>
      <c r="M735" t="n">
        <v>67.58464392499999</v>
      </c>
      <c r="N735" t="n">
        <v>82.823624065</v>
      </c>
      <c r="O735" t="n">
        <v/>
      </c>
      <c r="P735" t="n">
        <v/>
      </c>
      <c r="Q735" t="n">
        <v>49.131163997</v>
      </c>
      <c r="R735" t="n">
        <v>81.59068942099999</v>
      </c>
      <c r="S735" t="n">
        <v>62.22710112</v>
      </c>
      <c r="T735" t="n">
        <v>69.15217781</v>
      </c>
      <c r="U735" t="n">
        <v/>
      </c>
      <c r="V735" t="n">
        <v>112.833096452</v>
      </c>
      <c r="W735" t="n">
        <v/>
      </c>
      <c r="X735" t="n">
        <v/>
      </c>
      <c r="Y735" t="n">
        <v/>
      </c>
      <c r="Z735" t="n">
        <v>7.579771707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52.406036326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53.93873331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59.583268015</v>
      </c>
      <c r="AS735" t="n">
        <v/>
      </c>
      <c r="AT735" t="n">
        <v>51.651541972</v>
      </c>
      <c r="AU735" t="n">
        <v/>
      </c>
    </row>
    <row r="736">
      <c r="A736" s="107" t="n">
        <v>29281</v>
      </c>
      <c r="B736" t="n">
        <v>39.216872935</v>
      </c>
      <c r="C736" t="n">
        <v>54.94920267</v>
      </c>
      <c r="D736" t="n">
        <v>69.745754553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61.100367617</v>
      </c>
      <c r="L736" t="n">
        <v>64.410005265</v>
      </c>
      <c r="M736" t="n">
        <v>67.61746793899999</v>
      </c>
      <c r="N736" t="n">
        <v>85.81000087300001</v>
      </c>
      <c r="O736" t="n">
        <v/>
      </c>
      <c r="P736" t="n">
        <v/>
      </c>
      <c r="Q736" t="n">
        <v>50.195926065</v>
      </c>
      <c r="R736" t="n">
        <v>82.159548809</v>
      </c>
      <c r="S736" t="n">
        <v>61.892179293</v>
      </c>
      <c r="T736" t="n">
        <v>68.721993189</v>
      </c>
      <c r="U736" t="n">
        <v/>
      </c>
      <c r="V736" t="n">
        <v>113.693850538</v>
      </c>
      <c r="W736" t="n">
        <v/>
      </c>
      <c r="X736" t="n">
        <v/>
      </c>
      <c r="Y736" t="n">
        <v/>
      </c>
      <c r="Z736" t="n">
        <v>7.714723132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53.575729232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53.912520632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60.387670862</v>
      </c>
      <c r="AS736" t="n">
        <v/>
      </c>
      <c r="AT736" t="n">
        <v>51.432203461</v>
      </c>
      <c r="AU736" t="n">
        <v/>
      </c>
    </row>
    <row r="737">
      <c r="A737" s="107" t="n">
        <v>29312</v>
      </c>
      <c r="B737" t="n">
        <v>37.956914262</v>
      </c>
      <c r="C737" t="n">
        <v>53.214657699</v>
      </c>
      <c r="D737" t="n">
        <v>66.711327688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60.483192186</v>
      </c>
      <c r="L737" t="n">
        <v>63.784665409</v>
      </c>
      <c r="M737" t="n">
        <v>67.461553874</v>
      </c>
      <c r="N737" t="n">
        <v>82.65458243099999</v>
      </c>
      <c r="O737" t="n">
        <v/>
      </c>
      <c r="P737" t="n">
        <v/>
      </c>
      <c r="Q737" t="n">
        <v>50.449440843</v>
      </c>
      <c r="R737" t="n">
        <v>82.159548809</v>
      </c>
      <c r="S737" t="n">
        <v>61.219719952</v>
      </c>
      <c r="T737" t="n">
        <v>66.78616239500001</v>
      </c>
      <c r="U737" t="n">
        <v/>
      </c>
      <c r="V737" t="n">
        <v>115.638882593</v>
      </c>
      <c r="W737" t="n">
        <v/>
      </c>
      <c r="X737" t="n">
        <v/>
      </c>
      <c r="Y737" t="n">
        <v/>
      </c>
      <c r="Z737" t="n">
        <v>7.669739324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54.445929689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53.297087956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59.525810669</v>
      </c>
      <c r="AS737" t="n">
        <v/>
      </c>
      <c r="AT737" t="n">
        <v>50.417514954</v>
      </c>
      <c r="AU737" t="n">
        <v/>
      </c>
    </row>
    <row r="738">
      <c r="A738" s="107" t="n">
        <v>29342</v>
      </c>
      <c r="B738" t="n">
        <v>37.857895259</v>
      </c>
      <c r="C738" t="n">
        <v>53.296954618</v>
      </c>
      <c r="D738" t="n">
        <v>68.981080843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60.421474643</v>
      </c>
      <c r="L738" t="n">
        <v>62.533985695</v>
      </c>
      <c r="M738" t="n">
        <v>66.690189555</v>
      </c>
      <c r="N738" t="n">
        <v>82.15083282800001</v>
      </c>
      <c r="O738" t="n">
        <v/>
      </c>
      <c r="P738" t="n">
        <v/>
      </c>
      <c r="Q738" t="n">
        <v>49.181866952</v>
      </c>
      <c r="R738" t="n">
        <v>80.12790814100001</v>
      </c>
      <c r="S738" t="n">
        <v>60.240427003</v>
      </c>
      <c r="T738" t="n">
        <v>66.89370855</v>
      </c>
      <c r="U738" t="n">
        <v/>
      </c>
      <c r="V738" t="n">
        <v>115.235989106</v>
      </c>
      <c r="W738" t="n">
        <v/>
      </c>
      <c r="X738" t="n">
        <v/>
      </c>
      <c r="Y738" t="n">
        <v/>
      </c>
      <c r="Z738" t="n">
        <v>7.827182653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52.745903254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52.456253988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45.965876965</v>
      </c>
      <c r="AS738" t="n">
        <v/>
      </c>
      <c r="AT738" t="n">
        <v>49.177340111</v>
      </c>
      <c r="AU738" t="n">
        <v/>
      </c>
    </row>
    <row r="739">
      <c r="A739" s="107" t="n">
        <v>29373</v>
      </c>
      <c r="B739" t="n">
        <v>38.313629331</v>
      </c>
      <c r="C739" t="n">
        <v>52.662653521</v>
      </c>
      <c r="D739" t="n">
        <v>69.71245971099999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59.866016756</v>
      </c>
      <c r="L739" t="n">
        <v>62.533985695</v>
      </c>
      <c r="M739" t="n">
        <v>67.07587171500001</v>
      </c>
      <c r="N739" t="n">
        <v>83.283472726</v>
      </c>
      <c r="O739" t="n">
        <v/>
      </c>
      <c r="P739" t="n">
        <v/>
      </c>
      <c r="Q739" t="n">
        <v>51.8691236</v>
      </c>
      <c r="R739" t="n">
        <v>80.53423627700001</v>
      </c>
      <c r="S739" t="n">
        <v>59.690106349</v>
      </c>
      <c r="T739" t="n">
        <v>66.89370855</v>
      </c>
      <c r="U739" t="n">
        <v/>
      </c>
      <c r="V739" t="n">
        <v>115.185519401</v>
      </c>
      <c r="W739" t="n">
        <v/>
      </c>
      <c r="X739" t="n">
        <v/>
      </c>
      <c r="Y739" t="n">
        <v/>
      </c>
      <c r="Z739" t="n">
        <v>7.714723132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51.999098332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52.249279414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59.238523938</v>
      </c>
      <c r="AS739" t="n">
        <v/>
      </c>
      <c r="AT739" t="n">
        <v>48.550063701</v>
      </c>
      <c r="AU739" t="n">
        <v/>
      </c>
    </row>
    <row r="740">
      <c r="A740" s="107" t="n">
        <v>29403</v>
      </c>
      <c r="B740" t="n">
        <v>37.094722041</v>
      </c>
      <c r="C740" t="n">
        <v>52.300417838</v>
      </c>
      <c r="D740" t="n">
        <v>68.92212996000001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60.174604471</v>
      </c>
      <c r="L740" t="n">
        <v>64.410005265</v>
      </c>
      <c r="M740" t="n">
        <v>66.49324547400001</v>
      </c>
      <c r="N740" t="n">
        <v>82.14714877</v>
      </c>
      <c r="O740" t="n">
        <v/>
      </c>
      <c r="P740" t="n">
        <v/>
      </c>
      <c r="Q740" t="n">
        <v>55.823954139</v>
      </c>
      <c r="R740" t="n">
        <v>81.26562691700001</v>
      </c>
      <c r="S740" t="n">
        <v>59.359218831</v>
      </c>
      <c r="T740" t="n">
        <v>65.49560853200001</v>
      </c>
      <c r="U740" t="n">
        <v/>
      </c>
      <c r="V740" t="n">
        <v>114.384058735</v>
      </c>
      <c r="W740" t="n">
        <v/>
      </c>
      <c r="X740" t="n">
        <v/>
      </c>
      <c r="Y740" t="n">
        <v/>
      </c>
      <c r="Z740" t="n">
        <v>7.444820282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52.359828135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51.890234228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60.100384131</v>
      </c>
      <c r="AS740" t="n">
        <v/>
      </c>
      <c r="AT740" t="n">
        <v>48.199935183</v>
      </c>
      <c r="AU740" t="n">
        <v/>
      </c>
    </row>
    <row r="741">
      <c r="A741" s="107" t="n">
        <v>29434</v>
      </c>
      <c r="B741" t="n">
        <v>38.12502585</v>
      </c>
      <c r="C741" t="n">
        <v>53.021177159</v>
      </c>
      <c r="D741" t="n">
        <v>68.612682476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60.298039557</v>
      </c>
      <c r="L741" t="n">
        <v>60.657966124</v>
      </c>
      <c r="M741" t="n">
        <v>67.77338200299999</v>
      </c>
      <c r="N741" t="n">
        <v>81.866855594</v>
      </c>
      <c r="O741" t="n">
        <v/>
      </c>
      <c r="P741" t="n">
        <v/>
      </c>
      <c r="Q741" t="n">
        <v>50.956470399</v>
      </c>
      <c r="R741" t="n">
        <v>81.26562691700001</v>
      </c>
      <c r="S741" t="n">
        <v>59.228152533</v>
      </c>
      <c r="T741" t="n">
        <v>64.42014698</v>
      </c>
      <c r="U741" t="n">
        <v/>
      </c>
      <c r="V741" t="n">
        <v>111.532275872</v>
      </c>
      <c r="W741" t="n">
        <v/>
      </c>
      <c r="X741" t="n">
        <v/>
      </c>
      <c r="Y741" t="n">
        <v/>
      </c>
      <c r="Z741" t="n">
        <v>7.624755515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46.961379508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51.839829368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58.319206399</v>
      </c>
      <c r="AS741" t="n">
        <v/>
      </c>
      <c r="AT741" t="n">
        <v>48.354225745</v>
      </c>
      <c r="AU741" t="n">
        <v/>
      </c>
    </row>
    <row r="742">
      <c r="A742" s="107" t="n">
        <v>29465</v>
      </c>
      <c r="B742" t="n">
        <v>36.956670664</v>
      </c>
      <c r="C742" t="n">
        <v>51.291917377</v>
      </c>
      <c r="D742" t="n">
        <v>71.155269371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58.199643093</v>
      </c>
      <c r="L742" t="n">
        <v>61.283305981</v>
      </c>
      <c r="M742" t="n">
        <v>65.689057142</v>
      </c>
      <c r="N742" t="n">
        <v>82.438433972</v>
      </c>
      <c r="O742" t="n">
        <v/>
      </c>
      <c r="P742" t="n">
        <v/>
      </c>
      <c r="Q742" t="n">
        <v>50.804361532</v>
      </c>
      <c r="R742" t="n">
        <v>79.721580006</v>
      </c>
      <c r="S742" t="n">
        <v>59.101800898</v>
      </c>
      <c r="T742" t="n">
        <v>63.344685427</v>
      </c>
      <c r="U742" t="n">
        <v/>
      </c>
      <c r="V742" t="n">
        <v>112.874346621</v>
      </c>
      <c r="W742" t="n">
        <v/>
      </c>
      <c r="X742" t="n">
        <v/>
      </c>
      <c r="Y742" t="n">
        <v/>
      </c>
      <c r="Z742" t="n">
        <v>7.422328378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47.950400793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51.701604384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57.514803552</v>
      </c>
      <c r="AS742" t="n">
        <v/>
      </c>
      <c r="AT742" t="n">
        <v>49.159194113</v>
      </c>
      <c r="AU742" t="n">
        <v/>
      </c>
    </row>
    <row r="743">
      <c r="A743" s="107" t="n">
        <v>29495</v>
      </c>
      <c r="B743" t="n">
        <v>37.601833093</v>
      </c>
      <c r="C743" t="n">
        <v>50.957891923</v>
      </c>
      <c r="D743" t="n">
        <v>69.433946279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58.508230809</v>
      </c>
      <c r="L743" t="n">
        <v>61.283305981</v>
      </c>
      <c r="M743" t="n">
        <v>65.779323179</v>
      </c>
      <c r="N743" t="n">
        <v>82.993161919</v>
      </c>
      <c r="O743" t="n">
        <v/>
      </c>
      <c r="P743" t="n">
        <v/>
      </c>
      <c r="Q743" t="n">
        <v>51.007173355</v>
      </c>
      <c r="R743" t="n">
        <v>79.39651750100001</v>
      </c>
      <c r="S743" t="n">
        <v>59.563275048</v>
      </c>
      <c r="T743" t="n">
        <v>63.022046962</v>
      </c>
      <c r="U743" t="n">
        <v/>
      </c>
      <c r="V743" t="n">
        <v>109.294504443</v>
      </c>
      <c r="W743" t="n">
        <v/>
      </c>
      <c r="X743" t="n">
        <v/>
      </c>
      <c r="Y743" t="n">
        <v/>
      </c>
      <c r="Z743" t="n">
        <v>7.534787899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46.846504514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52.155821652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58.14683436</v>
      </c>
      <c r="AS743" t="n">
        <v/>
      </c>
      <c r="AT743" t="n">
        <v>49.783297452</v>
      </c>
      <c r="AU743" t="n">
        <v/>
      </c>
    </row>
    <row r="744">
      <c r="A744" s="107" t="n">
        <v>29526</v>
      </c>
      <c r="B744" t="n">
        <v>37.975665057</v>
      </c>
      <c r="C744" t="n">
        <v>51.057105918</v>
      </c>
      <c r="D744" t="n">
        <v>70.646690741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59.495711497</v>
      </c>
      <c r="L744" t="n">
        <v>60.657966124</v>
      </c>
      <c r="M744" t="n">
        <v>66.370155423</v>
      </c>
      <c r="N744" t="n">
        <v>83.09314274899999</v>
      </c>
      <c r="O744" t="n">
        <v/>
      </c>
      <c r="P744" t="n">
        <v/>
      </c>
      <c r="Q744" t="n">
        <v>51.209985177</v>
      </c>
      <c r="R744" t="n">
        <v>78.908923735</v>
      </c>
      <c r="S744" t="n">
        <v>60.195504473</v>
      </c>
      <c r="T744" t="n">
        <v>63.022046962</v>
      </c>
      <c r="U744" t="n">
        <v/>
      </c>
      <c r="V744" t="n">
        <v>110.129048993</v>
      </c>
      <c r="W744" t="n">
        <v/>
      </c>
      <c r="X744" t="n">
        <v/>
      </c>
      <c r="Y744" t="n">
        <v/>
      </c>
      <c r="Z744" t="n">
        <v>7.512295994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48.708581725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52.697147166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58.376663745</v>
      </c>
      <c r="AS744" t="n">
        <v/>
      </c>
      <c r="AT744" t="n">
        <v>50.612262166</v>
      </c>
      <c r="AU744" t="n">
        <v/>
      </c>
    </row>
    <row r="745">
      <c r="A745" s="107" t="n">
        <v>29556</v>
      </c>
      <c r="B745" t="n">
        <v>38.639314487</v>
      </c>
      <c r="C745" t="n">
        <v>49.533598477</v>
      </c>
      <c r="D745" t="n">
        <v>67.869972635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58.631665895</v>
      </c>
      <c r="L745" t="n">
        <v>61.283305981</v>
      </c>
      <c r="M745" t="n">
        <v>66.378361427</v>
      </c>
      <c r="N745" t="n">
        <v>81.716029748</v>
      </c>
      <c r="O745" t="n">
        <v/>
      </c>
      <c r="P745" t="n">
        <v/>
      </c>
      <c r="Q745" t="n">
        <v>52.021232467</v>
      </c>
      <c r="R745" t="n">
        <v>80.209173763</v>
      </c>
      <c r="S745" t="n">
        <v>60.38877777</v>
      </c>
      <c r="T745" t="n">
        <v>62.699408496</v>
      </c>
      <c r="U745" t="n">
        <v/>
      </c>
      <c r="V745" t="n">
        <v>114.964839664</v>
      </c>
      <c r="W745" t="n">
        <v/>
      </c>
      <c r="X745" t="n">
        <v/>
      </c>
      <c r="Y745" t="n">
        <v/>
      </c>
      <c r="Z745" t="n">
        <v>7.21990124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47.397176776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52.81375866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57.055144782</v>
      </c>
      <c r="AS745" t="n">
        <v/>
      </c>
      <c r="AT745" t="n">
        <v>50.95812687</v>
      </c>
      <c r="AU745" t="n">
        <v/>
      </c>
    </row>
    <row r="746">
      <c r="A746" s="107" t="n">
        <v>29587</v>
      </c>
      <c r="B746" t="n">
        <v>36.902053194</v>
      </c>
      <c r="C746" t="n">
        <v>49.974178672</v>
      </c>
      <c r="D746" t="n">
        <v>68.08522127800001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58.384795723</v>
      </c>
      <c r="L746" t="n">
        <v>61.908645838</v>
      </c>
      <c r="M746" t="n">
        <v>65.229520952</v>
      </c>
      <c r="N746" t="n">
        <v>81.333777879</v>
      </c>
      <c r="O746" t="n">
        <v/>
      </c>
      <c r="P746" t="n">
        <v/>
      </c>
      <c r="Q746" t="n">
        <v>50.804361532</v>
      </c>
      <c r="R746" t="n">
        <v>79.884111258</v>
      </c>
      <c r="S746" t="n">
        <v>60.109521713</v>
      </c>
      <c r="T746" t="n">
        <v>62.484316186</v>
      </c>
      <c r="U746" t="n">
        <v/>
      </c>
      <c r="V746" t="n">
        <v>110.685437836</v>
      </c>
      <c r="W746" t="n">
        <v/>
      </c>
      <c r="X746" t="n">
        <v/>
      </c>
      <c r="Y746" t="n">
        <v/>
      </c>
      <c r="Z746" t="n">
        <v>7.827182653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46.673338685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52.560593295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57.744632937</v>
      </c>
      <c r="AS746" t="n">
        <v/>
      </c>
      <c r="AT746" t="n">
        <v>50.63586188</v>
      </c>
      <c r="AU746" t="n">
        <v/>
      </c>
    </row>
    <row r="747">
      <c r="A747" s="107" t="n">
        <v>29618</v>
      </c>
      <c r="B747" t="n">
        <v>37.730513072</v>
      </c>
      <c r="C747" t="n">
        <v>51.077270158</v>
      </c>
      <c r="D747" t="n">
        <v>70.893260936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59.495711497</v>
      </c>
      <c r="L747" t="n">
        <v>63.159325552</v>
      </c>
      <c r="M747" t="n">
        <v>66.29630139299999</v>
      </c>
      <c r="N747" t="n">
        <v>83.00256503999999</v>
      </c>
      <c r="O747" t="n">
        <v/>
      </c>
      <c r="P747" t="n">
        <v/>
      </c>
      <c r="Q747" t="n">
        <v>51.767717689</v>
      </c>
      <c r="R747" t="n">
        <v>80.61550189800001</v>
      </c>
      <c r="S747" t="n">
        <v>60.240753592</v>
      </c>
      <c r="T747" t="n">
        <v>63.022046962</v>
      </c>
      <c r="U747" t="n">
        <v/>
      </c>
      <c r="V747" t="n">
        <v>111.582242518</v>
      </c>
      <c r="W747" t="n">
        <v/>
      </c>
      <c r="X747" t="n">
        <v/>
      </c>
      <c r="Y747" t="n">
        <v/>
      </c>
      <c r="Z747" t="n">
        <v>7.849674557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47.175860732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52.811202529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57.917004975</v>
      </c>
      <c r="AS747" t="n">
        <v/>
      </c>
      <c r="AT747" t="n">
        <v>50.427430799</v>
      </c>
      <c r="AU747" t="n">
        <v/>
      </c>
    </row>
    <row r="748">
      <c r="A748" s="107" t="n">
        <v>29646</v>
      </c>
      <c r="B748" t="n">
        <v>37.767287483</v>
      </c>
      <c r="C748" t="n">
        <v>51.253633507</v>
      </c>
      <c r="D748" t="n">
        <v>64.069188599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59.248841325</v>
      </c>
      <c r="L748" t="n">
        <v>61.908645838</v>
      </c>
      <c r="M748" t="n">
        <v>65.44287704</v>
      </c>
      <c r="N748" t="n">
        <v>82.180182993</v>
      </c>
      <c r="O748" t="n">
        <v/>
      </c>
      <c r="P748" t="n">
        <v/>
      </c>
      <c r="Q748" t="n">
        <v>51.260688133</v>
      </c>
      <c r="R748" t="n">
        <v>79.071454987</v>
      </c>
      <c r="S748" t="n">
        <v>60.292284478</v>
      </c>
      <c r="T748" t="n">
        <v>63.129593117</v>
      </c>
      <c r="U748" t="n">
        <v/>
      </c>
      <c r="V748" t="n">
        <v>112.08948916</v>
      </c>
      <c r="W748" t="n">
        <v/>
      </c>
      <c r="X748" t="n">
        <v/>
      </c>
      <c r="Y748" t="n">
        <v/>
      </c>
      <c r="Z748" t="n">
        <v>7.647247419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47.48119454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52.805370195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57.514803552</v>
      </c>
      <c r="AS748" t="n">
        <v/>
      </c>
      <c r="AT748" t="n">
        <v>50.680582344</v>
      </c>
      <c r="AU748" t="n">
        <v/>
      </c>
    </row>
    <row r="749">
      <c r="A749" s="107" t="n">
        <v>29677</v>
      </c>
      <c r="B749" t="n">
        <v>37.543070355</v>
      </c>
      <c r="C749" t="n">
        <v>50.678260552</v>
      </c>
      <c r="D749" t="n">
        <v>62.950014485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58.693383438</v>
      </c>
      <c r="L749" t="n">
        <v>61.283305981</v>
      </c>
      <c r="M749" t="n">
        <v>65.500319064</v>
      </c>
      <c r="N749" t="n">
        <v>82.868981589</v>
      </c>
      <c r="O749" t="n">
        <v/>
      </c>
      <c r="P749" t="n">
        <v/>
      </c>
      <c r="Q749" t="n">
        <v>51.919826556</v>
      </c>
      <c r="R749" t="n">
        <v>78.990189366</v>
      </c>
      <c r="S749" t="n">
        <v>60.190184677</v>
      </c>
      <c r="T749" t="n">
        <v>63.452231583</v>
      </c>
      <c r="U749" t="n">
        <v/>
      </c>
      <c r="V749" t="n">
        <v>110.102786085</v>
      </c>
      <c r="W749" t="n">
        <v/>
      </c>
      <c r="X749" t="n">
        <v/>
      </c>
      <c r="Y749" t="n">
        <v/>
      </c>
      <c r="Z749" t="n">
        <v>7.984625982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44.719616244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52.74034935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56.94023009</v>
      </c>
      <c r="AS749" t="n">
        <v/>
      </c>
      <c r="AT749" t="n">
        <v>50.458169922</v>
      </c>
      <c r="AU749" t="n">
        <v/>
      </c>
    </row>
    <row r="750">
      <c r="A750" s="107" t="n">
        <v>29707</v>
      </c>
      <c r="B750" t="n">
        <v>37.395461734</v>
      </c>
      <c r="C750" t="n">
        <v>50.863775274</v>
      </c>
      <c r="D750" t="n">
        <v>62.127215008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59.063688696</v>
      </c>
      <c r="L750" t="n">
        <v>61.908645838</v>
      </c>
      <c r="M750" t="n">
        <v>66.38656743</v>
      </c>
      <c r="N750" t="n">
        <v>82.815417888</v>
      </c>
      <c r="O750" t="n">
        <v/>
      </c>
      <c r="P750" t="n">
        <v/>
      </c>
      <c r="Q750" t="n">
        <v>53.339509313</v>
      </c>
      <c r="R750" t="n">
        <v>79.965376889</v>
      </c>
      <c r="S750" t="n">
        <v>60.205328294</v>
      </c>
      <c r="T750" t="n">
        <v>62.484316186</v>
      </c>
      <c r="U750" t="n">
        <v/>
      </c>
      <c r="V750" t="n">
        <v>111.784855115</v>
      </c>
      <c r="W750" t="n">
        <v/>
      </c>
      <c r="X750" t="n">
        <v/>
      </c>
      <c r="Y750" t="n">
        <v/>
      </c>
      <c r="Z750" t="n">
        <v>7.91715027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48.99619395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52.78197523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56.078369897</v>
      </c>
      <c r="AS750" t="n">
        <v/>
      </c>
      <c r="AT750" t="n">
        <v>50.748109255</v>
      </c>
      <c r="AU750" t="n">
        <v/>
      </c>
    </row>
    <row r="751">
      <c r="A751" s="107" t="n">
        <v>29738</v>
      </c>
      <c r="B751" t="n">
        <v>36.928737327</v>
      </c>
      <c r="C751" t="n">
        <v>51.761169574</v>
      </c>
      <c r="D751" t="n">
        <v>61.480805203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58.384795723</v>
      </c>
      <c r="L751" t="n">
        <v>61.283305981</v>
      </c>
      <c r="M751" t="n">
        <v>65.705469149</v>
      </c>
      <c r="N751" t="n">
        <v>83.47098076499999</v>
      </c>
      <c r="O751" t="n">
        <v/>
      </c>
      <c r="P751" t="n">
        <v/>
      </c>
      <c r="Q751" t="n">
        <v>50.094520154</v>
      </c>
      <c r="R751" t="n">
        <v>80.37170502399999</v>
      </c>
      <c r="S751" t="n">
        <v>60.646956483</v>
      </c>
      <c r="T751" t="n">
        <v>63.882416204</v>
      </c>
      <c r="U751" t="n">
        <v/>
      </c>
      <c r="V751" t="n">
        <v>114.148436237</v>
      </c>
      <c r="W751" t="n">
        <v/>
      </c>
      <c r="X751" t="n">
        <v/>
      </c>
      <c r="Y751" t="n">
        <v/>
      </c>
      <c r="Z751" t="n">
        <v>8.007117886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48.931971816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53.083641334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56.078369897</v>
      </c>
      <c r="AS751" t="n">
        <v/>
      </c>
      <c r="AT751" t="n">
        <v>51.016630361</v>
      </c>
      <c r="AU751" t="n">
        <v/>
      </c>
    </row>
    <row r="752">
      <c r="A752" s="107" t="n">
        <v>29768</v>
      </c>
      <c r="B752" t="n">
        <v>36.980655448</v>
      </c>
      <c r="C752" t="n">
        <v>50.400752291</v>
      </c>
      <c r="D752" t="n">
        <v>61.867833145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58.878536067</v>
      </c>
      <c r="L752" t="n">
        <v>66.286024836</v>
      </c>
      <c r="M752" t="n">
        <v>66.181417345</v>
      </c>
      <c r="N752" t="n">
        <v>84.41057601200001</v>
      </c>
      <c r="O752" t="n">
        <v/>
      </c>
      <c r="P752" t="n">
        <v/>
      </c>
      <c r="Q752" t="n">
        <v>53.49161818</v>
      </c>
      <c r="R752" t="n">
        <v>79.39651750100001</v>
      </c>
      <c r="S752" t="n">
        <v>60.857458291</v>
      </c>
      <c r="T752" t="n">
        <v>64.097508514</v>
      </c>
      <c r="U752" t="n">
        <v/>
      </c>
      <c r="V752" t="n">
        <v>114.684402819</v>
      </c>
      <c r="W752" t="n">
        <v/>
      </c>
      <c r="X752" t="n">
        <v/>
      </c>
      <c r="Y752" t="n">
        <v/>
      </c>
      <c r="Z752" t="n">
        <v>8.209545024000001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47.980938776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53.391951408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56.652943359</v>
      </c>
      <c r="AS752" t="n">
        <v/>
      </c>
      <c r="AT752" t="n">
        <v>51.340680204</v>
      </c>
      <c r="AU752" t="n">
        <v/>
      </c>
    </row>
    <row r="753">
      <c r="A753" s="107" t="n">
        <v>29799</v>
      </c>
      <c r="B753" t="n">
        <v>37.097262462</v>
      </c>
      <c r="C753" t="n">
        <v>50.883232316</v>
      </c>
      <c r="D753" t="n">
        <v>60.100061994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58.94025361</v>
      </c>
      <c r="L753" t="n">
        <v>64.410005265</v>
      </c>
      <c r="M753" t="n">
        <v>65.048988877</v>
      </c>
      <c r="N753" t="n">
        <v>78.722010149</v>
      </c>
      <c r="O753" t="n">
        <v/>
      </c>
      <c r="P753" t="n">
        <v/>
      </c>
      <c r="Q753" t="n">
        <v>53.339509313</v>
      </c>
      <c r="R753" t="n">
        <v>79.39651750100001</v>
      </c>
      <c r="S753" t="n">
        <v>60.655810697</v>
      </c>
      <c r="T753" t="n">
        <v>64.20505466900001</v>
      </c>
      <c r="U753" t="n">
        <v/>
      </c>
      <c r="V753" t="n">
        <v>119.97988439</v>
      </c>
      <c r="W753" t="n">
        <v/>
      </c>
      <c r="X753" t="n">
        <v/>
      </c>
      <c r="Y753" t="n">
        <v/>
      </c>
      <c r="Z753" t="n">
        <v>8.232036927999999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48.65128914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53.108842197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57.055144782</v>
      </c>
      <c r="AS753" t="n">
        <v/>
      </c>
      <c r="AT753" t="n">
        <v>51.277714583</v>
      </c>
      <c r="AU753" t="n">
        <v/>
      </c>
    </row>
    <row r="754">
      <c r="A754" s="107" t="n">
        <v>29830</v>
      </c>
      <c r="B754" t="n">
        <v>37.206127387</v>
      </c>
      <c r="C754" t="n">
        <v>51.531302424</v>
      </c>
      <c r="D754" t="n">
        <v>58.819696453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59.125406239</v>
      </c>
      <c r="L754" t="n">
        <v>63.784665409</v>
      </c>
      <c r="M754" t="n">
        <v>66.09935731100001</v>
      </c>
      <c r="N754" t="n">
        <v>80.854163619</v>
      </c>
      <c r="O754" t="n">
        <v/>
      </c>
      <c r="P754" t="n">
        <v/>
      </c>
      <c r="Q754" t="n">
        <v>52.883182713</v>
      </c>
      <c r="R754" t="n">
        <v>80.452970646</v>
      </c>
      <c r="S754" t="n">
        <v>60.933122918</v>
      </c>
      <c r="T754" t="n">
        <v>64.312600825</v>
      </c>
      <c r="U754" t="n">
        <v/>
      </c>
      <c r="V754" t="n">
        <v>117.356616104</v>
      </c>
      <c r="W754" t="n">
        <v/>
      </c>
      <c r="X754" t="n">
        <v/>
      </c>
      <c r="Y754" t="n">
        <v/>
      </c>
      <c r="Z754" t="n">
        <v>8.29951264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49.212826401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53.414577616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56.135827243</v>
      </c>
      <c r="AS754" t="n">
        <v/>
      </c>
      <c r="AT754" t="n">
        <v>51.027438633</v>
      </c>
      <c r="AU754" t="n">
        <v/>
      </c>
    </row>
    <row r="755">
      <c r="A755" s="107" t="n">
        <v>29860</v>
      </c>
      <c r="B755" t="n">
        <v>37.428398966</v>
      </c>
      <c r="C755" t="n">
        <v>51.609853366</v>
      </c>
      <c r="D755" t="n">
        <v>58.576755059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59.433993954</v>
      </c>
      <c r="L755" t="n">
        <v>63.159325552</v>
      </c>
      <c r="M755" t="n">
        <v>66.402979437</v>
      </c>
      <c r="N755" t="n">
        <v>82.38957985099999</v>
      </c>
      <c r="O755" t="n">
        <v/>
      </c>
      <c r="P755" t="n">
        <v/>
      </c>
      <c r="Q755" t="n">
        <v>53.440915225</v>
      </c>
      <c r="R755" t="n">
        <v>79.884111258</v>
      </c>
      <c r="S755" t="n">
        <v>60.896248231</v>
      </c>
      <c r="T755" t="n">
        <v>65.81824699800001</v>
      </c>
      <c r="U755" t="n">
        <v/>
      </c>
      <c r="V755" t="n">
        <v>114.781553412</v>
      </c>
      <c r="W755" t="n">
        <v/>
      </c>
      <c r="X755" t="n">
        <v/>
      </c>
      <c r="Y755" t="n">
        <v/>
      </c>
      <c r="Z755" t="n">
        <v>7.962134078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50.122385368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53.365590733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56.538028666</v>
      </c>
      <c r="AS755" t="n">
        <v/>
      </c>
      <c r="AT755" t="n">
        <v>50.632787967</v>
      </c>
      <c r="AU755" t="n">
        <v/>
      </c>
    </row>
    <row r="756">
      <c r="A756" s="107" t="n">
        <v>29891</v>
      </c>
      <c r="B756" t="n">
        <v>37.3238655</v>
      </c>
      <c r="C756" t="n">
        <v>51.856188137</v>
      </c>
      <c r="D756" t="n">
        <v>59.51469788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58.94025361</v>
      </c>
      <c r="L756" t="n">
        <v>62.533985695</v>
      </c>
      <c r="M756" t="n">
        <v>65.844971206</v>
      </c>
      <c r="N756" t="n">
        <v>81.97320809</v>
      </c>
      <c r="O756" t="n">
        <v/>
      </c>
      <c r="P756" t="n">
        <v/>
      </c>
      <c r="Q756" t="n">
        <v>51.8691236</v>
      </c>
      <c r="R756" t="n">
        <v>79.884111258</v>
      </c>
      <c r="S756" t="n">
        <v>60.468727293</v>
      </c>
      <c r="T756" t="n">
        <v>64.957877756</v>
      </c>
      <c r="U756" t="n">
        <v/>
      </c>
      <c r="V756" t="n">
        <v>117.490630883</v>
      </c>
      <c r="W756" t="n">
        <v/>
      </c>
      <c r="X756" t="n">
        <v/>
      </c>
      <c r="Y756" t="n">
        <v/>
      </c>
      <c r="Z756" t="n">
        <v>8.164561215000001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50.547970349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53.05396454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56.652943359</v>
      </c>
      <c r="AS756" t="n">
        <v/>
      </c>
      <c r="AT756" t="n">
        <v>50.048248853</v>
      </c>
      <c r="AU756" t="n">
        <v/>
      </c>
    </row>
    <row r="757">
      <c r="A757" s="107" t="n">
        <v>29921</v>
      </c>
      <c r="B757" t="n">
        <v>37.432542431</v>
      </c>
      <c r="C757" t="n">
        <v>52.176392747</v>
      </c>
      <c r="D757" t="n">
        <v>57.717850818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58.446513266</v>
      </c>
      <c r="L757" t="n">
        <v>60.032626267</v>
      </c>
      <c r="M757" t="n">
        <v>65.213108945</v>
      </c>
      <c r="N757" t="n">
        <v>82.047054661</v>
      </c>
      <c r="O757" t="n">
        <v/>
      </c>
      <c r="P757" t="n">
        <v/>
      </c>
      <c r="Q757" t="n">
        <v>52.578964979</v>
      </c>
      <c r="R757" t="n">
        <v>81.428158169</v>
      </c>
      <c r="S757" t="n">
        <v>59.930642951</v>
      </c>
      <c r="T757" t="n">
        <v>63.989962359</v>
      </c>
      <c r="U757" t="n">
        <v/>
      </c>
      <c r="V757" t="n">
        <v>117.93157806</v>
      </c>
      <c r="W757" t="n">
        <v/>
      </c>
      <c r="X757" t="n">
        <v/>
      </c>
      <c r="Y757" t="n">
        <v/>
      </c>
      <c r="Z757" t="n">
        <v>8.007117886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46.229274541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52.65435921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56.538028666</v>
      </c>
      <c r="AS757" t="n">
        <v/>
      </c>
      <c r="AT757" t="n">
        <v>49.516164564</v>
      </c>
      <c r="AU757" t="n">
        <v/>
      </c>
    </row>
    <row r="758">
      <c r="A758" s="107" t="n">
        <v>29952</v>
      </c>
      <c r="B758" t="n">
        <v>38.684551901</v>
      </c>
      <c r="C758" t="n">
        <v>52.498288714</v>
      </c>
      <c r="D758" t="n">
        <v>59.415991752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58.693383438</v>
      </c>
      <c r="L758" t="n">
        <v>62.533985695</v>
      </c>
      <c r="M758" t="n">
        <v>65.812147193</v>
      </c>
      <c r="N758" t="n">
        <v>80.561330611</v>
      </c>
      <c r="O758" t="n">
        <v/>
      </c>
      <c r="P758" t="n">
        <v/>
      </c>
      <c r="Q758" t="n">
        <v>53.440915225</v>
      </c>
      <c r="R758" t="n">
        <v>80.04664251</v>
      </c>
      <c r="S758" t="n">
        <v>59.540049339</v>
      </c>
      <c r="T758" t="n">
        <v>64.097508514</v>
      </c>
      <c r="U758" t="n">
        <v/>
      </c>
      <c r="V758" t="n">
        <v>116.902596612</v>
      </c>
      <c r="W758" t="n">
        <v/>
      </c>
      <c r="X758" t="n">
        <v/>
      </c>
      <c r="Y758" t="n">
        <v/>
      </c>
      <c r="Z758" t="n">
        <v>7.714723132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48.79490215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52.419644851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55.561253781</v>
      </c>
      <c r="AS758" t="n">
        <v/>
      </c>
      <c r="AT758" t="n">
        <v>48.499790362</v>
      </c>
      <c r="AU758" t="n">
        <v/>
      </c>
    </row>
    <row r="759">
      <c r="A759" s="107" t="n">
        <v>29983</v>
      </c>
      <c r="B759" t="n">
        <v>37.8823776</v>
      </c>
      <c r="C759" t="n">
        <v>51.20219126</v>
      </c>
      <c r="D759" t="n">
        <v>59.999760259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58.261360636</v>
      </c>
      <c r="L759" t="n">
        <v>63.784665409</v>
      </c>
      <c r="M759" t="n">
        <v>65.13104891099999</v>
      </c>
      <c r="N759" t="n">
        <v>80.733470864</v>
      </c>
      <c r="O759" t="n">
        <v/>
      </c>
      <c r="P759" t="n">
        <v/>
      </c>
      <c r="Q759" t="n">
        <v>52.984588624</v>
      </c>
      <c r="R759" t="n">
        <v>79.39651750100001</v>
      </c>
      <c r="S759" t="n">
        <v>59.795442952</v>
      </c>
      <c r="T759" t="n">
        <v>64.42014698</v>
      </c>
      <c r="U759" t="n">
        <v/>
      </c>
      <c r="V759" t="n">
        <v>117.700467127</v>
      </c>
      <c r="W759" t="n">
        <v/>
      </c>
      <c r="X759" t="n">
        <v/>
      </c>
      <c r="Y759" t="n">
        <v/>
      </c>
      <c r="Z759" t="n">
        <v>7.894658365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53.286614922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52.566847376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55.905997858</v>
      </c>
      <c r="AS759" t="n">
        <v/>
      </c>
      <c r="AT759" t="n">
        <v>49.490185048</v>
      </c>
      <c r="AU759" t="n">
        <v/>
      </c>
    </row>
    <row r="760">
      <c r="A760" s="107" t="n">
        <v>30011</v>
      </c>
      <c r="B760" t="n">
        <v>37.353443576</v>
      </c>
      <c r="C760" t="n">
        <v>49.758407023</v>
      </c>
      <c r="D760" t="n">
        <v>62.700324111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58.816818524</v>
      </c>
      <c r="L760" t="n">
        <v>63.784665409</v>
      </c>
      <c r="M760" t="n">
        <v>65.024370867</v>
      </c>
      <c r="N760" t="n">
        <v>84.19496487399999</v>
      </c>
      <c r="O760" t="n">
        <v/>
      </c>
      <c r="P760" t="n">
        <v/>
      </c>
      <c r="Q760" t="n">
        <v>52.984588624</v>
      </c>
      <c r="R760" t="n">
        <v>80.452970646</v>
      </c>
      <c r="S760" t="n">
        <v>59.760400492</v>
      </c>
      <c r="T760" t="n">
        <v>64.63523929</v>
      </c>
      <c r="U760" t="n">
        <v/>
      </c>
      <c r="V760" t="n">
        <v>116.248999877</v>
      </c>
      <c r="W760" t="n">
        <v/>
      </c>
      <c r="X760" t="n">
        <v/>
      </c>
      <c r="Y760" t="n">
        <v/>
      </c>
      <c r="Z760" t="n">
        <v>7.962134078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50.072455275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52.587965118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55.848540512</v>
      </c>
      <c r="AS760" t="n">
        <v/>
      </c>
      <c r="AT760" t="n">
        <v>49.151955545</v>
      </c>
      <c r="AU760" t="n">
        <v/>
      </c>
    </row>
    <row r="761">
      <c r="A761" s="107" t="n">
        <v>30042</v>
      </c>
      <c r="B761" t="n">
        <v>37.171671977</v>
      </c>
      <c r="C761" t="n">
        <v>52.05414704</v>
      </c>
      <c r="D761" t="n">
        <v>63.247112079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58.693383438</v>
      </c>
      <c r="L761" t="n">
        <v>65.660684979</v>
      </c>
      <c r="M761" t="n">
        <v>65.68085113799999</v>
      </c>
      <c r="N761" t="n">
        <v>81.328107938</v>
      </c>
      <c r="O761" t="n">
        <v/>
      </c>
      <c r="P761" t="n">
        <v/>
      </c>
      <c r="Q761" t="n">
        <v>52.22404429</v>
      </c>
      <c r="R761" t="n">
        <v>80.37170502399999</v>
      </c>
      <c r="S761" t="n">
        <v>59.493781699</v>
      </c>
      <c r="T761" t="n">
        <v>65.388062377</v>
      </c>
      <c r="U761" t="n">
        <v/>
      </c>
      <c r="V761" t="n">
        <v>115.319390625</v>
      </c>
      <c r="W761" t="n">
        <v/>
      </c>
      <c r="X761" t="n">
        <v/>
      </c>
      <c r="Y761" t="n">
        <v/>
      </c>
      <c r="Z761" t="n">
        <v>7.939642174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47.830105153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52.356237943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55.73362582</v>
      </c>
      <c r="AS761" t="n">
        <v/>
      </c>
      <c r="AT761" t="n">
        <v>48.701280351</v>
      </c>
      <c r="AU761" t="n">
        <v/>
      </c>
    </row>
    <row r="762">
      <c r="A762" s="107" t="n">
        <v>30072</v>
      </c>
      <c r="B762" t="n">
        <v>37.716589877</v>
      </c>
      <c r="C762" t="n">
        <v>52.062030073</v>
      </c>
      <c r="D762" t="n">
        <v>63.800358403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58.693383438</v>
      </c>
      <c r="L762" t="n">
        <v>63.159325552</v>
      </c>
      <c r="M762" t="n">
        <v>64.94231083299999</v>
      </c>
      <c r="N762" t="n">
        <v>81.730929383</v>
      </c>
      <c r="O762" t="n">
        <v/>
      </c>
      <c r="P762" t="n">
        <v/>
      </c>
      <c r="Q762" t="n">
        <v>52.22404429</v>
      </c>
      <c r="R762" t="n">
        <v>80.12790814100001</v>
      </c>
      <c r="S762" t="n">
        <v>59.072537141</v>
      </c>
      <c r="T762" t="n">
        <v>65.925793153</v>
      </c>
      <c r="U762" t="n">
        <v/>
      </c>
      <c r="V762" t="n">
        <v>117.816246405</v>
      </c>
      <c r="W762" t="n">
        <v/>
      </c>
      <c r="X762" t="n">
        <v/>
      </c>
      <c r="Y762" t="n">
        <v/>
      </c>
      <c r="Z762" t="n">
        <v>7.962134078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49.575956994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52.021684092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55.905997858</v>
      </c>
      <c r="AS762" t="n">
        <v/>
      </c>
      <c r="AT762" t="n">
        <v>48.36999194</v>
      </c>
      <c r="AU762" t="n">
        <v/>
      </c>
    </row>
    <row r="763">
      <c r="A763" s="107" t="n">
        <v>30103</v>
      </c>
      <c r="B763" t="n">
        <v>37.180545288</v>
      </c>
      <c r="C763" t="n">
        <v>50.784664056</v>
      </c>
      <c r="D763" t="n">
        <v>63.412502464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57.273879948</v>
      </c>
      <c r="L763" t="n">
        <v>66.286024836</v>
      </c>
      <c r="M763" t="n">
        <v>63.744234338</v>
      </c>
      <c r="N763" t="n">
        <v>79.862258755</v>
      </c>
      <c r="O763" t="n">
        <v/>
      </c>
      <c r="P763" t="n">
        <v/>
      </c>
      <c r="Q763" t="n">
        <v>53.238103402</v>
      </c>
      <c r="R763" t="n">
        <v>80.290439394</v>
      </c>
      <c r="S763" t="n">
        <v>58.736733643</v>
      </c>
      <c r="T763" t="n">
        <v>65.172970066</v>
      </c>
      <c r="U763" t="n">
        <v/>
      </c>
      <c r="V763" t="n">
        <v>113.483520366</v>
      </c>
      <c r="W763" t="n">
        <v/>
      </c>
      <c r="X763" t="n">
        <v/>
      </c>
      <c r="Y763" t="n">
        <v/>
      </c>
      <c r="Z763" t="n">
        <v>7.872166461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49.980778935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51.717013617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56.193284589</v>
      </c>
      <c r="AS763" t="n">
        <v/>
      </c>
      <c r="AT763" t="n">
        <v>48.251100948</v>
      </c>
      <c r="AU763" t="n">
        <v/>
      </c>
    </row>
    <row r="764">
      <c r="A764" s="107" t="n">
        <v>30133</v>
      </c>
      <c r="B764" t="n">
        <v>37.387840992</v>
      </c>
      <c r="C764" t="n">
        <v>51.514282766</v>
      </c>
      <c r="D764" t="n">
        <v>63.959397653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55.360636113</v>
      </c>
      <c r="L764" t="n">
        <v>63.159325552</v>
      </c>
      <c r="M764" t="n">
        <v>64.113504491</v>
      </c>
      <c r="N764" t="n">
        <v>81.591452441</v>
      </c>
      <c r="O764" t="n">
        <v/>
      </c>
      <c r="P764" t="n">
        <v/>
      </c>
      <c r="Q764" t="n">
        <v>51.717014733</v>
      </c>
      <c r="R764" t="n">
        <v>77.933736212</v>
      </c>
      <c r="S764" t="n">
        <v>58.375415859</v>
      </c>
      <c r="T764" t="n">
        <v>65.172970066</v>
      </c>
      <c r="U764" t="n">
        <v/>
      </c>
      <c r="V764" t="n">
        <v>113.754947949</v>
      </c>
      <c r="W764" t="n">
        <v/>
      </c>
      <c r="X764" t="n">
        <v/>
      </c>
      <c r="Y764" t="n">
        <v/>
      </c>
      <c r="Z764" t="n">
        <v>8.074593599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48.586029101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51.465822466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56.710400705</v>
      </c>
      <c r="AS764" t="n">
        <v/>
      </c>
      <c r="AT764" t="n">
        <v>48.078267755</v>
      </c>
      <c r="AU764" t="n">
        <v/>
      </c>
    </row>
    <row r="765">
      <c r="A765" s="107" t="n">
        <v>30164</v>
      </c>
      <c r="B765" t="n">
        <v>36.639042172</v>
      </c>
      <c r="C765" t="n">
        <v>50.092681969</v>
      </c>
      <c r="D765" t="n">
        <v>63.948674835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56.533269431</v>
      </c>
      <c r="L765" t="n">
        <v>63.159325552</v>
      </c>
      <c r="M765" t="n">
        <v>63.432406209</v>
      </c>
      <c r="N765" t="n">
        <v>76.774260083</v>
      </c>
      <c r="O765" t="n">
        <v/>
      </c>
      <c r="P765" t="n">
        <v/>
      </c>
      <c r="Q765" t="n">
        <v>52.68037089</v>
      </c>
      <c r="R765" t="n">
        <v>77.933736212</v>
      </c>
      <c r="S765" t="n">
        <v>58.305875159</v>
      </c>
      <c r="T765" t="n">
        <v>65.603154687</v>
      </c>
      <c r="U765" t="n">
        <v/>
      </c>
      <c r="V765" t="n">
        <v>111.682606046</v>
      </c>
      <c r="W765" t="n">
        <v/>
      </c>
      <c r="X765" t="n">
        <v/>
      </c>
      <c r="Y765" t="n">
        <v/>
      </c>
      <c r="Z765" t="n">
        <v>7.894658365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49.458624842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51.236049854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55.446339089</v>
      </c>
      <c r="AS765" t="n">
        <v/>
      </c>
      <c r="AT765" t="n">
        <v>47.652481333</v>
      </c>
      <c r="AU765" t="n">
        <v/>
      </c>
    </row>
    <row r="766">
      <c r="A766" s="107" t="n">
        <v>30195</v>
      </c>
      <c r="B766" t="n">
        <v>36.614726902</v>
      </c>
      <c r="C766" t="n">
        <v>51.427639426</v>
      </c>
      <c r="D766" t="n">
        <v>63.203461647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56.286399259</v>
      </c>
      <c r="L766" t="n">
        <v>63.159325552</v>
      </c>
      <c r="M766" t="n">
        <v>63.94117842</v>
      </c>
      <c r="N766" t="n">
        <v>83.913780507</v>
      </c>
      <c r="O766" t="n">
        <v/>
      </c>
      <c r="P766" t="n">
        <v/>
      </c>
      <c r="Q766" t="n">
        <v>52.781776802</v>
      </c>
      <c r="R766" t="n">
        <v>78.50259560000001</v>
      </c>
      <c r="S766" t="n">
        <v>58.275166447</v>
      </c>
      <c r="T766" t="n">
        <v>65.603154687</v>
      </c>
      <c r="U766" t="n">
        <v/>
      </c>
      <c r="V766" t="n">
        <v>120.161065488</v>
      </c>
      <c r="W766" t="n">
        <v/>
      </c>
      <c r="X766" t="n">
        <v/>
      </c>
      <c r="Y766" t="n">
        <v/>
      </c>
      <c r="Z766" t="n">
        <v>7.962134078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49.894860936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51.40019736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55.905997858</v>
      </c>
      <c r="AS766" t="n">
        <v/>
      </c>
      <c r="AT766" t="n">
        <v>47.526946724</v>
      </c>
      <c r="AU766" t="n">
        <v/>
      </c>
    </row>
    <row r="767">
      <c r="A767" s="107" t="n">
        <v>30225</v>
      </c>
      <c r="B767" t="n">
        <v>36.625791417</v>
      </c>
      <c r="C767" t="n">
        <v>51.799119642</v>
      </c>
      <c r="D767" t="n">
        <v>61.199288028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55.669223829</v>
      </c>
      <c r="L767" t="n">
        <v>63.784665409</v>
      </c>
      <c r="M767" t="n">
        <v>63.325728165</v>
      </c>
      <c r="N767" t="n">
        <v>80.659633314</v>
      </c>
      <c r="O767" t="n">
        <v/>
      </c>
      <c r="P767" t="n">
        <v/>
      </c>
      <c r="Q767" t="n">
        <v>51.970529512</v>
      </c>
      <c r="R767" t="n">
        <v>79.071454987</v>
      </c>
      <c r="S767" t="n">
        <v>57.548783902</v>
      </c>
      <c r="T767" t="n">
        <v>65.280516222</v>
      </c>
      <c r="U767" t="n">
        <v/>
      </c>
      <c r="V767" t="n">
        <v>115.545927366</v>
      </c>
      <c r="W767" t="n">
        <v/>
      </c>
      <c r="X767" t="n">
        <v/>
      </c>
      <c r="Y767" t="n">
        <v/>
      </c>
      <c r="Z767" t="n">
        <v>8.232036927999999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49.401872324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50.718223252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55.676168473</v>
      </c>
      <c r="AS767" t="n">
        <v/>
      </c>
      <c r="AT767" t="n">
        <v>47.07428836</v>
      </c>
      <c r="AU767" t="n">
        <v/>
      </c>
    </row>
    <row r="768">
      <c r="A768" s="107" t="n">
        <v>30256</v>
      </c>
      <c r="B768" t="n">
        <v>36.404977065</v>
      </c>
      <c r="C768" t="n">
        <v>50.85031904</v>
      </c>
      <c r="D768" t="n">
        <v>59.768713659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54.990330855</v>
      </c>
      <c r="L768" t="n">
        <v>65.035345122</v>
      </c>
      <c r="M768" t="n">
        <v>62.726689918</v>
      </c>
      <c r="N768" t="n">
        <v>82.21280319900001</v>
      </c>
      <c r="O768" t="n">
        <v/>
      </c>
      <c r="P768" t="n">
        <v/>
      </c>
      <c r="Q768" t="n">
        <v>52.376153157</v>
      </c>
      <c r="R768" t="n">
        <v>78.58386123</v>
      </c>
      <c r="S768" t="n">
        <v>57.505706108</v>
      </c>
      <c r="T768" t="n">
        <v>64.097508514</v>
      </c>
      <c r="U768" t="n">
        <v/>
      </c>
      <c r="V768" t="n">
        <v>114.484774139</v>
      </c>
      <c r="W768" t="n">
        <v/>
      </c>
      <c r="X768" t="n">
        <v/>
      </c>
      <c r="Y768" t="n">
        <v/>
      </c>
      <c r="Z768" t="n">
        <v>8.074593599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47.709439162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50.735304525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55.216509704</v>
      </c>
      <c r="AS768" t="n">
        <v/>
      </c>
      <c r="AT768" t="n">
        <v>46.921782651</v>
      </c>
      <c r="AU768" t="n">
        <v/>
      </c>
    </row>
    <row r="769">
      <c r="A769" s="107" t="n">
        <v>30286</v>
      </c>
      <c r="B769" t="n">
        <v>35.636728201</v>
      </c>
      <c r="C769" t="n">
        <v>49.953184383</v>
      </c>
      <c r="D769" t="n">
        <v>59.149466499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55.237201027</v>
      </c>
      <c r="L769" t="n">
        <v>64.410005265</v>
      </c>
      <c r="M769" t="n">
        <v>62.299977741</v>
      </c>
      <c r="N769" t="n">
        <v>80.308650329</v>
      </c>
      <c r="O769" t="n">
        <v/>
      </c>
      <c r="P769" t="n">
        <v/>
      </c>
      <c r="Q769" t="n">
        <v>52.984588624</v>
      </c>
      <c r="R769" t="n">
        <v>78.908923735</v>
      </c>
      <c r="S769" t="n">
        <v>57.35854149</v>
      </c>
      <c r="T769" t="n">
        <v>65.065423911</v>
      </c>
      <c r="U769" t="n">
        <v/>
      </c>
      <c r="V769" t="n">
        <v>111.910772446</v>
      </c>
      <c r="W769" t="n">
        <v/>
      </c>
      <c r="X769" t="n">
        <v/>
      </c>
      <c r="Y769" t="n">
        <v/>
      </c>
      <c r="Z769" t="n">
        <v>7.75970694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45.167613052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50.582542816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56.308199282</v>
      </c>
      <c r="AS769" t="n">
        <v/>
      </c>
      <c r="AT769" t="n">
        <v>46.585932951</v>
      </c>
      <c r="AU769" t="n">
        <v/>
      </c>
    </row>
    <row r="770">
      <c r="A770" s="107" t="n">
        <v>30317</v>
      </c>
      <c r="B770" t="n">
        <v>36.095241891</v>
      </c>
      <c r="C770" t="n">
        <v>51.422216218</v>
      </c>
      <c r="D770" t="n">
        <v>58.060032889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56.10124663</v>
      </c>
      <c r="L770" t="n">
        <v>65.035345122</v>
      </c>
      <c r="M770" t="n">
        <v>63.153402094</v>
      </c>
      <c r="N770" t="n">
        <v>83.818892199</v>
      </c>
      <c r="O770" t="n">
        <v/>
      </c>
      <c r="P770" t="n">
        <v/>
      </c>
      <c r="Q770" t="n">
        <v>52.426856112</v>
      </c>
      <c r="R770" t="n">
        <v>79.071454987</v>
      </c>
      <c r="S770" t="n">
        <v>58.134949855</v>
      </c>
      <c r="T770" t="n">
        <v>65.925793153</v>
      </c>
      <c r="U770" t="n">
        <v/>
      </c>
      <c r="V770" t="n">
        <v>114.016316053</v>
      </c>
      <c r="W770" t="n">
        <v/>
      </c>
      <c r="X770" t="n">
        <v/>
      </c>
      <c r="Y770" t="n">
        <v/>
      </c>
      <c r="Z770" t="n">
        <v>8.884302149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47.5058354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51.206347618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56.308199282</v>
      </c>
      <c r="AS770" t="n">
        <v/>
      </c>
      <c r="AT770" t="n">
        <v>47.449603127</v>
      </c>
      <c r="AU770" t="n">
        <v/>
      </c>
    </row>
    <row r="771">
      <c r="A771" s="107" t="n">
        <v>30348</v>
      </c>
      <c r="B771" t="n">
        <v>36.639175469</v>
      </c>
      <c r="C771" t="n">
        <v>51.549605967</v>
      </c>
      <c r="D771" t="n">
        <v>56.83493547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55.607506285</v>
      </c>
      <c r="L771" t="n">
        <v>64.410005265</v>
      </c>
      <c r="M771" t="n">
        <v>63.424200206</v>
      </c>
      <c r="N771" t="n">
        <v>83.05486262700001</v>
      </c>
      <c r="O771" t="n">
        <v/>
      </c>
      <c r="P771" t="n">
        <v/>
      </c>
      <c r="Q771" t="n">
        <v>53.238103402</v>
      </c>
      <c r="R771" t="n">
        <v>78.74639248299999</v>
      </c>
      <c r="S771" t="n">
        <v>57.914020556</v>
      </c>
      <c r="T771" t="n">
        <v>66.89370855</v>
      </c>
      <c r="U771" t="n">
        <v/>
      </c>
      <c r="V771" t="n">
        <v>114.955987787</v>
      </c>
      <c r="W771" t="n">
        <v/>
      </c>
      <c r="X771" t="n">
        <v/>
      </c>
      <c r="Y771" t="n">
        <v/>
      </c>
      <c r="Z771" t="n">
        <v>8.479447874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50.081981589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51.057450747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56.652943359</v>
      </c>
      <c r="AS771" t="n">
        <v/>
      </c>
      <c r="AT771" t="n">
        <v>47.166406569</v>
      </c>
      <c r="AU771" t="n">
        <v/>
      </c>
    </row>
    <row r="772">
      <c r="A772" s="107" t="n">
        <v>30376</v>
      </c>
      <c r="B772" t="n">
        <v>36.199364366</v>
      </c>
      <c r="C772" t="n">
        <v>51.641311303</v>
      </c>
      <c r="D772" t="n">
        <v>58.941874108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56.594986974</v>
      </c>
      <c r="L772" t="n">
        <v>63.159325552</v>
      </c>
      <c r="M772" t="n">
        <v>64.01503245000001</v>
      </c>
      <c r="N772" t="n">
        <v>84.774001591</v>
      </c>
      <c r="O772" t="n">
        <v/>
      </c>
      <c r="P772" t="n">
        <v/>
      </c>
      <c r="Q772" t="n">
        <v>53.187400446</v>
      </c>
      <c r="R772" t="n">
        <v>79.559048753</v>
      </c>
      <c r="S772" t="n">
        <v>58.381193683</v>
      </c>
      <c r="T772" t="n">
        <v>66.033339308</v>
      </c>
      <c r="U772" t="n">
        <v/>
      </c>
      <c r="V772" t="n">
        <v>113.697602825</v>
      </c>
      <c r="W772" t="n">
        <v/>
      </c>
      <c r="X772" t="n">
        <v/>
      </c>
      <c r="Y772" t="n">
        <v/>
      </c>
      <c r="Z772" t="n">
        <v>8.254528832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48.384494114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51.364841301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56.308199282</v>
      </c>
      <c r="AS772" t="n">
        <v/>
      </c>
      <c r="AT772" t="n">
        <v>47.556297628</v>
      </c>
      <c r="AU772" t="n">
        <v/>
      </c>
    </row>
    <row r="773">
      <c r="A773" s="107" t="n">
        <v>30407</v>
      </c>
      <c r="B773" t="n">
        <v>37.580052909</v>
      </c>
      <c r="C773" t="n">
        <v>51.647001982</v>
      </c>
      <c r="D773" t="n">
        <v>58.388543511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57.150444862</v>
      </c>
      <c r="L773" t="n">
        <v>65.660684979</v>
      </c>
      <c r="M773" t="n">
        <v>63.785264355</v>
      </c>
      <c r="N773" t="n">
        <v>82.843356583</v>
      </c>
      <c r="O773" t="n">
        <v/>
      </c>
      <c r="P773" t="n">
        <v/>
      </c>
      <c r="Q773" t="n">
        <v>54.150756603</v>
      </c>
      <c r="R773" t="n">
        <v>79.071454987</v>
      </c>
      <c r="S773" t="n">
        <v>58.796895596</v>
      </c>
      <c r="T773" t="n">
        <v>66.78616239500001</v>
      </c>
      <c r="U773" t="n">
        <v/>
      </c>
      <c r="V773" t="n">
        <v>117.904572646</v>
      </c>
      <c r="W773" t="n">
        <v/>
      </c>
      <c r="X773" t="n">
        <v/>
      </c>
      <c r="Y773" t="n">
        <v/>
      </c>
      <c r="Z773" t="n">
        <v>8.097085503000001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51.375818263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51.72439194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57.802090283</v>
      </c>
      <c r="AS773" t="n">
        <v/>
      </c>
      <c r="AT773" t="n">
        <v>48.147777834</v>
      </c>
      <c r="AU773" t="n">
        <v/>
      </c>
    </row>
    <row r="774">
      <c r="A774" s="107" t="n">
        <v>30437</v>
      </c>
      <c r="B774" t="n">
        <v>37.427900267</v>
      </c>
      <c r="C774" t="n">
        <v>51.32643458</v>
      </c>
      <c r="D774" t="n">
        <v>60.047859832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56.780139603</v>
      </c>
      <c r="L774" t="n">
        <v>66.286024836</v>
      </c>
      <c r="M774" t="n">
        <v>63.916560409</v>
      </c>
      <c r="N774" t="n">
        <v>83.477854666</v>
      </c>
      <c r="O774" t="n">
        <v/>
      </c>
      <c r="P774" t="n">
        <v/>
      </c>
      <c r="Q774" t="n">
        <v>54.809895026</v>
      </c>
      <c r="R774" t="n">
        <v>79.721580006</v>
      </c>
      <c r="S774" t="n">
        <v>58.978214956</v>
      </c>
      <c r="T774" t="n">
        <v>67.538985481</v>
      </c>
      <c r="U774" t="n">
        <v/>
      </c>
      <c r="V774" t="n">
        <v>107.978008614</v>
      </c>
      <c r="W774" t="n">
        <v/>
      </c>
      <c r="X774" t="n">
        <v/>
      </c>
      <c r="Y774" t="n">
        <v/>
      </c>
      <c r="Z774" t="n">
        <v>8.209545024000001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51.705985535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51.824287523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57.457346206</v>
      </c>
      <c r="AS774" t="n">
        <v/>
      </c>
      <c r="AT774" t="n">
        <v>48.453483362</v>
      </c>
      <c r="AU774" t="n">
        <v/>
      </c>
    </row>
    <row r="775">
      <c r="A775" s="107" t="n">
        <v>30468</v>
      </c>
      <c r="B775" t="n">
        <v>37.427900267</v>
      </c>
      <c r="C775" t="n">
        <v>51.947368637</v>
      </c>
      <c r="D775" t="n">
        <v>57.993629629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58.693383438</v>
      </c>
      <c r="L775" t="n">
        <v>66.911364693</v>
      </c>
      <c r="M775" t="n">
        <v>64.400714609</v>
      </c>
      <c r="N775" t="n">
        <v>83.214510163</v>
      </c>
      <c r="O775" t="n">
        <v/>
      </c>
      <c r="P775" t="n">
        <v/>
      </c>
      <c r="Q775" t="n">
        <v>55.570439361</v>
      </c>
      <c r="R775" t="n">
        <v>79.721580006</v>
      </c>
      <c r="S775" t="n">
        <v>59.537450231</v>
      </c>
      <c r="T775" t="n">
        <v>66.571070084</v>
      </c>
      <c r="U775" t="n">
        <v/>
      </c>
      <c r="V775" t="n">
        <v>115.610237466</v>
      </c>
      <c r="W775" t="n">
        <v/>
      </c>
      <c r="X775" t="n">
        <v/>
      </c>
      <c r="Y775" t="n">
        <v/>
      </c>
      <c r="Z775" t="n">
        <v>8.434464066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50.339380123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52.253857129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57.802090283</v>
      </c>
      <c r="AS775" t="n">
        <v/>
      </c>
      <c r="AT775" t="n">
        <v>48.742133636</v>
      </c>
      <c r="AU775" t="n">
        <v/>
      </c>
    </row>
    <row r="776">
      <c r="A776" s="107" t="n">
        <v>30498</v>
      </c>
      <c r="B776" t="n">
        <v>39.117364739</v>
      </c>
      <c r="C776" t="n">
        <v>52.332463155</v>
      </c>
      <c r="D776" t="n">
        <v>57.848201486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56.039529087</v>
      </c>
      <c r="L776" t="n">
        <v>65.660684979</v>
      </c>
      <c r="M776" t="n">
        <v>64.04785646400001</v>
      </c>
      <c r="N776" t="n">
        <v>82.01070328199999</v>
      </c>
      <c r="O776" t="n">
        <v/>
      </c>
      <c r="P776" t="n">
        <v/>
      </c>
      <c r="Q776" t="n">
        <v>53.085994535</v>
      </c>
      <c r="R776" t="n">
        <v>78.50259560000001</v>
      </c>
      <c r="S776" t="n">
        <v>59.630590445</v>
      </c>
      <c r="T776" t="n">
        <v>67.64653163600001</v>
      </c>
      <c r="U776" t="n">
        <v/>
      </c>
      <c r="V776" t="n">
        <v>116.430292813</v>
      </c>
      <c r="W776" t="n">
        <v/>
      </c>
      <c r="X776" t="n">
        <v/>
      </c>
      <c r="Y776" t="n">
        <v/>
      </c>
      <c r="Z776" t="n">
        <v>8.974269766000001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51.878542783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52.353160081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59.238523938</v>
      </c>
      <c r="AS776" t="n">
        <v/>
      </c>
      <c r="AT776" t="n">
        <v>49.467477761</v>
      </c>
      <c r="AU776" t="n">
        <v/>
      </c>
    </row>
    <row r="777">
      <c r="A777" s="107" t="n">
        <v>30529</v>
      </c>
      <c r="B777" t="n">
        <v>37.473241762</v>
      </c>
      <c r="C777" t="n">
        <v>53.221420693</v>
      </c>
      <c r="D777" t="n">
        <v>59.183339461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56.594986974</v>
      </c>
      <c r="L777" t="n">
        <v>66.286024836</v>
      </c>
      <c r="M777" t="n">
        <v>64.38430260299999</v>
      </c>
      <c r="N777" t="n">
        <v>82.33119329199999</v>
      </c>
      <c r="O777" t="n">
        <v/>
      </c>
      <c r="P777" t="n">
        <v/>
      </c>
      <c r="Q777" t="n">
        <v>55.418330494</v>
      </c>
      <c r="R777" t="n">
        <v>78.50259560000001</v>
      </c>
      <c r="S777" t="n">
        <v>60.415382488</v>
      </c>
      <c r="T777" t="n">
        <v>67.754077792</v>
      </c>
      <c r="U777" t="n">
        <v/>
      </c>
      <c r="V777" t="n">
        <v>118.841932362</v>
      </c>
      <c r="W777" t="n">
        <v/>
      </c>
      <c r="X777" t="n">
        <v/>
      </c>
      <c r="Y777" t="n">
        <v/>
      </c>
      <c r="Z777" t="n">
        <v>8.614399299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51.951651195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52.903862752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57.859547629</v>
      </c>
      <c r="AS777" t="n">
        <v/>
      </c>
      <c r="AT777" t="n">
        <v>50.059453759</v>
      </c>
      <c r="AU777" t="n">
        <v/>
      </c>
    </row>
    <row r="778">
      <c r="A778" s="107" t="n">
        <v>30560</v>
      </c>
      <c r="B778" t="n">
        <v>37.79815287</v>
      </c>
      <c r="C778" t="n">
        <v>51.489231364</v>
      </c>
      <c r="D778" t="n">
        <v>58.929853679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58.076208007</v>
      </c>
      <c r="L778" t="n">
        <v>68.162044407</v>
      </c>
      <c r="M778" t="n">
        <v>65.048988877</v>
      </c>
      <c r="N778" t="n">
        <v>83.777862316</v>
      </c>
      <c r="O778" t="n">
        <v/>
      </c>
      <c r="P778" t="n">
        <v/>
      </c>
      <c r="Q778" t="n">
        <v>55.469033449</v>
      </c>
      <c r="R778" t="n">
        <v>79.31525187</v>
      </c>
      <c r="S778" t="n">
        <v>61.158312566</v>
      </c>
      <c r="T778" t="n">
        <v>68.076716257</v>
      </c>
      <c r="U778" t="n">
        <v/>
      </c>
      <c r="V778" t="n">
        <v>114.581203068</v>
      </c>
      <c r="W778" t="n">
        <v/>
      </c>
      <c r="X778" t="n">
        <v/>
      </c>
      <c r="Y778" t="n">
        <v/>
      </c>
      <c r="Z778" t="n">
        <v>8.524431681999999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53.202714751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53.486241778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58.60649313</v>
      </c>
      <c r="AS778" t="n">
        <v/>
      </c>
      <c r="AT778" t="n">
        <v>50.784996201</v>
      </c>
      <c r="AU778" t="n">
        <v/>
      </c>
    </row>
    <row r="779">
      <c r="A779" s="107" t="n">
        <v>30590</v>
      </c>
      <c r="B779" t="n">
        <v>38.378874583</v>
      </c>
      <c r="C779" t="n">
        <v>52.710385161</v>
      </c>
      <c r="D779" t="n">
        <v>59.490528718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57.891055378</v>
      </c>
      <c r="L779" t="n">
        <v>66.911364693</v>
      </c>
      <c r="M779" t="n">
        <v>64.860250799</v>
      </c>
      <c r="N779" t="n">
        <v>82.81442645</v>
      </c>
      <c r="O779" t="n">
        <v/>
      </c>
      <c r="P779" t="n">
        <v/>
      </c>
      <c r="Q779" t="n">
        <v>54.962003893</v>
      </c>
      <c r="R779" t="n">
        <v>78.58386123</v>
      </c>
      <c r="S779" t="n">
        <v>61.290662379</v>
      </c>
      <c r="T779" t="n">
        <v>68.721993189</v>
      </c>
      <c r="U779" t="n">
        <v/>
      </c>
      <c r="V779" t="n">
        <v>114.643027574</v>
      </c>
      <c r="W779" t="n">
        <v/>
      </c>
      <c r="X779" t="n">
        <v/>
      </c>
      <c r="Y779" t="n">
        <v/>
      </c>
      <c r="Z779" t="n">
        <v>8.704366916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54.228684046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53.625577813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59.698182708</v>
      </c>
      <c r="AS779" t="n">
        <v/>
      </c>
      <c r="AT779" t="n">
        <v>51.179547709</v>
      </c>
      <c r="AU779" t="n">
        <v/>
      </c>
    </row>
    <row r="780">
      <c r="A780" s="107" t="n">
        <v>30621</v>
      </c>
      <c r="B780" t="n">
        <v>37.994774873</v>
      </c>
      <c r="C780" t="n">
        <v>53.996764583</v>
      </c>
      <c r="D780" t="n">
        <v>59.830605232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58.631665895</v>
      </c>
      <c r="L780" t="n">
        <v>67.53670455</v>
      </c>
      <c r="M780" t="n">
        <v>65.49211305999999</v>
      </c>
      <c r="N780" t="n">
        <v>83.120773687</v>
      </c>
      <c r="O780" t="n">
        <v/>
      </c>
      <c r="P780" t="n">
        <v/>
      </c>
      <c r="Q780" t="n">
        <v>55.874657094</v>
      </c>
      <c r="R780" t="n">
        <v>80.53423627700001</v>
      </c>
      <c r="S780" t="n">
        <v>61.830512114</v>
      </c>
      <c r="T780" t="n">
        <v>68.61444703399999</v>
      </c>
      <c r="U780" t="n">
        <v/>
      </c>
      <c r="V780" t="n">
        <v>116.229204455</v>
      </c>
      <c r="W780" t="n">
        <v/>
      </c>
      <c r="X780" t="n">
        <v/>
      </c>
      <c r="Y780" t="n">
        <v/>
      </c>
      <c r="Z780" t="n">
        <v>8.569415491000001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55.682394838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54.056671431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59.755640054</v>
      </c>
      <c r="AS780" t="n">
        <v/>
      </c>
      <c r="AT780" t="n">
        <v>51.405728153</v>
      </c>
      <c r="AU780" t="n">
        <v/>
      </c>
    </row>
    <row r="781">
      <c r="A781" s="107" t="n">
        <v>30651</v>
      </c>
      <c r="B781" t="n">
        <v>36.810326487</v>
      </c>
      <c r="C781" t="n">
        <v>52.293833321</v>
      </c>
      <c r="D781" t="n">
        <v>60.589734255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59.804299213</v>
      </c>
      <c r="L781" t="n">
        <v>70.038063978</v>
      </c>
      <c r="M781" t="n">
        <v>66.214241359</v>
      </c>
      <c r="N781" t="n">
        <v>85.092133804</v>
      </c>
      <c r="O781" t="n">
        <v/>
      </c>
      <c r="P781" t="n">
        <v/>
      </c>
      <c r="Q781" t="n">
        <v>53.84653887</v>
      </c>
      <c r="R781" t="n">
        <v>80.940564412</v>
      </c>
      <c r="S781" t="n">
        <v>62.414366375</v>
      </c>
      <c r="T781" t="n">
        <v>68.93708549900001</v>
      </c>
      <c r="U781" t="n">
        <v/>
      </c>
      <c r="V781" t="n">
        <v>116.978162073</v>
      </c>
      <c r="W781" t="n">
        <v/>
      </c>
      <c r="X781" t="n">
        <v/>
      </c>
      <c r="Y781" t="n">
        <v/>
      </c>
      <c r="Z781" t="n">
        <v>9.221680712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55.816665495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54.56918782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59.468353323</v>
      </c>
      <c r="AS781" t="n">
        <v/>
      </c>
      <c r="AT781" t="n">
        <v>51.656400736</v>
      </c>
      <c r="AU781" t="n">
        <v/>
      </c>
    </row>
    <row r="782">
      <c r="A782" s="107" t="n">
        <v>30682</v>
      </c>
      <c r="B782" t="n">
        <v>38.724157349</v>
      </c>
      <c r="C782" t="n">
        <v>53.20592471</v>
      </c>
      <c r="D782" t="n">
        <v>59.378285916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59.063688696</v>
      </c>
      <c r="L782" t="n">
        <v>70.663403835</v>
      </c>
      <c r="M782" t="n">
        <v>65.787529182</v>
      </c>
      <c r="N782" t="n">
        <v>85.011964687</v>
      </c>
      <c r="O782" t="n">
        <v/>
      </c>
      <c r="P782" t="n">
        <v/>
      </c>
      <c r="Q782" t="n">
        <v>55.823954139</v>
      </c>
      <c r="R782" t="n">
        <v>81.26562691700001</v>
      </c>
      <c r="S782" t="n">
        <v>63.013155152</v>
      </c>
      <c r="T782" t="n">
        <v>69.905000896</v>
      </c>
      <c r="U782" t="n">
        <v/>
      </c>
      <c r="V782" t="n">
        <v>117.899679948</v>
      </c>
      <c r="W782" t="n">
        <v/>
      </c>
      <c r="X782" t="n">
        <v/>
      </c>
      <c r="Y782" t="n">
        <v/>
      </c>
      <c r="Z782" t="n">
        <v>8.816826435999999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55.074565859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55.114213762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60.789872286</v>
      </c>
      <c r="AS782" t="n">
        <v/>
      </c>
      <c r="AT782" t="n">
        <v>52.687648707</v>
      </c>
      <c r="AU782" t="n">
        <v/>
      </c>
    </row>
    <row r="783">
      <c r="A783" s="107" t="n">
        <v>30713</v>
      </c>
      <c r="B783" t="n">
        <v>38.415165196</v>
      </c>
      <c r="C783" t="n">
        <v>52.988358949</v>
      </c>
      <c r="D783" t="n">
        <v>61.704484293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59.619146584</v>
      </c>
      <c r="L783" t="n">
        <v>70.038063978</v>
      </c>
      <c r="M783" t="n">
        <v>65.598791104</v>
      </c>
      <c r="N783" t="n">
        <v>84.23585842200001</v>
      </c>
      <c r="O783" t="n">
        <v/>
      </c>
      <c r="P783" t="n">
        <v/>
      </c>
      <c r="Q783" t="n">
        <v>55.164815716</v>
      </c>
      <c r="R783" t="n">
        <v>81.021830034</v>
      </c>
      <c r="S783" t="n">
        <v>63.278068314</v>
      </c>
      <c r="T783" t="n">
        <v>69.25972396500001</v>
      </c>
      <c r="U783" t="n">
        <v/>
      </c>
      <c r="V783" t="n">
        <v>112.293078629</v>
      </c>
      <c r="W783" t="n">
        <v/>
      </c>
      <c r="X783" t="n">
        <v/>
      </c>
      <c r="Y783" t="n">
        <v/>
      </c>
      <c r="Z783" t="n">
        <v>8.929285956999999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55.963849309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55.232896871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60.617500247</v>
      </c>
      <c r="AS783" t="n">
        <v/>
      </c>
      <c r="AT783" t="n">
        <v>52.927116384</v>
      </c>
      <c r="AU783" t="n">
        <v/>
      </c>
    </row>
    <row r="784">
      <c r="A784" s="107" t="n">
        <v>30742</v>
      </c>
      <c r="B784" t="n">
        <v>38.436010251</v>
      </c>
      <c r="C784" t="n">
        <v>53.113422486</v>
      </c>
      <c r="D784" t="n">
        <v>58.877804969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58.693383438</v>
      </c>
      <c r="L784" t="n">
        <v>71.914083549</v>
      </c>
      <c r="M784" t="n">
        <v>65.426465033</v>
      </c>
      <c r="N784" t="n">
        <v>82.813432005</v>
      </c>
      <c r="O784" t="n">
        <v/>
      </c>
      <c r="P784" t="n">
        <v/>
      </c>
      <c r="Q784" t="n">
        <v>55.671845272</v>
      </c>
      <c r="R784" t="n">
        <v>80.85929878100001</v>
      </c>
      <c r="S784" t="n">
        <v>63.216318412</v>
      </c>
      <c r="T784" t="n">
        <v>68.399354723</v>
      </c>
      <c r="U784" t="n">
        <v/>
      </c>
      <c r="V784" t="n">
        <v>118.418281149</v>
      </c>
      <c r="W784" t="n">
        <v/>
      </c>
      <c r="X784" t="n">
        <v/>
      </c>
      <c r="Y784" t="n">
        <v/>
      </c>
      <c r="Z784" t="n">
        <v>9.131713095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55.936998557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55.229956464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60.330213516</v>
      </c>
      <c r="AS784" t="n">
        <v/>
      </c>
      <c r="AT784" t="n">
        <v>53.180069613</v>
      </c>
      <c r="AU784" t="n">
        <v/>
      </c>
    </row>
    <row r="785">
      <c r="A785" s="107" t="n">
        <v>30773</v>
      </c>
      <c r="B785" t="n">
        <v>38.612332426</v>
      </c>
      <c r="C785" t="n">
        <v>52.777779449</v>
      </c>
      <c r="D785" t="n">
        <v>61.340031367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58.261360636</v>
      </c>
      <c r="L785" t="n">
        <v>70.038063978</v>
      </c>
      <c r="M785" t="n">
        <v>65.360817006</v>
      </c>
      <c r="N785" t="n">
        <v>83.67020962300001</v>
      </c>
      <c r="O785" t="n">
        <v/>
      </c>
      <c r="P785" t="n">
        <v/>
      </c>
      <c r="Q785" t="n">
        <v>56.077468917</v>
      </c>
      <c r="R785" t="n">
        <v>79.559048753</v>
      </c>
      <c r="S785" t="n">
        <v>63.136369213</v>
      </c>
      <c r="T785" t="n">
        <v>67.10880086</v>
      </c>
      <c r="U785" t="n">
        <v/>
      </c>
      <c r="V785" t="n">
        <v>116.165158595</v>
      </c>
      <c r="W785" t="n">
        <v/>
      </c>
      <c r="X785" t="n">
        <v/>
      </c>
      <c r="Y785" t="n">
        <v/>
      </c>
      <c r="Z785" t="n">
        <v>9.289156424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56.620091127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55.221545436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60.962244324</v>
      </c>
      <c r="AS785" t="n">
        <v/>
      </c>
      <c r="AT785" t="n">
        <v>53.495096036</v>
      </c>
      <c r="AU785" t="n">
        <v/>
      </c>
    </row>
    <row r="786">
      <c r="A786" s="107" t="n">
        <v>30803</v>
      </c>
      <c r="B786" t="n">
        <v>38.936573317</v>
      </c>
      <c r="C786" t="n">
        <v>53.820563623</v>
      </c>
      <c r="D786" t="n">
        <v>63.270339961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58.693383438</v>
      </c>
      <c r="L786" t="n">
        <v>73.79010312</v>
      </c>
      <c r="M786" t="n">
        <v>66.38656743</v>
      </c>
      <c r="N786" t="n">
        <v>83.384780819</v>
      </c>
      <c r="O786" t="n">
        <v/>
      </c>
      <c r="P786" t="n">
        <v/>
      </c>
      <c r="Q786" t="n">
        <v>56.483092562</v>
      </c>
      <c r="R786" t="n">
        <v>81.671955052</v>
      </c>
      <c r="S786" t="n">
        <v>63.86960061</v>
      </c>
      <c r="T786" t="n">
        <v>66.571070084</v>
      </c>
      <c r="U786" t="n">
        <v/>
      </c>
      <c r="V786" t="n">
        <v>117.31688882</v>
      </c>
      <c r="W786" t="n">
        <v/>
      </c>
      <c r="X786" t="n">
        <v/>
      </c>
      <c r="Y786" t="n">
        <v/>
      </c>
      <c r="Z786" t="n">
        <v>9.311648328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57.035995238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55.79444679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62.743422057</v>
      </c>
      <c r="AS786" t="n">
        <v/>
      </c>
      <c r="AT786" t="n">
        <v>53.783151358</v>
      </c>
      <c r="AU786" t="n">
        <v/>
      </c>
    </row>
    <row r="787">
      <c r="A787" s="107" t="n">
        <v>30834</v>
      </c>
      <c r="B787" t="n">
        <v>38.937796285</v>
      </c>
      <c r="C787" t="n">
        <v>53.50854939</v>
      </c>
      <c r="D787" t="n">
        <v>64.2905351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53.138804564</v>
      </c>
      <c r="L787" t="n">
        <v>70.663403835</v>
      </c>
      <c r="M787" t="n">
        <v>63.04672405</v>
      </c>
      <c r="N787" t="n">
        <v>83.452581526</v>
      </c>
      <c r="O787" t="n">
        <v/>
      </c>
      <c r="P787" t="n">
        <v/>
      </c>
      <c r="Q787" t="n">
        <v>56.685904384</v>
      </c>
      <c r="R787" t="n">
        <v>79.721580006</v>
      </c>
      <c r="S787" t="n">
        <v>63.20940327</v>
      </c>
      <c r="T787" t="n">
        <v>67.10880086</v>
      </c>
      <c r="U787" t="n">
        <v/>
      </c>
      <c r="V787" t="n">
        <v>116.824691492</v>
      </c>
      <c r="W787" t="n">
        <v/>
      </c>
      <c r="X787" t="n">
        <v/>
      </c>
      <c r="Y787" t="n">
        <v/>
      </c>
      <c r="Z787" t="n">
        <v>9.963913549000001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59.119984571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55.401027515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61.47936044</v>
      </c>
      <c r="AS787" t="n">
        <v/>
      </c>
      <c r="AT787" t="n">
        <v>53.970759162</v>
      </c>
      <c r="AU787" t="n">
        <v/>
      </c>
    </row>
    <row r="788">
      <c r="A788" s="107" t="n">
        <v>30864</v>
      </c>
      <c r="B788" t="n">
        <v>38.99886318</v>
      </c>
      <c r="C788" t="n">
        <v>53.100480193</v>
      </c>
      <c r="D788" t="n">
        <v>63.899383468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59.680864127</v>
      </c>
      <c r="L788" t="n">
        <v>74.415442977</v>
      </c>
      <c r="M788" t="n">
        <v>66.66557154500001</v>
      </c>
      <c r="N788" t="n">
        <v>83.90381901400001</v>
      </c>
      <c r="O788" t="n">
        <v/>
      </c>
      <c r="P788" t="n">
        <v/>
      </c>
      <c r="Q788" t="n">
        <v>57.294339852</v>
      </c>
      <c r="R788" t="n">
        <v>81.10309566399999</v>
      </c>
      <c r="S788" t="n">
        <v>64.112907175</v>
      </c>
      <c r="T788" t="n">
        <v>66.140885463</v>
      </c>
      <c r="U788" t="n">
        <v/>
      </c>
      <c r="V788" t="n">
        <v>111.95643488</v>
      </c>
      <c r="W788" t="n">
        <v/>
      </c>
      <c r="X788" t="n">
        <v/>
      </c>
      <c r="Y788" t="n">
        <v/>
      </c>
      <c r="Z788" t="n">
        <v>9.604043083000001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57.226703744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56.059037216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60.674957593</v>
      </c>
      <c r="AS788" t="n">
        <v/>
      </c>
      <c r="AT788" t="n">
        <v>54.127132051</v>
      </c>
      <c r="AU788" t="n">
        <v/>
      </c>
    </row>
    <row r="789">
      <c r="A789" s="107" t="n">
        <v>30895</v>
      </c>
      <c r="B789" t="n">
        <v>39.400905929</v>
      </c>
      <c r="C789" t="n">
        <v>53.572458875</v>
      </c>
      <c r="D789" t="n">
        <v>63.52003256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59.063688696</v>
      </c>
      <c r="L789" t="n">
        <v>75.040782834</v>
      </c>
      <c r="M789" t="n">
        <v>68.134446152</v>
      </c>
      <c r="N789" t="n">
        <v>87.628401899</v>
      </c>
      <c r="O789" t="n">
        <v/>
      </c>
      <c r="P789" t="n">
        <v/>
      </c>
      <c r="Q789" t="n">
        <v>56.73660734</v>
      </c>
      <c r="R789" t="n">
        <v>81.10309566399999</v>
      </c>
      <c r="S789" t="n">
        <v>64.521849335</v>
      </c>
      <c r="T789" t="n">
        <v>65.81824699800001</v>
      </c>
      <c r="U789" t="n">
        <v/>
      </c>
      <c r="V789" t="n">
        <v>126.52589412</v>
      </c>
      <c r="W789" t="n">
        <v/>
      </c>
      <c r="X789" t="n">
        <v/>
      </c>
      <c r="Y789" t="n">
        <v/>
      </c>
      <c r="Z789" t="n">
        <v>8.861810244999999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59.350992551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56.543067711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62.341220633</v>
      </c>
      <c r="AS789" t="n">
        <v/>
      </c>
      <c r="AT789" t="n">
        <v>54.193072426</v>
      </c>
      <c r="AU789" t="n">
        <v/>
      </c>
    </row>
    <row r="790">
      <c r="A790" s="107" t="n">
        <v>30926</v>
      </c>
      <c r="B790" t="n">
        <v>41.349222171</v>
      </c>
      <c r="C790" t="n">
        <v>54.238340022</v>
      </c>
      <c r="D790" t="n">
        <v>63.147498703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60.298039557</v>
      </c>
      <c r="L790" t="n">
        <v>75.040782834</v>
      </c>
      <c r="M790" t="n">
        <v>67.83082402700001</v>
      </c>
      <c r="N790" t="n">
        <v>84.366383352</v>
      </c>
      <c r="O790" t="n">
        <v/>
      </c>
      <c r="P790" t="n">
        <v/>
      </c>
      <c r="Q790" t="n">
        <v>56.888716207</v>
      </c>
      <c r="R790" t="n">
        <v>80.940564412</v>
      </c>
      <c r="S790" t="n">
        <v>64.359278945</v>
      </c>
      <c r="T790" t="n">
        <v>67.00125470499999</v>
      </c>
      <c r="U790" t="n">
        <v/>
      </c>
      <c r="V790" t="n">
        <v>120.781301831</v>
      </c>
      <c r="W790" t="n">
        <v/>
      </c>
      <c r="X790" t="n">
        <v/>
      </c>
      <c r="Y790" t="n">
        <v/>
      </c>
      <c r="Z790" t="n">
        <v>9.738994507999999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60.823345483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56.462699753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63.317995519</v>
      </c>
      <c r="AS790" t="n">
        <v/>
      </c>
      <c r="AT790" t="n">
        <v>54.036302903</v>
      </c>
      <c r="AU790" t="n">
        <v/>
      </c>
    </row>
    <row r="791">
      <c r="A791" s="107" t="n">
        <v>30956</v>
      </c>
      <c r="B791" t="n">
        <v>40.024040537</v>
      </c>
      <c r="C791" t="n">
        <v>53.651978658</v>
      </c>
      <c r="D791" t="n">
        <v>64.046048853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60.051169385</v>
      </c>
      <c r="L791" t="n">
        <v>75.666122691</v>
      </c>
      <c r="M791" t="n">
        <v>67.23178577900001</v>
      </c>
      <c r="N791" t="n">
        <v>84.575297022</v>
      </c>
      <c r="O791" t="n">
        <v/>
      </c>
      <c r="P791" t="n">
        <v/>
      </c>
      <c r="Q791" t="n">
        <v>57.852072364</v>
      </c>
      <c r="R791" t="n">
        <v>81.26562691700001</v>
      </c>
      <c r="S791" t="n">
        <v>64.741958388</v>
      </c>
      <c r="T791" t="n">
        <v>67.00125470499999</v>
      </c>
      <c r="U791" t="n">
        <v/>
      </c>
      <c r="V791" t="n">
        <v>120.157277939</v>
      </c>
      <c r="W791" t="n">
        <v/>
      </c>
      <c r="X791" t="n">
        <v/>
      </c>
      <c r="Y791" t="n">
        <v/>
      </c>
      <c r="Z791" t="n">
        <v>9.53656737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56.159041619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56.598491579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63.777654288</v>
      </c>
      <c r="AS791" t="n">
        <v/>
      </c>
      <c r="AT791" t="n">
        <v>54.018751856</v>
      </c>
      <c r="AU791" t="n">
        <v/>
      </c>
    </row>
    <row r="792">
      <c r="A792" s="107" t="n">
        <v>30987</v>
      </c>
      <c r="B792" t="n">
        <v>38.734775586</v>
      </c>
      <c r="C792" t="n">
        <v>52.439776577</v>
      </c>
      <c r="D792" t="n">
        <v>64.665992065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60.544909729</v>
      </c>
      <c r="L792" t="n">
        <v>76.29146254699999</v>
      </c>
      <c r="M792" t="n">
        <v>66.969193671</v>
      </c>
      <c r="N792" t="n">
        <v>83.484035865</v>
      </c>
      <c r="O792" t="n">
        <v/>
      </c>
      <c r="P792" t="n">
        <v/>
      </c>
      <c r="Q792" t="n">
        <v>58.663319654</v>
      </c>
      <c r="R792" t="n">
        <v>80.04664251</v>
      </c>
      <c r="S792" t="n">
        <v>64.69898513299999</v>
      </c>
      <c r="T792" t="n">
        <v>66.67861623899999</v>
      </c>
      <c r="U792" t="n">
        <v/>
      </c>
      <c r="V792" t="n">
        <v>116.873104015</v>
      </c>
      <c r="W792" t="n">
        <v/>
      </c>
      <c r="X792" t="n">
        <v/>
      </c>
      <c r="Y792" t="n">
        <v/>
      </c>
      <c r="Z792" t="n">
        <v>9.783978316000001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60.425581926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56.643786301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63.950026327</v>
      </c>
      <c r="AS792" t="n">
        <v/>
      </c>
      <c r="AT792" t="n">
        <v>54.199418568</v>
      </c>
      <c r="AU792" t="n">
        <v/>
      </c>
    </row>
    <row r="793">
      <c r="A793" s="107" t="n">
        <v>31017</v>
      </c>
      <c r="B793" t="n">
        <v>41.471435384</v>
      </c>
      <c r="C793" t="n">
        <v>55.47437413</v>
      </c>
      <c r="D793" t="n">
        <v>66.16067587400001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60.915214988</v>
      </c>
      <c r="L793" t="n">
        <v>76.91680240399999</v>
      </c>
      <c r="M793" t="n">
        <v>67.822618023</v>
      </c>
      <c r="N793" t="n">
        <v>84.251635213</v>
      </c>
      <c r="O793" t="n">
        <v/>
      </c>
      <c r="P793" t="n">
        <v/>
      </c>
      <c r="Q793" t="n">
        <v>60.083002411</v>
      </c>
      <c r="R793" t="n">
        <v>80.04664251</v>
      </c>
      <c r="S793" t="n">
        <v>64.87397079900001</v>
      </c>
      <c r="T793" t="n">
        <v>67.754077792</v>
      </c>
      <c r="U793" t="n">
        <v/>
      </c>
      <c r="V793" t="n">
        <v>113.125016359</v>
      </c>
      <c r="W793" t="n">
        <v/>
      </c>
      <c r="X793" t="n">
        <v/>
      </c>
      <c r="Y793" t="n">
        <v/>
      </c>
      <c r="Z793" t="n">
        <v>10.008897358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62.035531182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56.905251086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65.788661406</v>
      </c>
      <c r="AS793" t="n">
        <v/>
      </c>
      <c r="AT793" t="n">
        <v>54.228967789</v>
      </c>
      <c r="AU793" t="n">
        <v/>
      </c>
    </row>
    <row r="794">
      <c r="A794" s="107" t="n">
        <v>31048</v>
      </c>
      <c r="B794" t="n">
        <v>41.073895945</v>
      </c>
      <c r="C794" t="n">
        <v>52.974536583</v>
      </c>
      <c r="D794" t="n">
        <v>66.54121744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60.915214988</v>
      </c>
      <c r="L794" t="n">
        <v>75.220828508</v>
      </c>
      <c r="M794" t="n">
        <v>68.388025482</v>
      </c>
      <c r="N794" t="n">
        <v>84.498787904</v>
      </c>
      <c r="O794" t="n">
        <v/>
      </c>
      <c r="P794" t="n">
        <v/>
      </c>
      <c r="Q794" t="n">
        <v>58.260585989</v>
      </c>
      <c r="R794" t="n">
        <v>80.671087591</v>
      </c>
      <c r="S794" t="n">
        <v>64.95703297599999</v>
      </c>
      <c r="T794" t="n">
        <v>69.044631654</v>
      </c>
      <c r="U794" t="n">
        <v/>
      </c>
      <c r="V794" t="n">
        <v>118.049346777</v>
      </c>
      <c r="W794" t="n">
        <v>44.217740777</v>
      </c>
      <c r="X794" t="n">
        <v/>
      </c>
      <c r="Y794" t="n">
        <v/>
      </c>
      <c r="Z794" t="n">
        <v>9.828962124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63.318124668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57.185509379</v>
      </c>
      <c r="AM794" t="n">
        <v>34.999314994</v>
      </c>
      <c r="AN794" t="n">
        <v>82.645121144</v>
      </c>
      <c r="AO794" t="n">
        <v/>
      </c>
      <c r="AP794" t="n">
        <v/>
      </c>
      <c r="AQ794" t="n">
        <v/>
      </c>
      <c r="AR794" t="n">
        <v>63.490367557</v>
      </c>
      <c r="AS794" t="n">
        <v>23.564258366</v>
      </c>
      <c r="AT794" t="n">
        <v>54.190593465</v>
      </c>
      <c r="AU794" t="n">
        <v/>
      </c>
    </row>
    <row r="795">
      <c r="A795" s="107" t="n">
        <v>31079</v>
      </c>
      <c r="B795" t="n">
        <v>40.499678826</v>
      </c>
      <c r="C795" t="n">
        <v>53.917087918</v>
      </c>
      <c r="D795" t="n">
        <v>65.28216754100001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60.976932531</v>
      </c>
      <c r="L795" t="n">
        <v>75.873976078</v>
      </c>
      <c r="M795" t="n">
        <v>68.130820204</v>
      </c>
      <c r="N795" t="n">
        <v>84.15190399700001</v>
      </c>
      <c r="O795" t="n">
        <v/>
      </c>
      <c r="P795" t="n">
        <v/>
      </c>
      <c r="Q795" t="n">
        <v>58.732809583</v>
      </c>
      <c r="R795" t="n">
        <v>82.047727311</v>
      </c>
      <c r="S795" t="n">
        <v>65.333444714</v>
      </c>
      <c r="T795" t="n">
        <v>69.044631654</v>
      </c>
      <c r="U795" t="n">
        <v/>
      </c>
      <c r="V795" t="n">
        <v>118.33530896</v>
      </c>
      <c r="W795" t="n">
        <v>44.083476382</v>
      </c>
      <c r="X795" t="n">
        <v/>
      </c>
      <c r="Y795" t="n">
        <v/>
      </c>
      <c r="Z795" t="n">
        <v>9.694010699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56.775155924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57.385783591</v>
      </c>
      <c r="AM795" t="n">
        <v>34.759482403</v>
      </c>
      <c r="AN795" t="n">
        <v>80.361530832</v>
      </c>
      <c r="AO795" t="n">
        <v/>
      </c>
      <c r="AP795" t="n">
        <v/>
      </c>
      <c r="AQ795" t="n">
        <v/>
      </c>
      <c r="AR795" t="n">
        <v>62.915794095</v>
      </c>
      <c r="AS795" t="n">
        <v>21.978710486</v>
      </c>
      <c r="AT795" t="n">
        <v>54.35559314</v>
      </c>
      <c r="AU795" t="n">
        <v/>
      </c>
    </row>
    <row r="796">
      <c r="A796" s="107" t="n">
        <v>31107</v>
      </c>
      <c r="B796" t="n">
        <v>40.958230035</v>
      </c>
      <c r="C796" t="n">
        <v>54.493317831</v>
      </c>
      <c r="D796" t="n">
        <v>67.100915351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61.532390418</v>
      </c>
      <c r="L796" t="n">
        <v>70.104505874</v>
      </c>
      <c r="M796" t="n">
        <v>68.664283002</v>
      </c>
      <c r="N796" t="n">
        <v>84.58161956799999</v>
      </c>
      <c r="O796" t="n">
        <v/>
      </c>
      <c r="P796" t="n">
        <v/>
      </c>
      <c r="Q796" t="n">
        <v>60.680731911</v>
      </c>
      <c r="R796" t="n">
        <v>82.414831236</v>
      </c>
      <c r="S796" t="n">
        <v>65.42947274300001</v>
      </c>
      <c r="T796" t="n">
        <v>70.872916293</v>
      </c>
      <c r="U796" t="n">
        <v/>
      </c>
      <c r="V796" t="n">
        <v>118.519260717</v>
      </c>
      <c r="W796" t="n">
        <v>45.068081946</v>
      </c>
      <c r="X796" t="n">
        <v/>
      </c>
      <c r="Y796" t="n">
        <v/>
      </c>
      <c r="Z796" t="n">
        <v>10.323784016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63.695398341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57.522462779</v>
      </c>
      <c r="AM796" t="n">
        <v>35.811642579</v>
      </c>
      <c r="AN796" t="n">
        <v>83.82946049900001</v>
      </c>
      <c r="AO796" t="n">
        <v/>
      </c>
      <c r="AP796" t="n">
        <v/>
      </c>
      <c r="AQ796" t="n">
        <v/>
      </c>
      <c r="AR796" t="n">
        <v>64.63951448100001</v>
      </c>
      <c r="AS796" t="n">
        <v>22.614785274</v>
      </c>
      <c r="AT796" t="n">
        <v>54.435812333</v>
      </c>
      <c r="AU796" t="n">
        <v/>
      </c>
    </row>
    <row r="797">
      <c r="A797" s="107" t="n">
        <v>31138</v>
      </c>
      <c r="B797" t="n">
        <v>40.285860512</v>
      </c>
      <c r="C797" t="n">
        <v>54.694071408</v>
      </c>
      <c r="D797" t="n">
        <v>61.857383734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60.853497444</v>
      </c>
      <c r="L797" t="n">
        <v>68.689352805</v>
      </c>
      <c r="M797" t="n">
        <v>67.94029777599999</v>
      </c>
      <c r="N797" t="n">
        <v>85.036511041</v>
      </c>
      <c r="O797" t="n">
        <v/>
      </c>
      <c r="P797" t="n">
        <v/>
      </c>
      <c r="Q797" t="n">
        <v>59.677256773</v>
      </c>
      <c r="R797" t="n">
        <v>81.49707142299999</v>
      </c>
      <c r="S797" t="n">
        <v>65.40989295599999</v>
      </c>
      <c r="T797" t="n">
        <v>71.41064706900001</v>
      </c>
      <c r="U797" t="n">
        <v/>
      </c>
      <c r="V797" t="n">
        <v>114.86009789</v>
      </c>
      <c r="W797" t="n">
        <v>43.725437995</v>
      </c>
      <c r="X797" t="n">
        <v/>
      </c>
      <c r="Y797" t="n">
        <v/>
      </c>
      <c r="Z797" t="n">
        <v>9.738994507999999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62.033160676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57.420919216</v>
      </c>
      <c r="AM797" t="n">
        <v>35.197086413</v>
      </c>
      <c r="AN797" t="n">
        <v>82.236802981</v>
      </c>
      <c r="AO797" t="n">
        <v/>
      </c>
      <c r="AP797" t="n">
        <v/>
      </c>
      <c r="AQ797" t="n">
        <v/>
      </c>
      <c r="AR797" t="n">
        <v>64.63951448100001</v>
      </c>
      <c r="AS797" t="n">
        <v>22.820745871</v>
      </c>
      <c r="AT797" t="n">
        <v>54.322275898</v>
      </c>
      <c r="AU797" t="n">
        <v/>
      </c>
    </row>
    <row r="798">
      <c r="A798" s="107" t="n">
        <v>31168</v>
      </c>
      <c r="B798" t="n">
        <v>40.295723834</v>
      </c>
      <c r="C798" t="n">
        <v>54.817974309</v>
      </c>
      <c r="D798" t="n">
        <v>65.833871174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61.594107961</v>
      </c>
      <c r="L798" t="n">
        <v>72.71709615499999</v>
      </c>
      <c r="M798" t="n">
        <v>68.84527930900001</v>
      </c>
      <c r="N798" t="n">
        <v>84.61388289600001</v>
      </c>
      <c r="O798" t="n">
        <v/>
      </c>
      <c r="P798" t="n">
        <v/>
      </c>
      <c r="Q798" t="n">
        <v>60.79878781</v>
      </c>
      <c r="R798" t="n">
        <v>82.323055255</v>
      </c>
      <c r="S798" t="n">
        <v>65.86272210600001</v>
      </c>
      <c r="T798" t="n">
        <v>72.05592400099999</v>
      </c>
      <c r="U798" t="n">
        <v/>
      </c>
      <c r="V798" t="n">
        <v>121.093091955</v>
      </c>
      <c r="W798" t="n">
        <v>44.844307954</v>
      </c>
      <c r="X798" t="n">
        <v/>
      </c>
      <c r="Y798" t="n">
        <v/>
      </c>
      <c r="Z798" t="n">
        <v>9.761486412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60.718424743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57.856951745</v>
      </c>
      <c r="AM798" t="n">
        <v>35.157528572</v>
      </c>
      <c r="AN798" t="n">
        <v>82.74274655000001</v>
      </c>
      <c r="AO798" t="n">
        <v/>
      </c>
      <c r="AP798" t="n">
        <v/>
      </c>
      <c r="AQ798" t="n">
        <v/>
      </c>
      <c r="AR798" t="n">
        <v>64.40968509699999</v>
      </c>
      <c r="AS798" t="n">
        <v>24.948233786</v>
      </c>
      <c r="AT798" t="n">
        <v>54.408642916</v>
      </c>
      <c r="AU798" t="n">
        <v/>
      </c>
    </row>
    <row r="799">
      <c r="A799" s="107" t="n">
        <v>31199</v>
      </c>
      <c r="B799" t="n">
        <v>42.271935273</v>
      </c>
      <c r="C799" t="n">
        <v>54.78088625</v>
      </c>
      <c r="D799" t="n">
        <v>66.921314849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62.334718478</v>
      </c>
      <c r="L799" t="n">
        <v>76.41826571999999</v>
      </c>
      <c r="M799" t="n">
        <v>68.254659782</v>
      </c>
      <c r="N799" t="n">
        <v>83.18044340100001</v>
      </c>
      <c r="O799" t="n">
        <v/>
      </c>
      <c r="P799" t="n">
        <v/>
      </c>
      <c r="Q799" t="n">
        <v>60.031424469</v>
      </c>
      <c r="R799" t="n">
        <v>81.129967497</v>
      </c>
      <c r="S799" t="n">
        <v>65.832400557</v>
      </c>
      <c r="T799" t="n">
        <v>73.669116329</v>
      </c>
      <c r="U799" t="n">
        <v/>
      </c>
      <c r="V799" t="n">
        <v>123.052940622</v>
      </c>
      <c r="W799" t="n">
        <v>44.710043559</v>
      </c>
      <c r="X799" t="n">
        <v/>
      </c>
      <c r="Y799" t="n">
        <v/>
      </c>
      <c r="Z799" t="n">
        <v>9.53656737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59.744468765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57.711432883</v>
      </c>
      <c r="AM799" t="n">
        <v>35.661766954</v>
      </c>
      <c r="AN799" t="n">
        <v>82.640403194</v>
      </c>
      <c r="AO799" t="n">
        <v/>
      </c>
      <c r="AP799" t="n">
        <v/>
      </c>
      <c r="AQ799" t="n">
        <v/>
      </c>
      <c r="AR799" t="n">
        <v>65.61628936699999</v>
      </c>
      <c r="AS799" t="n">
        <v>19.873238719</v>
      </c>
      <c r="AT799" t="n">
        <v>54.378597903</v>
      </c>
      <c r="AU799" t="n">
        <v/>
      </c>
    </row>
    <row r="800">
      <c r="A800" s="107" t="n">
        <v>31229</v>
      </c>
      <c r="B800" t="n">
        <v>41.130172325</v>
      </c>
      <c r="C800" t="n">
        <v>53.8786065</v>
      </c>
      <c r="D800" t="n">
        <v>68.779354137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62.951893908</v>
      </c>
      <c r="L800" t="n">
        <v>75.220828508</v>
      </c>
      <c r="M800" t="n">
        <v>68.86433155100001</v>
      </c>
      <c r="N800" t="n">
        <v>85.96067835300001</v>
      </c>
      <c r="O800" t="n">
        <v/>
      </c>
      <c r="P800" t="n">
        <v/>
      </c>
      <c r="Q800" t="n">
        <v>57.729334445</v>
      </c>
      <c r="R800" t="n">
        <v>81.31351945999999</v>
      </c>
      <c r="S800" t="n">
        <v>65.721401261</v>
      </c>
      <c r="T800" t="n">
        <v>70.76537013799999</v>
      </c>
      <c r="U800" t="n">
        <v/>
      </c>
      <c r="V800" t="n">
        <v>122.06876999</v>
      </c>
      <c r="W800" t="n">
        <v>46.992538275</v>
      </c>
      <c r="X800" t="n">
        <v/>
      </c>
      <c r="Y800" t="n">
        <v/>
      </c>
      <c r="Z800" t="n">
        <v>9.649026891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64.53050752599999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57.729551075</v>
      </c>
      <c r="AM800" t="n">
        <v>36.119510019</v>
      </c>
      <c r="AN800" t="n">
        <v>80.93511897800001</v>
      </c>
      <c r="AO800" t="n">
        <v/>
      </c>
      <c r="AP800" t="n">
        <v/>
      </c>
      <c r="AQ800" t="n">
        <v/>
      </c>
      <c r="AR800" t="n">
        <v>62.111391248</v>
      </c>
      <c r="AS800" t="n">
        <v>22.799898045</v>
      </c>
      <c r="AT800" t="n">
        <v>54.099070208</v>
      </c>
      <c r="AU800" t="n">
        <v/>
      </c>
    </row>
    <row r="801">
      <c r="A801" s="107" t="n">
        <v>31260</v>
      </c>
      <c r="B801" t="n">
        <v>41.848918886</v>
      </c>
      <c r="C801" t="n">
        <v>54.492019117</v>
      </c>
      <c r="D801" t="n">
        <v>69.383689811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61.347237789</v>
      </c>
      <c r="L801" t="n">
        <v>74.894254723</v>
      </c>
      <c r="M801" t="n">
        <v>68.96911888699999</v>
      </c>
      <c r="N801" t="n">
        <v>87.08269814000001</v>
      </c>
      <c r="O801" t="n">
        <v/>
      </c>
      <c r="P801" t="n">
        <v/>
      </c>
      <c r="Q801" t="n">
        <v>59.02794933</v>
      </c>
      <c r="R801" t="n">
        <v>81.31351945999999</v>
      </c>
      <c r="S801" t="n">
        <v>65.67338751</v>
      </c>
      <c r="T801" t="n">
        <v>71.41064706900001</v>
      </c>
      <c r="U801" t="n">
        <v/>
      </c>
      <c r="V801" t="n">
        <v>124.4192361</v>
      </c>
      <c r="W801" t="n">
        <v>44.710043559</v>
      </c>
      <c r="X801" t="n">
        <v/>
      </c>
      <c r="Y801" t="n">
        <v/>
      </c>
      <c r="Z801" t="n">
        <v>9.266664520000001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62.228811872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57.779522353</v>
      </c>
      <c r="AM801" t="n">
        <v>36.53626502</v>
      </c>
      <c r="AN801" t="n">
        <v>82.545850339</v>
      </c>
      <c r="AO801" t="n">
        <v/>
      </c>
      <c r="AP801" t="n">
        <v/>
      </c>
      <c r="AQ801" t="n">
        <v/>
      </c>
      <c r="AR801" t="n">
        <v>65.903576098</v>
      </c>
      <c r="AS801" t="n">
        <v>22.995923986</v>
      </c>
      <c r="AT801" t="n">
        <v>54.277456275</v>
      </c>
      <c r="AU801" t="n">
        <v/>
      </c>
    </row>
    <row r="802">
      <c r="A802" s="107" t="n">
        <v>31291</v>
      </c>
      <c r="B802" t="n">
        <v>42.199810439</v>
      </c>
      <c r="C802" t="n">
        <v>55.871029656</v>
      </c>
      <c r="D802" t="n">
        <v>70.1974902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62.087848305</v>
      </c>
      <c r="L802" t="n">
        <v>76.962555362</v>
      </c>
      <c r="M802" t="n">
        <v>68.873857673</v>
      </c>
      <c r="N802" t="n">
        <v>86.688419701</v>
      </c>
      <c r="O802" t="n">
        <v/>
      </c>
      <c r="P802" t="n">
        <v/>
      </c>
      <c r="Q802" t="n">
        <v>59.02794933</v>
      </c>
      <c r="R802" t="n">
        <v>81.49707142299999</v>
      </c>
      <c r="S802" t="n">
        <v>65.74279633099999</v>
      </c>
      <c r="T802" t="n">
        <v>72.70120093200001</v>
      </c>
      <c r="U802" t="n">
        <v/>
      </c>
      <c r="V802" t="n">
        <v>124.24957116</v>
      </c>
      <c r="W802" t="n">
        <v>45.336610736</v>
      </c>
      <c r="X802" t="n">
        <v/>
      </c>
      <c r="Y802" t="n">
        <v/>
      </c>
      <c r="Z802" t="n">
        <v>9.694010699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59.560179623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57.842141332</v>
      </c>
      <c r="AM802" t="n">
        <v>36.754373813</v>
      </c>
      <c r="AN802" t="n">
        <v>80.28955458999999</v>
      </c>
      <c r="AO802" t="n">
        <v/>
      </c>
      <c r="AP802" t="n">
        <v/>
      </c>
      <c r="AQ802" t="n">
        <v/>
      </c>
      <c r="AR802" t="n">
        <v>65.96103344399999</v>
      </c>
      <c r="AS802" t="n">
        <v>23.191724948</v>
      </c>
      <c r="AT802" t="n">
        <v>54.479243738</v>
      </c>
      <c r="AU802" t="n">
        <v/>
      </c>
    </row>
    <row r="803">
      <c r="A803" s="107" t="n">
        <v>31321</v>
      </c>
      <c r="B803" t="n">
        <v>40.720541407</v>
      </c>
      <c r="C803" t="n">
        <v>55.369122689</v>
      </c>
      <c r="D803" t="n">
        <v>71.62038338799999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62.828458822</v>
      </c>
      <c r="L803" t="n">
        <v>82.732025566</v>
      </c>
      <c r="M803" t="n">
        <v>69.493055563</v>
      </c>
      <c r="N803" t="n">
        <v>87.62076512100001</v>
      </c>
      <c r="O803" t="n">
        <v/>
      </c>
      <c r="P803" t="n">
        <v/>
      </c>
      <c r="Q803" t="n">
        <v>58.732809583</v>
      </c>
      <c r="R803" t="n">
        <v>82.323055255</v>
      </c>
      <c r="S803" t="n">
        <v>65.81736598400001</v>
      </c>
      <c r="T803" t="n">
        <v>71.195554759</v>
      </c>
      <c r="U803" t="n">
        <v/>
      </c>
      <c r="V803" t="n">
        <v>124.714399988</v>
      </c>
      <c r="W803" t="n">
        <v>45.068081946</v>
      </c>
      <c r="X803" t="n">
        <v/>
      </c>
      <c r="Y803" t="n">
        <v/>
      </c>
      <c r="Z803" t="n">
        <v>9.604043083000001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65.132732279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57.929308325</v>
      </c>
      <c r="AM803" t="n">
        <v>36.863642295</v>
      </c>
      <c r="AN803" t="n">
        <v>85.601969419</v>
      </c>
      <c r="AO803" t="n">
        <v/>
      </c>
      <c r="AP803" t="n">
        <v/>
      </c>
      <c r="AQ803" t="n">
        <v/>
      </c>
      <c r="AR803" t="n">
        <v>63.950026327</v>
      </c>
      <c r="AS803" t="n">
        <v>23.829488517</v>
      </c>
      <c r="AT803" t="n">
        <v>54.293024153</v>
      </c>
      <c r="AU803" t="n">
        <v/>
      </c>
    </row>
    <row r="804">
      <c r="A804" s="107" t="n">
        <v>31352</v>
      </c>
      <c r="B804" t="n">
        <v>42.050987556</v>
      </c>
      <c r="C804" t="n">
        <v>56.928402793</v>
      </c>
      <c r="D804" t="n">
        <v>71.843802389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64.00109214</v>
      </c>
      <c r="L804" t="n">
        <v>86.106621346</v>
      </c>
      <c r="M804" t="n">
        <v>70.131305697</v>
      </c>
      <c r="N804" t="n">
        <v>87.605479538</v>
      </c>
      <c r="O804" t="n">
        <v/>
      </c>
      <c r="P804" t="n">
        <v/>
      </c>
      <c r="Q804" t="n">
        <v>59.146005229</v>
      </c>
      <c r="R804" t="n">
        <v>83.240815068</v>
      </c>
      <c r="S804" t="n">
        <v>66.267468881</v>
      </c>
      <c r="T804" t="n">
        <v>72.05592400099999</v>
      </c>
      <c r="U804" t="n">
        <v/>
      </c>
      <c r="V804" t="n">
        <v>123.08455325</v>
      </c>
      <c r="W804" t="n">
        <v>44.799553156</v>
      </c>
      <c r="X804" t="n">
        <v/>
      </c>
      <c r="Y804" t="n">
        <v/>
      </c>
      <c r="Z804" t="n">
        <v>9.941421645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63.12288849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58.433542105</v>
      </c>
      <c r="AM804" t="n">
        <v>36.658042167</v>
      </c>
      <c r="AN804" t="n">
        <v>82.40016138199999</v>
      </c>
      <c r="AO804" t="n">
        <v/>
      </c>
      <c r="AP804" t="n">
        <v/>
      </c>
      <c r="AQ804" t="n">
        <v/>
      </c>
      <c r="AR804" t="n">
        <v>63.777654288</v>
      </c>
      <c r="AS804" t="n">
        <v>25.435991213</v>
      </c>
      <c r="AT804" t="n">
        <v>54.476665618</v>
      </c>
      <c r="AU804" t="n">
        <v/>
      </c>
    </row>
    <row r="805">
      <c r="A805" s="107" t="n">
        <v>31382</v>
      </c>
      <c r="B805" t="n">
        <v>41.149105044</v>
      </c>
      <c r="C805" t="n">
        <v>55.530148219</v>
      </c>
      <c r="D805" t="n">
        <v>73.09029634700001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61.594107961</v>
      </c>
      <c r="L805" t="n">
        <v>83.058599351</v>
      </c>
      <c r="M805" t="n">
        <v>69.55973841300001</v>
      </c>
      <c r="N805" t="n">
        <v>86.966800173</v>
      </c>
      <c r="O805" t="n">
        <v/>
      </c>
      <c r="P805" t="n">
        <v/>
      </c>
      <c r="Q805" t="n">
        <v>59.618228823</v>
      </c>
      <c r="R805" t="n">
        <v>82.414831236</v>
      </c>
      <c r="S805" t="n">
        <v>65.98735471099999</v>
      </c>
      <c r="T805" t="n">
        <v>70.120093207</v>
      </c>
      <c r="U805" t="n">
        <v/>
      </c>
      <c r="V805" t="n">
        <v>126.21594461</v>
      </c>
      <c r="W805" t="n">
        <v>43.725437995</v>
      </c>
      <c r="X805" t="n">
        <v/>
      </c>
      <c r="Y805" t="n">
        <v/>
      </c>
      <c r="Z805" t="n">
        <v>9.761486412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62.117771526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58.013104852</v>
      </c>
      <c r="AM805" t="n">
        <v>37.505615434</v>
      </c>
      <c r="AN805" t="n">
        <v>83.167041047</v>
      </c>
      <c r="AO805" t="n">
        <v/>
      </c>
      <c r="AP805" t="n">
        <v/>
      </c>
      <c r="AQ805" t="n">
        <v/>
      </c>
      <c r="AR805" t="n">
        <v>61.881561864</v>
      </c>
      <c r="AS805" t="n">
        <v>24.600740455</v>
      </c>
      <c r="AT805" t="n">
        <v>55.027490856</v>
      </c>
      <c r="AU805" t="n">
        <v/>
      </c>
    </row>
    <row r="806">
      <c r="A806" s="107" t="n">
        <v>31413</v>
      </c>
      <c r="B806" t="n">
        <v>41.283278592</v>
      </c>
      <c r="C806" t="n">
        <v>55.265240281</v>
      </c>
      <c r="D806" t="n">
        <v>74.350397161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62.828458822</v>
      </c>
      <c r="L806" t="n">
        <v>80.228293213</v>
      </c>
      <c r="M806" t="n">
        <v>69.988413876</v>
      </c>
      <c r="N806" t="n">
        <v>86.907075324</v>
      </c>
      <c r="O806" t="n">
        <v/>
      </c>
      <c r="P806" t="n">
        <v/>
      </c>
      <c r="Q806" t="n">
        <v>60.385592165</v>
      </c>
      <c r="R806" t="n">
        <v>82.78193516100001</v>
      </c>
      <c r="S806" t="n">
        <v>66.469269338</v>
      </c>
      <c r="T806" t="n">
        <v>71.088008604</v>
      </c>
      <c r="U806" t="n">
        <v/>
      </c>
      <c r="V806" t="n">
        <v>120.494620718</v>
      </c>
      <c r="W806" t="n">
        <v>44.486269567</v>
      </c>
      <c r="X806" t="n">
        <v/>
      </c>
      <c r="Y806" t="n">
        <v/>
      </c>
      <c r="Z806" t="n">
        <v>9.671518795000001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65.12532431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58.317411812</v>
      </c>
      <c r="AM806" t="n">
        <v>37.159112232</v>
      </c>
      <c r="AN806" t="n">
        <v>83.33642880399999</v>
      </c>
      <c r="AO806" t="n">
        <v/>
      </c>
      <c r="AP806" t="n">
        <v/>
      </c>
      <c r="AQ806" t="n">
        <v/>
      </c>
      <c r="AR806" t="n">
        <v>64.86934386599999</v>
      </c>
      <c r="AS806" t="n">
        <v>23.49804183</v>
      </c>
      <c r="AT806" t="n">
        <v>55.310786573</v>
      </c>
      <c r="AU806" t="n">
        <v/>
      </c>
    </row>
    <row r="807">
      <c r="A807" s="107" t="n">
        <v>31444</v>
      </c>
      <c r="B807" t="n">
        <v>41.940808905</v>
      </c>
      <c r="C807" t="n">
        <v>55.516337068</v>
      </c>
      <c r="D807" t="n">
        <v>74.261160928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63.075328994</v>
      </c>
      <c r="L807" t="n">
        <v>80.11943528499999</v>
      </c>
      <c r="M807" t="n">
        <v>70.217040789</v>
      </c>
      <c r="N807" t="n">
        <v>87.65472161300001</v>
      </c>
      <c r="O807" t="n">
        <v/>
      </c>
      <c r="P807" t="n">
        <v/>
      </c>
      <c r="Q807" t="n">
        <v>59.854340621</v>
      </c>
      <c r="R807" t="n">
        <v>81.955951329</v>
      </c>
      <c r="S807" t="n">
        <v>66.317854841</v>
      </c>
      <c r="T807" t="n">
        <v>71.518193225</v>
      </c>
      <c r="U807" t="n">
        <v/>
      </c>
      <c r="V807" t="n">
        <v>121.486750806</v>
      </c>
      <c r="W807" t="n">
        <v>44.262495575</v>
      </c>
      <c r="X807" t="n">
        <v/>
      </c>
      <c r="Y807" t="n">
        <v/>
      </c>
      <c r="Z807" t="n">
        <v>9.918929740999999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63.869623926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58.313678171</v>
      </c>
      <c r="AM807" t="n">
        <v>37.291909152</v>
      </c>
      <c r="AN807" t="n">
        <v>84.94803303</v>
      </c>
      <c r="AO807" t="n">
        <v/>
      </c>
      <c r="AP807" t="n">
        <v/>
      </c>
      <c r="AQ807" t="n">
        <v/>
      </c>
      <c r="AR807" t="n">
        <v>64.52459978900001</v>
      </c>
      <c r="AS807" t="n">
        <v>22.398133489</v>
      </c>
      <c r="AT807" t="n">
        <v>54.933191162</v>
      </c>
      <c r="AU807" t="n">
        <v/>
      </c>
    </row>
    <row r="808">
      <c r="A808" s="107" t="n">
        <v>31472</v>
      </c>
      <c r="B808" t="n">
        <v>42.347294865</v>
      </c>
      <c r="C808" t="n">
        <v>56.51301137</v>
      </c>
      <c r="D808" t="n">
        <v>70.07861474000001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63.19876408</v>
      </c>
      <c r="L808" t="n">
        <v>80.88144078400001</v>
      </c>
      <c r="M808" t="n">
        <v>69.48352944200001</v>
      </c>
      <c r="N808" t="n">
        <v>89.35388546199999</v>
      </c>
      <c r="O808" t="n">
        <v/>
      </c>
      <c r="P808" t="n">
        <v/>
      </c>
      <c r="Q808" t="n">
        <v>57.847390343</v>
      </c>
      <c r="R808" t="n">
        <v>81.680623385</v>
      </c>
      <c r="S808" t="n">
        <v>66.16618503399999</v>
      </c>
      <c r="T808" t="n">
        <v>72.271016311</v>
      </c>
      <c r="U808" t="n">
        <v/>
      </c>
      <c r="V808" t="n">
        <v>117.649101531</v>
      </c>
      <c r="W808" t="n">
        <v>44.307250374</v>
      </c>
      <c r="X808" t="n">
        <v/>
      </c>
      <c r="Y808" t="n">
        <v/>
      </c>
      <c r="Z808" t="n">
        <v>10.188832591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62.40928748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58.139755531</v>
      </c>
      <c r="AM808" t="n">
        <v>37.23184406</v>
      </c>
      <c r="AN808" t="n">
        <v>86.67857757900001</v>
      </c>
      <c r="AO808" t="n">
        <v/>
      </c>
      <c r="AP808" t="n">
        <v/>
      </c>
      <c r="AQ808" t="n">
        <v/>
      </c>
      <c r="AR808" t="n">
        <v>65.903576098</v>
      </c>
      <c r="AS808" t="n">
        <v>23.49804183</v>
      </c>
      <c r="AT808" t="n">
        <v>54.537251437</v>
      </c>
      <c r="AU808" t="n">
        <v/>
      </c>
    </row>
    <row r="809">
      <c r="A809" s="107" t="n">
        <v>31503</v>
      </c>
      <c r="B809" t="n">
        <v>41.688121861</v>
      </c>
      <c r="C809" t="n">
        <v>54.582355449</v>
      </c>
      <c r="D809" t="n">
        <v>74.077345247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63.507351795</v>
      </c>
      <c r="L809" t="n">
        <v>82.623167638</v>
      </c>
      <c r="M809" t="n">
        <v>71.19823129300001</v>
      </c>
      <c r="N809" t="n">
        <v>88.87183922200001</v>
      </c>
      <c r="O809" t="n">
        <v/>
      </c>
      <c r="P809" t="n">
        <v/>
      </c>
      <c r="Q809" t="n">
        <v>59.854340621</v>
      </c>
      <c r="R809" t="n">
        <v>83.791470956</v>
      </c>
      <c r="S809" t="n">
        <v>66.44815461899999</v>
      </c>
      <c r="T809" t="n">
        <v>73.131385553</v>
      </c>
      <c r="U809" t="n">
        <v/>
      </c>
      <c r="V809" t="n">
        <v>127.980649254</v>
      </c>
      <c r="W809" t="n">
        <v>47.440086259</v>
      </c>
      <c r="X809" t="n">
        <v/>
      </c>
      <c r="Y809" t="n">
        <v/>
      </c>
      <c r="Z809" t="n">
        <v>10.053881166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64.246538957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58.305241152</v>
      </c>
      <c r="AM809" t="n">
        <v>37.726647915</v>
      </c>
      <c r="AN809" t="n">
        <v>88.909808747</v>
      </c>
      <c r="AO809" t="n">
        <v/>
      </c>
      <c r="AP809" t="n">
        <v/>
      </c>
      <c r="AQ809" t="n">
        <v/>
      </c>
      <c r="AR809" t="n">
        <v>63.088166134</v>
      </c>
      <c r="AS809" t="n">
        <v>23.198066828</v>
      </c>
      <c r="AT809" t="n">
        <v>54.60071285</v>
      </c>
      <c r="AU809" t="n">
        <v/>
      </c>
    </row>
    <row r="810">
      <c r="A810" s="107" t="n">
        <v>31533</v>
      </c>
      <c r="B810" t="n">
        <v>41.849370517</v>
      </c>
      <c r="C810" t="n">
        <v>54.289805825</v>
      </c>
      <c r="D810" t="n">
        <v>73.74454403999999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62.890176365</v>
      </c>
      <c r="L810" t="n">
        <v>81.425730425</v>
      </c>
      <c r="M810" t="n">
        <v>69.254902528</v>
      </c>
      <c r="N810" t="n">
        <v>85.792862734</v>
      </c>
      <c r="O810" t="n">
        <v/>
      </c>
      <c r="P810" t="n">
        <v/>
      </c>
      <c r="Q810" t="n">
        <v>58.319613938</v>
      </c>
      <c r="R810" t="n">
        <v>81.221743479</v>
      </c>
      <c r="S810" t="n">
        <v>66.01915427900001</v>
      </c>
      <c r="T810" t="n">
        <v>71.948377845</v>
      </c>
      <c r="U810" t="n">
        <v/>
      </c>
      <c r="V810" t="n">
        <v>119.953336061</v>
      </c>
      <c r="W810" t="n">
        <v>45.291855938</v>
      </c>
      <c r="X810" t="n">
        <v/>
      </c>
      <c r="Y810" t="n">
        <v/>
      </c>
      <c r="Z810" t="n">
        <v>9.401615945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61.669165109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57.822654899</v>
      </c>
      <c r="AM810" t="n">
        <v>37.552338826</v>
      </c>
      <c r="AN810" t="n">
        <v>86.232770755</v>
      </c>
      <c r="AO810" t="n">
        <v/>
      </c>
      <c r="AP810" t="n">
        <v/>
      </c>
      <c r="AQ810" t="n">
        <v/>
      </c>
      <c r="AR810" t="n">
        <v>63.203080826</v>
      </c>
      <c r="AS810" t="n">
        <v>23.09807516</v>
      </c>
      <c r="AT810" t="n">
        <v>54.70621745</v>
      </c>
      <c r="AU810" t="n">
        <v/>
      </c>
    </row>
    <row r="811">
      <c r="A811" s="107" t="n">
        <v>31564</v>
      </c>
      <c r="B811" t="n">
        <v>42.167199114</v>
      </c>
      <c r="C811" t="n">
        <v>55.169665606</v>
      </c>
      <c r="D811" t="n">
        <v>75.536656974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63.19876408</v>
      </c>
      <c r="L811" t="n">
        <v>81.208014569</v>
      </c>
      <c r="M811" t="n">
        <v>70.398037096</v>
      </c>
      <c r="N811" t="n">
        <v>91.05788019000001</v>
      </c>
      <c r="O811" t="n">
        <v/>
      </c>
      <c r="P811" t="n">
        <v/>
      </c>
      <c r="Q811" t="n">
        <v>59.559200874</v>
      </c>
      <c r="R811" t="n">
        <v>81.864175348</v>
      </c>
      <c r="S811" t="n">
        <v>66.18755034500001</v>
      </c>
      <c r="T811" t="n">
        <v>72.916293243</v>
      </c>
      <c r="U811" t="n">
        <v/>
      </c>
      <c r="V811" t="n">
        <v>122.58772321</v>
      </c>
      <c r="W811" t="n">
        <v>45.381365534</v>
      </c>
      <c r="X811" t="n">
        <v/>
      </c>
      <c r="Y811" t="n">
        <v/>
      </c>
      <c r="Z811" t="n">
        <v>9.963913549000001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62.69582242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58.164731028</v>
      </c>
      <c r="AM811" t="n">
        <v>36.929575278</v>
      </c>
      <c r="AN811" t="n">
        <v>87.54350123499999</v>
      </c>
      <c r="AO811" t="n">
        <v/>
      </c>
      <c r="AP811" t="n">
        <v/>
      </c>
      <c r="AQ811" t="n">
        <v/>
      </c>
      <c r="AR811" t="n">
        <v>63.60528225</v>
      </c>
      <c r="AS811" t="n">
        <v>24.697941838</v>
      </c>
      <c r="AT811" t="n">
        <v>54.496298993</v>
      </c>
      <c r="AU811" t="n">
        <v/>
      </c>
    </row>
    <row r="812">
      <c r="A812" s="107" t="n">
        <v>31594</v>
      </c>
      <c r="B812" t="n">
        <v>41.005373026</v>
      </c>
      <c r="C812" t="n">
        <v>56.628033742</v>
      </c>
      <c r="D812" t="n">
        <v>75.602541796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64.124527226</v>
      </c>
      <c r="L812" t="n">
        <v>81.861162139</v>
      </c>
      <c r="M812" t="n">
        <v>70.540928917</v>
      </c>
      <c r="N812" t="n">
        <v>87.74757892700001</v>
      </c>
      <c r="O812" t="n">
        <v/>
      </c>
      <c r="P812" t="n">
        <v/>
      </c>
      <c r="Q812" t="n">
        <v>61.389067303</v>
      </c>
      <c r="R812" t="n">
        <v>81.955951329</v>
      </c>
      <c r="S812" t="n">
        <v>66.53042704400001</v>
      </c>
      <c r="T812" t="n">
        <v>72.271016311</v>
      </c>
      <c r="U812" t="n">
        <v/>
      </c>
      <c r="V812" t="n">
        <v>128.047415748</v>
      </c>
      <c r="W812" t="n">
        <v>46.679254687</v>
      </c>
      <c r="X812" t="n">
        <v/>
      </c>
      <c r="Y812" t="n">
        <v/>
      </c>
      <c r="Z812" t="n">
        <v>9.694010699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65.068220735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58.375350464</v>
      </c>
      <c r="AM812" t="n">
        <v>37.597671916</v>
      </c>
      <c r="AN812" t="n">
        <v>88.653284619</v>
      </c>
      <c r="AO812" t="n">
        <v/>
      </c>
      <c r="AP812" t="n">
        <v/>
      </c>
      <c r="AQ812" t="n">
        <v/>
      </c>
      <c r="AR812" t="n">
        <v>64.237313058</v>
      </c>
      <c r="AS812" t="n">
        <v>24.497958503</v>
      </c>
      <c r="AT812" t="n">
        <v>54.829074781</v>
      </c>
      <c r="AU812" t="n">
        <v/>
      </c>
    </row>
    <row r="813">
      <c r="A813" s="107" t="n">
        <v>31625</v>
      </c>
      <c r="B813" t="n">
        <v>42.062141864</v>
      </c>
      <c r="C813" t="n">
        <v>56.014584052</v>
      </c>
      <c r="D813" t="n">
        <v>76.26096182800001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63.013611451</v>
      </c>
      <c r="L813" t="n">
        <v>84.147178635</v>
      </c>
      <c r="M813" t="n">
        <v>70.102727332</v>
      </c>
      <c r="N813" t="n">
        <v>86.67906870900001</v>
      </c>
      <c r="O813" t="n">
        <v/>
      </c>
      <c r="P813" t="n">
        <v/>
      </c>
      <c r="Q813" t="n">
        <v>60.503648063</v>
      </c>
      <c r="R813" t="n">
        <v>81.955951329</v>
      </c>
      <c r="S813" t="n">
        <v>65.980813568</v>
      </c>
      <c r="T813" t="n">
        <v>72.271016311</v>
      </c>
      <c r="U813" t="n">
        <v/>
      </c>
      <c r="V813" t="n">
        <v>118.325088897</v>
      </c>
      <c r="W813" t="n">
        <v>45.78415872</v>
      </c>
      <c r="X813" t="n">
        <v/>
      </c>
      <c r="Y813" t="n">
        <v/>
      </c>
      <c r="Z813" t="n">
        <v>9.963913549000001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60.273422844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58.005969032</v>
      </c>
      <c r="AM813" t="n">
        <v>36.893075222</v>
      </c>
      <c r="AN813" t="n">
        <v>90.79968944300001</v>
      </c>
      <c r="AO813" t="n">
        <v/>
      </c>
      <c r="AP813" t="n">
        <v/>
      </c>
      <c r="AQ813" t="n">
        <v/>
      </c>
      <c r="AR813" t="n">
        <v>64.63951448100001</v>
      </c>
      <c r="AS813" t="n">
        <v>26.097825181</v>
      </c>
      <c r="AT813" t="n">
        <v>54.738344791</v>
      </c>
      <c r="AU813" t="n">
        <v/>
      </c>
    </row>
    <row r="814">
      <c r="A814" s="107" t="n">
        <v>31656</v>
      </c>
      <c r="B814" t="n">
        <v>41.480585896</v>
      </c>
      <c r="C814" t="n">
        <v>55.137239673</v>
      </c>
      <c r="D814" t="n">
        <v>78.870329548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62.643306193</v>
      </c>
      <c r="L814" t="n">
        <v>83.494031065</v>
      </c>
      <c r="M814" t="n">
        <v>70.63619013</v>
      </c>
      <c r="N814" t="n">
        <v>88.256596483</v>
      </c>
      <c r="O814" t="n">
        <v/>
      </c>
      <c r="P814" t="n">
        <v/>
      </c>
      <c r="Q814" t="n">
        <v>60.79878781</v>
      </c>
      <c r="R814" t="n">
        <v>82.69015917999999</v>
      </c>
      <c r="S814" t="n">
        <v>66.580845235</v>
      </c>
      <c r="T814" t="n">
        <v>74.09930095</v>
      </c>
      <c r="U814" t="n">
        <v/>
      </c>
      <c r="V814" t="n">
        <v>118.341648597</v>
      </c>
      <c r="W814" t="n">
        <v>46.05268751</v>
      </c>
      <c r="X814" t="n">
        <v/>
      </c>
      <c r="Y814" t="n">
        <v/>
      </c>
      <c r="Z814" t="n">
        <v>10.143848783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64.071211879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58.353272994</v>
      </c>
      <c r="AM814" t="n">
        <v>38.018843443</v>
      </c>
      <c r="AN814" t="n">
        <v>91.546173803</v>
      </c>
      <c r="AO814" t="n">
        <v/>
      </c>
      <c r="AP814" t="n">
        <v/>
      </c>
      <c r="AQ814" t="n">
        <v/>
      </c>
      <c r="AR814" t="n">
        <v>64.294770404</v>
      </c>
      <c r="AS814" t="n">
        <v>24.297975169</v>
      </c>
      <c r="AT814" t="n">
        <v>54.885297627</v>
      </c>
      <c r="AU814" t="n">
        <v/>
      </c>
    </row>
    <row r="815">
      <c r="A815" s="107" t="n">
        <v>31686</v>
      </c>
      <c r="B815" t="n">
        <v>41.36049954</v>
      </c>
      <c r="C815" t="n">
        <v>54.947638185</v>
      </c>
      <c r="D815" t="n">
        <v>79.75753392199999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62.828458822</v>
      </c>
      <c r="L815" t="n">
        <v>80.88144078400001</v>
      </c>
      <c r="M815" t="n">
        <v>70.521876674</v>
      </c>
      <c r="N815" t="n">
        <v>89.374093148</v>
      </c>
      <c r="O815" t="n">
        <v/>
      </c>
      <c r="P815" t="n">
        <v/>
      </c>
      <c r="Q815" t="n">
        <v>61.625179101</v>
      </c>
      <c r="R815" t="n">
        <v>83.424367031</v>
      </c>
      <c r="S815" t="n">
        <v>66.586681407</v>
      </c>
      <c r="T815" t="n">
        <v>74.421939416</v>
      </c>
      <c r="U815" t="n">
        <v/>
      </c>
      <c r="V815" t="n">
        <v>119.726234195</v>
      </c>
      <c r="W815" t="n">
        <v>45.605139526</v>
      </c>
      <c r="X815" t="n">
        <v/>
      </c>
      <c r="Y815" t="n">
        <v/>
      </c>
      <c r="Z815" t="n">
        <v>10.256308304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64.27878213300001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58.3976798</v>
      </c>
      <c r="AM815" t="n">
        <v>37.660869748</v>
      </c>
      <c r="AN815" t="n">
        <v>90.676889949</v>
      </c>
      <c r="AO815" t="n">
        <v/>
      </c>
      <c r="AP815" t="n">
        <v/>
      </c>
      <c r="AQ815" t="n">
        <v/>
      </c>
      <c r="AR815" t="n">
        <v>64.294770404</v>
      </c>
      <c r="AS815" t="n">
        <v>25.497875177</v>
      </c>
      <c r="AT815" t="n">
        <v>55.117923371</v>
      </c>
      <c r="AU815" t="n">
        <v/>
      </c>
    </row>
    <row r="816">
      <c r="A816" s="107" t="n">
        <v>31717</v>
      </c>
      <c r="B816" t="n">
        <v>40.862400815</v>
      </c>
      <c r="C816" t="n">
        <v>54.910824441</v>
      </c>
      <c r="D816" t="n">
        <v>78.90063999100001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63.507351795</v>
      </c>
      <c r="L816" t="n">
        <v>79.030856001</v>
      </c>
      <c r="M816" t="n">
        <v>69.845522055</v>
      </c>
      <c r="N816" t="n">
        <v>88.838321811</v>
      </c>
      <c r="O816" t="n">
        <v/>
      </c>
      <c r="P816" t="n">
        <v/>
      </c>
      <c r="Q816" t="n">
        <v>61.802262949</v>
      </c>
      <c r="R816" t="n">
        <v>82.231279273</v>
      </c>
      <c r="S816" t="n">
        <v>66.495825719</v>
      </c>
      <c r="T816" t="n">
        <v>74.09930095</v>
      </c>
      <c r="U816" t="n">
        <v/>
      </c>
      <c r="V816" t="n">
        <v>122.30518834</v>
      </c>
      <c r="W816" t="n">
        <v>44.799553156</v>
      </c>
      <c r="X816" t="n">
        <v/>
      </c>
      <c r="Y816" t="n">
        <v/>
      </c>
      <c r="Z816" t="n">
        <v>10.098864974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61.971596186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58.314644394</v>
      </c>
      <c r="AM816" t="n">
        <v>38.247253088</v>
      </c>
      <c r="AN816" t="n">
        <v>91.396268471</v>
      </c>
      <c r="AO816" t="n">
        <v/>
      </c>
      <c r="AP816" t="n">
        <v/>
      </c>
      <c r="AQ816" t="n">
        <v/>
      </c>
      <c r="AR816" t="n">
        <v>65.443917328</v>
      </c>
      <c r="AS816" t="n">
        <v>25.597866844</v>
      </c>
      <c r="AT816" t="n">
        <v>55.333394701</v>
      </c>
      <c r="AU816" t="n">
        <v/>
      </c>
    </row>
    <row r="817">
      <c r="A817" s="107" t="n">
        <v>31747</v>
      </c>
      <c r="B817" t="n">
        <v>41.647884001</v>
      </c>
      <c r="C817" t="n">
        <v>55.489767589</v>
      </c>
      <c r="D817" t="n">
        <v>77.16624665400001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62.705023736</v>
      </c>
      <c r="L817" t="n">
        <v>80.11943528499999</v>
      </c>
      <c r="M817" t="n">
        <v>70.598085645</v>
      </c>
      <c r="N817" t="n">
        <v>90.169120937</v>
      </c>
      <c r="O817" t="n">
        <v/>
      </c>
      <c r="P817" t="n">
        <v/>
      </c>
      <c r="Q817" t="n">
        <v>61.330039354</v>
      </c>
      <c r="R817" t="n">
        <v>82.78193516100001</v>
      </c>
      <c r="S817" t="n">
        <v>67.202416063</v>
      </c>
      <c r="T817" t="n">
        <v>74.421939416</v>
      </c>
      <c r="U817" t="n">
        <v/>
      </c>
      <c r="V817" t="n">
        <v>119.569587476</v>
      </c>
      <c r="W817" t="n">
        <v>46.365971098</v>
      </c>
      <c r="X817" t="n">
        <v/>
      </c>
      <c r="Y817" t="n">
        <v/>
      </c>
      <c r="Z817" t="n">
        <v>10.031389262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60.115986553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58.872175014</v>
      </c>
      <c r="AM817" t="n">
        <v>37.757585538</v>
      </c>
      <c r="AN817" t="n">
        <v>91.372856535</v>
      </c>
      <c r="AO817" t="n">
        <v/>
      </c>
      <c r="AP817" t="n">
        <v/>
      </c>
      <c r="AQ817" t="n">
        <v/>
      </c>
      <c r="AR817" t="n">
        <v>64.696971828</v>
      </c>
      <c r="AS817" t="n">
        <v>25.39788351</v>
      </c>
      <c r="AT817" t="n">
        <v>55.869941121</v>
      </c>
      <c r="AU817" t="n">
        <v/>
      </c>
    </row>
    <row r="818">
      <c r="A818" s="107" t="n">
        <v>31778</v>
      </c>
      <c r="B818" t="n">
        <v>40.562071696</v>
      </c>
      <c r="C818" t="n">
        <v>54.556168019</v>
      </c>
      <c r="D818" t="n">
        <v>79.595495484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61.717543047</v>
      </c>
      <c r="L818" t="n">
        <v>74.894254723</v>
      </c>
      <c r="M818" t="n">
        <v>69.96936163300001</v>
      </c>
      <c r="N818" t="n">
        <v>86.917247335</v>
      </c>
      <c r="O818" t="n">
        <v/>
      </c>
      <c r="P818" t="n">
        <v/>
      </c>
      <c r="Q818" t="n">
        <v>60.680731911</v>
      </c>
      <c r="R818" t="n">
        <v>80.579311609</v>
      </c>
      <c r="S818" t="n">
        <v>66.508040404</v>
      </c>
      <c r="T818" t="n">
        <v>73.02383939800001</v>
      </c>
      <c r="U818" t="n">
        <v/>
      </c>
      <c r="V818" t="n">
        <v>116.71638832</v>
      </c>
      <c r="W818" t="n">
        <v>43.32264481</v>
      </c>
      <c r="X818" t="n">
        <v/>
      </c>
      <c r="Y818" t="n">
        <v/>
      </c>
      <c r="Z818" t="n">
        <v>9.53656737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62.08774135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58.302740894</v>
      </c>
      <c r="AM818" t="n">
        <v>35.517041623</v>
      </c>
      <c r="AN818" t="n">
        <v>88.370353622</v>
      </c>
      <c r="AO818" t="n">
        <v/>
      </c>
      <c r="AP818" t="n">
        <v/>
      </c>
      <c r="AQ818" t="n">
        <v/>
      </c>
      <c r="AR818" t="n">
        <v>62.341220633</v>
      </c>
      <c r="AS818" t="n">
        <v>25.497875177</v>
      </c>
      <c r="AT818" t="n">
        <v>55.653577365</v>
      </c>
      <c r="AU818" t="n">
        <v/>
      </c>
    </row>
    <row r="819">
      <c r="A819" s="107" t="n">
        <v>31809</v>
      </c>
      <c r="B819" t="n">
        <v>41.519815255</v>
      </c>
      <c r="C819" t="n">
        <v>56.268201407</v>
      </c>
      <c r="D819" t="n">
        <v>83.970814377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62.951893908</v>
      </c>
      <c r="L819" t="n">
        <v>78.377708431</v>
      </c>
      <c r="M819" t="n">
        <v>70.902921529</v>
      </c>
      <c r="N819" t="n">
        <v>91.728911099</v>
      </c>
      <c r="O819" t="n">
        <v/>
      </c>
      <c r="P819" t="n">
        <v/>
      </c>
      <c r="Q819" t="n">
        <v>61.566151151</v>
      </c>
      <c r="R819" t="n">
        <v>82.506607217</v>
      </c>
      <c r="S819" t="n">
        <v>67.39369835799999</v>
      </c>
      <c r="T819" t="n">
        <v>75.389854813</v>
      </c>
      <c r="U819" t="n">
        <v/>
      </c>
      <c r="V819" t="n">
        <v>126.399678253</v>
      </c>
      <c r="W819" t="n">
        <v>46.544990292</v>
      </c>
      <c r="X819" t="n">
        <v/>
      </c>
      <c r="Y819" t="n">
        <v/>
      </c>
      <c r="Z819" t="n">
        <v>10.323784016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60.516054611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59.191949164</v>
      </c>
      <c r="AM819" t="n">
        <v>39.894129553</v>
      </c>
      <c r="AN819" t="n">
        <v>92.1083486</v>
      </c>
      <c r="AO819" t="n">
        <v/>
      </c>
      <c r="AP819" t="n">
        <v/>
      </c>
      <c r="AQ819" t="n">
        <v/>
      </c>
      <c r="AR819" t="n">
        <v>64.926801212</v>
      </c>
      <c r="AS819" t="n">
        <v>26.097825181</v>
      </c>
      <c r="AT819" t="n">
        <v>56.399248974</v>
      </c>
      <c r="AU819" t="n">
        <v/>
      </c>
    </row>
    <row r="820">
      <c r="A820" s="107" t="n">
        <v>31837</v>
      </c>
      <c r="B820" t="n">
        <v>41.932907872</v>
      </c>
      <c r="C820" t="n">
        <v>55.373255912</v>
      </c>
      <c r="D820" t="n">
        <v>79.57597656999999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62.58158865</v>
      </c>
      <c r="L820" t="n">
        <v>79.90171942800001</v>
      </c>
      <c r="M820" t="n">
        <v>70.683820737</v>
      </c>
      <c r="N820" t="n">
        <v>91.10227434399999</v>
      </c>
      <c r="O820" t="n">
        <v/>
      </c>
      <c r="P820" t="n">
        <v/>
      </c>
      <c r="Q820" t="n">
        <v>63.986297074</v>
      </c>
      <c r="R820" t="n">
        <v>83.424367031</v>
      </c>
      <c r="S820" t="n">
        <v>67.695022002</v>
      </c>
      <c r="T820" t="n">
        <v>75.067216347</v>
      </c>
      <c r="U820" t="n">
        <v/>
      </c>
      <c r="V820" t="n">
        <v>118.71230522</v>
      </c>
      <c r="W820" t="n">
        <v>46.947783477</v>
      </c>
      <c r="X820" t="n">
        <v/>
      </c>
      <c r="Y820" t="n">
        <v/>
      </c>
      <c r="Z820" t="n">
        <v>10.2338164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63.589843866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59.386533419</v>
      </c>
      <c r="AM820" t="n">
        <v>38.891252798</v>
      </c>
      <c r="AN820" t="n">
        <v>89.560461312</v>
      </c>
      <c r="AO820" t="n">
        <v/>
      </c>
      <c r="AP820" t="n">
        <v/>
      </c>
      <c r="AQ820" t="n">
        <v/>
      </c>
      <c r="AR820" t="n">
        <v>64.696971828</v>
      </c>
      <c r="AS820" t="n">
        <v>25.197900175</v>
      </c>
      <c r="AT820" t="n">
        <v>56.472328758</v>
      </c>
      <c r="AU820" t="n">
        <v/>
      </c>
    </row>
    <row r="821">
      <c r="A821" s="107" t="n">
        <v>31868</v>
      </c>
      <c r="B821" t="n">
        <v>41.812941819</v>
      </c>
      <c r="C821" t="n">
        <v>56.698059636</v>
      </c>
      <c r="D821" t="n">
        <v>80.668681596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63.445634252</v>
      </c>
      <c r="L821" t="n">
        <v>79.90171942800001</v>
      </c>
      <c r="M821" t="n">
        <v>70.798134194</v>
      </c>
      <c r="N821" t="n">
        <v>91.355621266</v>
      </c>
      <c r="O821" t="n">
        <v/>
      </c>
      <c r="P821" t="n">
        <v/>
      </c>
      <c r="Q821" t="n">
        <v>62.274486543</v>
      </c>
      <c r="R821" t="n">
        <v>82.598383199</v>
      </c>
      <c r="S821" t="n">
        <v>67.888903923</v>
      </c>
      <c r="T821" t="n">
        <v>74.421939416</v>
      </c>
      <c r="U821" t="n">
        <v/>
      </c>
      <c r="V821" t="n">
        <v>119.922509665</v>
      </c>
      <c r="W821" t="n">
        <v>47.798124646</v>
      </c>
      <c r="X821" t="n">
        <v/>
      </c>
      <c r="Y821" t="n">
        <v/>
      </c>
      <c r="Z821" t="n">
        <v>10.796114004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61.159327412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59.62704162</v>
      </c>
      <c r="AM821" t="n">
        <v>38.779285315</v>
      </c>
      <c r="AN821" t="n">
        <v>92.24559829</v>
      </c>
      <c r="AO821" t="n">
        <v/>
      </c>
      <c r="AP821" t="n">
        <v/>
      </c>
      <c r="AQ821" t="n">
        <v/>
      </c>
      <c r="AR821" t="n">
        <v>65.041715905</v>
      </c>
      <c r="AS821" t="n">
        <v>26.197816849</v>
      </c>
      <c r="AT821" t="n">
        <v>56.835347875</v>
      </c>
      <c r="AU821" t="n">
        <v/>
      </c>
    </row>
    <row r="822">
      <c r="A822" s="107" t="n">
        <v>31898</v>
      </c>
      <c r="B822" t="n">
        <v>42.926177719</v>
      </c>
      <c r="C822" t="n">
        <v>57.05218983</v>
      </c>
      <c r="D822" t="n">
        <v>79.60970301099999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64.371397398</v>
      </c>
      <c r="L822" t="n">
        <v>80.55486699799999</v>
      </c>
      <c r="M822" t="n">
        <v>71.703115727</v>
      </c>
      <c r="N822" t="n">
        <v>93.15366323400001</v>
      </c>
      <c r="O822" t="n">
        <v/>
      </c>
      <c r="P822" t="n">
        <v/>
      </c>
      <c r="Q822" t="n">
        <v>63.750185276</v>
      </c>
      <c r="R822" t="n">
        <v>83.332591049</v>
      </c>
      <c r="S822" t="n">
        <v>68.12846911</v>
      </c>
      <c r="T822" t="n">
        <v>75.82003943399999</v>
      </c>
      <c r="U822" t="n">
        <v/>
      </c>
      <c r="V822" t="n">
        <v>118.696555614</v>
      </c>
      <c r="W822" t="n">
        <v>46.142197106</v>
      </c>
      <c r="X822" t="n">
        <v/>
      </c>
      <c r="Y822" t="n">
        <v/>
      </c>
      <c r="Z822" t="n">
        <v>11.133492566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62.685557556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59.965374494</v>
      </c>
      <c r="AM822" t="n">
        <v>39.050204287</v>
      </c>
      <c r="AN822" t="n">
        <v>92.87901082400001</v>
      </c>
      <c r="AO822" t="n">
        <v/>
      </c>
      <c r="AP822" t="n">
        <v/>
      </c>
      <c r="AQ822" t="n">
        <v/>
      </c>
      <c r="AR822" t="n">
        <v>65.903576098</v>
      </c>
      <c r="AS822" t="n">
        <v>26.797766853</v>
      </c>
      <c r="AT822" t="n">
        <v>57.192020851</v>
      </c>
      <c r="AU822" t="n">
        <v/>
      </c>
    </row>
    <row r="823">
      <c r="A823" s="107" t="n">
        <v>31929</v>
      </c>
      <c r="B823" t="n">
        <v>41.888390646</v>
      </c>
      <c r="C823" t="n">
        <v>57.016961831</v>
      </c>
      <c r="D823" t="n">
        <v>74.86872443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63.19876408</v>
      </c>
      <c r="L823" t="n">
        <v>79.030856001</v>
      </c>
      <c r="M823" t="n">
        <v>70.950552136</v>
      </c>
      <c r="N823" t="n">
        <v>92.97285667200001</v>
      </c>
      <c r="O823" t="n">
        <v/>
      </c>
      <c r="P823" t="n">
        <v/>
      </c>
      <c r="Q823" t="n">
        <v>62.56962629</v>
      </c>
      <c r="R823" t="n">
        <v>83.791470956</v>
      </c>
      <c r="S823" t="n">
        <v>68.56998405</v>
      </c>
      <c r="T823" t="n">
        <v>75.49740096799999</v>
      </c>
      <c r="U823" t="n">
        <v/>
      </c>
      <c r="V823" t="n">
        <v>116.452380193</v>
      </c>
      <c r="W823" t="n">
        <v>46.410725897</v>
      </c>
      <c r="X823" t="n">
        <v/>
      </c>
      <c r="Y823" t="n">
        <v/>
      </c>
      <c r="Z823" t="n">
        <v>10.796114004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62.84180945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60.235988981</v>
      </c>
      <c r="AM823" t="n">
        <v>39.068140933</v>
      </c>
      <c r="AN823" t="n">
        <v>92.889254881</v>
      </c>
      <c r="AO823" t="n">
        <v/>
      </c>
      <c r="AP823" t="n">
        <v/>
      </c>
      <c r="AQ823" t="n">
        <v/>
      </c>
      <c r="AR823" t="n">
        <v>65.50137467499999</v>
      </c>
      <c r="AS823" t="n">
        <v>27.497708524</v>
      </c>
      <c r="AT823" t="n">
        <v>57.499511231</v>
      </c>
      <c r="AU823" t="n">
        <v/>
      </c>
    </row>
    <row r="824">
      <c r="A824" s="107" t="n">
        <v>31959</v>
      </c>
      <c r="B824" t="n">
        <v>41.778014246</v>
      </c>
      <c r="C824" t="n">
        <v>56.374053349</v>
      </c>
      <c r="D824" t="n">
        <v>70.923450626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62.458153564</v>
      </c>
      <c r="L824" t="n">
        <v>82.18773592399999</v>
      </c>
      <c r="M824" t="n">
        <v>71.236335778</v>
      </c>
      <c r="N824" t="n">
        <v>96.38237889600001</v>
      </c>
      <c r="O824" t="n">
        <v/>
      </c>
      <c r="P824" t="n">
        <v/>
      </c>
      <c r="Q824" t="n">
        <v>63.809213226</v>
      </c>
      <c r="R824" t="n">
        <v>82.78193516100001</v>
      </c>
      <c r="S824" t="n">
        <v>68.797579025</v>
      </c>
      <c r="T824" t="n">
        <v>76.895500986</v>
      </c>
      <c r="U824" t="n">
        <v/>
      </c>
      <c r="V824" t="n">
        <v>117.980195287</v>
      </c>
      <c r="W824" t="n">
        <v>47.12680267</v>
      </c>
      <c r="X824" t="n">
        <v/>
      </c>
      <c r="Y824" t="n">
        <v/>
      </c>
      <c r="Z824" t="n">
        <v>11.133492566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64.60817911300001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60.412191557</v>
      </c>
      <c r="AM824" t="n">
        <v>39.141227802</v>
      </c>
      <c r="AN824" t="n">
        <v>95.41959871100001</v>
      </c>
      <c r="AO824" t="n">
        <v/>
      </c>
      <c r="AP824" t="n">
        <v/>
      </c>
      <c r="AQ824" t="n">
        <v/>
      </c>
      <c r="AR824" t="n">
        <v>65.214087943</v>
      </c>
      <c r="AS824" t="n">
        <v>25.297891842</v>
      </c>
      <c r="AT824" t="n">
        <v>57.887716597</v>
      </c>
      <c r="AU824" t="n">
        <v/>
      </c>
    </row>
    <row r="825">
      <c r="A825" s="107" t="n">
        <v>31990</v>
      </c>
      <c r="B825" t="n">
        <v>42.445396004</v>
      </c>
      <c r="C825" t="n">
        <v>56.394106618</v>
      </c>
      <c r="D825" t="n">
        <v>71.965521842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63.815939511</v>
      </c>
      <c r="L825" t="n">
        <v>82.623167638</v>
      </c>
      <c r="M825" t="n">
        <v>71.27444026400001</v>
      </c>
      <c r="N825" t="n">
        <v>90.514607408</v>
      </c>
      <c r="O825" t="n">
        <v/>
      </c>
      <c r="P825" t="n">
        <v/>
      </c>
      <c r="Q825" t="n">
        <v>64.045325023</v>
      </c>
      <c r="R825" t="n">
        <v>82.78193516100001</v>
      </c>
      <c r="S825" t="n">
        <v>69.212744896</v>
      </c>
      <c r="T825" t="n">
        <v>76.680408675</v>
      </c>
      <c r="U825" t="n">
        <v/>
      </c>
      <c r="V825" t="n">
        <v>117.406747239</v>
      </c>
      <c r="W825" t="n">
        <v>44.710043559</v>
      </c>
      <c r="X825" t="n">
        <v/>
      </c>
      <c r="Y825" t="n">
        <v/>
      </c>
      <c r="Z825" t="n">
        <v>11.560838746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57.746755844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60.725718517</v>
      </c>
      <c r="AM825" t="n">
        <v>39.097206658</v>
      </c>
      <c r="AN825" t="n">
        <v>90.29824951400001</v>
      </c>
      <c r="AO825" t="n">
        <v/>
      </c>
      <c r="AP825" t="n">
        <v/>
      </c>
      <c r="AQ825" t="n">
        <v/>
      </c>
      <c r="AR825" t="n">
        <v>67.742211177</v>
      </c>
      <c r="AS825" t="n">
        <v>27.997666861</v>
      </c>
      <c r="AT825" t="n">
        <v>58.322129805</v>
      </c>
      <c r="AU825" t="n">
        <v/>
      </c>
    </row>
    <row r="826">
      <c r="A826" s="107" t="n">
        <v>32021</v>
      </c>
      <c r="B826" t="n">
        <v>41.606883043</v>
      </c>
      <c r="C826" t="n">
        <v>56.856285988</v>
      </c>
      <c r="D826" t="n">
        <v>73.91502675700001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63.013611451</v>
      </c>
      <c r="L826" t="n">
        <v>80.337151142</v>
      </c>
      <c r="M826" t="n">
        <v>71.341123114</v>
      </c>
      <c r="N826" t="n">
        <v>93.94959424300001</v>
      </c>
      <c r="O826" t="n">
        <v/>
      </c>
      <c r="P826" t="n">
        <v/>
      </c>
      <c r="Q826" t="n">
        <v>63.277961682</v>
      </c>
      <c r="R826" t="n">
        <v>83.975022919</v>
      </c>
      <c r="S826" t="n">
        <v>69.49811674599999</v>
      </c>
      <c r="T826" t="n">
        <v>76.14267789900001</v>
      </c>
      <c r="U826" t="n">
        <v/>
      </c>
      <c r="V826" t="n">
        <v>121.440794332</v>
      </c>
      <c r="W826" t="n">
        <v>47.261067065</v>
      </c>
      <c r="X826" t="n">
        <v/>
      </c>
      <c r="Y826" t="n">
        <v/>
      </c>
      <c r="Z826" t="n">
        <v>11.200968279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63.479510209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61.017503294</v>
      </c>
      <c r="AM826" t="n">
        <v>38.178282436</v>
      </c>
      <c r="AN826" t="n">
        <v>92.949914675</v>
      </c>
      <c r="AO826" t="n">
        <v/>
      </c>
      <c r="AP826" t="n">
        <v/>
      </c>
      <c r="AQ826" t="n">
        <v/>
      </c>
      <c r="AR826" t="n">
        <v>67.110180368</v>
      </c>
      <c r="AS826" t="n">
        <v>26.997750187</v>
      </c>
      <c r="AT826" t="n">
        <v>58.542261583</v>
      </c>
      <c r="AU826" t="n">
        <v/>
      </c>
    </row>
    <row r="827">
      <c r="A827" s="107" t="n">
        <v>32051</v>
      </c>
      <c r="B827" t="n">
        <v>42.502296206</v>
      </c>
      <c r="C827" t="n">
        <v>57.641723918</v>
      </c>
      <c r="D827" t="n">
        <v>74.417848664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64.00109214</v>
      </c>
      <c r="L827" t="n">
        <v>68.036205235</v>
      </c>
      <c r="M827" t="n">
        <v>71.86505979</v>
      </c>
      <c r="N827" t="n">
        <v>93.50554843800001</v>
      </c>
      <c r="O827" t="n">
        <v/>
      </c>
      <c r="P827" t="n">
        <v/>
      </c>
      <c r="Q827" t="n">
        <v>62.864766036</v>
      </c>
      <c r="R827" t="n">
        <v>84.52567880700001</v>
      </c>
      <c r="S827" t="n">
        <v>70.512455983</v>
      </c>
      <c r="T827" t="n">
        <v>77.003047141</v>
      </c>
      <c r="U827" t="n">
        <v/>
      </c>
      <c r="V827" t="n">
        <v>120.140555601</v>
      </c>
      <c r="W827" t="n">
        <v>47.753369847</v>
      </c>
      <c r="X827" t="n">
        <v/>
      </c>
      <c r="Y827" t="n">
        <v/>
      </c>
      <c r="Z827" t="n">
        <v>11.200968279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65.562139802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61.772087348</v>
      </c>
      <c r="AM827" t="n">
        <v>38.398295646</v>
      </c>
      <c r="AN827" t="n">
        <v>92.11094797299999</v>
      </c>
      <c r="AO827" t="n">
        <v/>
      </c>
      <c r="AP827" t="n">
        <v/>
      </c>
      <c r="AQ827" t="n">
        <v/>
      </c>
      <c r="AR827" t="n">
        <v>67.282552407</v>
      </c>
      <c r="AS827" t="n">
        <v>27.997666861</v>
      </c>
      <c r="AT827" t="n">
        <v>59.330472171</v>
      </c>
      <c r="AU827" t="n">
        <v/>
      </c>
    </row>
    <row r="828">
      <c r="A828" s="107" t="n">
        <v>32082</v>
      </c>
      <c r="B828" t="n">
        <v>42.831279773</v>
      </c>
      <c r="C828" t="n">
        <v>56.924810789</v>
      </c>
      <c r="D828" t="n">
        <v>76.795427651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64.371397398</v>
      </c>
      <c r="L828" t="n">
        <v>69.669074161</v>
      </c>
      <c r="M828" t="n">
        <v>72.150843432</v>
      </c>
      <c r="N828" t="n">
        <v>94.038291329</v>
      </c>
      <c r="O828" t="n">
        <v/>
      </c>
      <c r="P828" t="n">
        <v/>
      </c>
      <c r="Q828" t="n">
        <v>62.451570391</v>
      </c>
      <c r="R828" t="n">
        <v>84.52567880700001</v>
      </c>
      <c r="S828" t="n">
        <v>70.76497525800001</v>
      </c>
      <c r="T828" t="n">
        <v>77.003047141</v>
      </c>
      <c r="U828" t="n">
        <v/>
      </c>
      <c r="V828" t="n">
        <v>121.047032111</v>
      </c>
      <c r="W828" t="n">
        <v>47.305821864</v>
      </c>
      <c r="X828" t="n">
        <v/>
      </c>
      <c r="Y828" t="n">
        <v/>
      </c>
      <c r="Z828" t="n">
        <v>11.403395417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60.115994623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62.058980466</v>
      </c>
      <c r="AM828" t="n">
        <v>38.78121695</v>
      </c>
      <c r="AN828" t="n">
        <v>92.763793221</v>
      </c>
      <c r="AO828" t="n">
        <v/>
      </c>
      <c r="AP828" t="n">
        <v/>
      </c>
      <c r="AQ828" t="n">
        <v/>
      </c>
      <c r="AR828" t="n">
        <v>68.1444126</v>
      </c>
      <c r="AS828" t="n">
        <v>29.197566869</v>
      </c>
      <c r="AT828" t="n">
        <v>59.630624826</v>
      </c>
      <c r="AU828" t="n">
        <v/>
      </c>
    </row>
    <row r="829">
      <c r="A829" s="107" t="n">
        <v>32112</v>
      </c>
      <c r="B829" t="n">
        <v>42.640702586</v>
      </c>
      <c r="C829" t="n">
        <v>57.21676478</v>
      </c>
      <c r="D829" t="n">
        <v>74.441785912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64.433114941</v>
      </c>
      <c r="L829" t="n">
        <v>72.28166444199999</v>
      </c>
      <c r="M829" t="n">
        <v>71.969847126</v>
      </c>
      <c r="N829" t="n">
        <v>93.259700956</v>
      </c>
      <c r="O829" t="n">
        <v/>
      </c>
      <c r="P829" t="n">
        <v/>
      </c>
      <c r="Q829" t="n">
        <v>63.750185276</v>
      </c>
      <c r="R829" t="n">
        <v>85.71876656400001</v>
      </c>
      <c r="S829" t="n">
        <v>71.14352151999999</v>
      </c>
      <c r="T829" t="n">
        <v>77.540777917</v>
      </c>
      <c r="U829" t="n">
        <v/>
      </c>
      <c r="V829" t="n">
        <v>124.016187841</v>
      </c>
      <c r="W829" t="n">
        <v>47.350576662</v>
      </c>
      <c r="X829" t="n">
        <v/>
      </c>
      <c r="Y829" t="n">
        <v/>
      </c>
      <c r="Z829" t="n">
        <v>10.751130196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66.53514574499999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62.309963363</v>
      </c>
      <c r="AM829" t="n">
        <v>39.544829797</v>
      </c>
      <c r="AN829" t="n">
        <v>96.00463350699999</v>
      </c>
      <c r="AO829" t="n">
        <v/>
      </c>
      <c r="AP829" t="n">
        <v/>
      </c>
      <c r="AQ829" t="n">
        <v/>
      </c>
      <c r="AR829" t="n">
        <v>68.374241985</v>
      </c>
      <c r="AS829" t="n">
        <v>28.897591867</v>
      </c>
      <c r="AT829" t="n">
        <v>59.964987148</v>
      </c>
      <c r="AU829" t="n">
        <v/>
      </c>
    </row>
    <row r="830">
      <c r="A830" s="107" t="n">
        <v>32143</v>
      </c>
      <c r="B830" t="n">
        <v>43.266597555</v>
      </c>
      <c r="C830" t="n">
        <v>58.939271162</v>
      </c>
      <c r="D830" t="n">
        <v>74.60248306699999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64.124527226</v>
      </c>
      <c r="L830" t="n">
        <v>83.058599351</v>
      </c>
      <c r="M830" t="n">
        <v>71.826955305</v>
      </c>
      <c r="N830" t="n">
        <v>91.68128299200001</v>
      </c>
      <c r="O830" t="n">
        <v/>
      </c>
      <c r="P830" t="n">
        <v/>
      </c>
      <c r="Q830" t="n">
        <v>64.93074426299999</v>
      </c>
      <c r="R830" t="n">
        <v>85.62699058299999</v>
      </c>
      <c r="S830" t="n">
        <v>71.472730373</v>
      </c>
      <c r="T830" t="n">
        <v>78.293601004</v>
      </c>
      <c r="U830" t="n">
        <v/>
      </c>
      <c r="V830" t="n">
        <v>126.128474312</v>
      </c>
      <c r="W830" t="n">
        <v>44.083476382</v>
      </c>
      <c r="X830" t="n">
        <v/>
      </c>
      <c r="Y830" t="n">
        <v/>
      </c>
      <c r="Z830" t="n">
        <v>11.740773979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66.097957497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62.553912087</v>
      </c>
      <c r="AM830" t="n">
        <v>39.831277914</v>
      </c>
      <c r="AN830" t="n">
        <v>96.317648504</v>
      </c>
      <c r="AO830" t="n">
        <v/>
      </c>
      <c r="AP830" t="n">
        <v/>
      </c>
      <c r="AQ830" t="n">
        <v/>
      </c>
      <c r="AR830" t="n">
        <v>65.558832021</v>
      </c>
      <c r="AS830" t="n">
        <v>29.597533539</v>
      </c>
      <c r="AT830" t="n">
        <v>59.950609172</v>
      </c>
      <c r="AU830" t="n">
        <v/>
      </c>
    </row>
    <row r="831">
      <c r="A831" s="107" t="n">
        <v>32174</v>
      </c>
      <c r="B831" t="n">
        <v>42.575975768</v>
      </c>
      <c r="C831" t="n">
        <v>58.11119868</v>
      </c>
      <c r="D831" t="n">
        <v>74.707059216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64.61826757</v>
      </c>
      <c r="L831" t="n">
        <v>80.663724927</v>
      </c>
      <c r="M831" t="n">
        <v>72.541414409</v>
      </c>
      <c r="N831" t="n">
        <v>93.888583231</v>
      </c>
      <c r="O831" t="n">
        <v/>
      </c>
      <c r="P831" t="n">
        <v/>
      </c>
      <c r="Q831" t="n">
        <v>64.871716314</v>
      </c>
      <c r="R831" t="n">
        <v>86.91185432100001</v>
      </c>
      <c r="S831" t="n">
        <v>72.12263198700001</v>
      </c>
      <c r="T831" t="n">
        <v>77.43323176200001</v>
      </c>
      <c r="U831" t="n">
        <v/>
      </c>
      <c r="V831" t="n">
        <v>125.213765233</v>
      </c>
      <c r="W831" t="n">
        <v>47.082047872</v>
      </c>
      <c r="X831" t="n">
        <v/>
      </c>
      <c r="Y831" t="n">
        <v/>
      </c>
      <c r="Z831" t="n">
        <v>11.448379225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65.833765568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63.00138848</v>
      </c>
      <c r="AM831" t="n">
        <v>40.948345008</v>
      </c>
      <c r="AN831" t="n">
        <v>96.063307657</v>
      </c>
      <c r="AO831" t="n">
        <v/>
      </c>
      <c r="AP831" t="n">
        <v/>
      </c>
      <c r="AQ831" t="n">
        <v/>
      </c>
      <c r="AR831" t="n">
        <v>64.40968509699999</v>
      </c>
      <c r="AS831" t="n">
        <v>29.397550204</v>
      </c>
      <c r="AT831" t="n">
        <v>60.252943312</v>
      </c>
      <c r="AU831" t="n">
        <v/>
      </c>
    </row>
    <row r="832">
      <c r="A832" s="107" t="n">
        <v>32203</v>
      </c>
      <c r="B832" t="n">
        <v>42.385876623</v>
      </c>
      <c r="C832" t="n">
        <v>58.041141732</v>
      </c>
      <c r="D832" t="n">
        <v>78.608753763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64.309679855</v>
      </c>
      <c r="L832" t="n">
        <v>81.643446282</v>
      </c>
      <c r="M832" t="n">
        <v>73.47497430599999</v>
      </c>
      <c r="N832" t="n">
        <v>97.732212824</v>
      </c>
      <c r="O832" t="n">
        <v/>
      </c>
      <c r="P832" t="n">
        <v/>
      </c>
      <c r="Q832" t="n">
        <v>63.514073479</v>
      </c>
      <c r="R832" t="n">
        <v>87.00363030299999</v>
      </c>
      <c r="S832" t="n">
        <v>72.01525692</v>
      </c>
      <c r="T832" t="n">
        <v>78.61623946900001</v>
      </c>
      <c r="U832" t="n">
        <v/>
      </c>
      <c r="V832" t="n">
        <v>127.169308926</v>
      </c>
      <c r="W832" t="n">
        <v>46.813519082</v>
      </c>
      <c r="X832" t="n">
        <v/>
      </c>
      <c r="Y832" t="n">
        <v/>
      </c>
      <c r="Z832" t="n">
        <v>11.493363033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65.84823181199999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62.939233876</v>
      </c>
      <c r="AM832" t="n">
        <v>40.975458105</v>
      </c>
      <c r="AN832" t="n">
        <v>91.548688942</v>
      </c>
      <c r="AO832" t="n">
        <v/>
      </c>
      <c r="AP832" t="n">
        <v/>
      </c>
      <c r="AQ832" t="n">
        <v/>
      </c>
      <c r="AR832" t="n">
        <v>66.01849079</v>
      </c>
      <c r="AS832" t="n">
        <v>27.997666861</v>
      </c>
      <c r="AT832" t="n">
        <v>60.382345101</v>
      </c>
      <c r="AU832" t="n">
        <v/>
      </c>
    </row>
    <row r="833">
      <c r="A833" s="107" t="n">
        <v>32234</v>
      </c>
      <c r="B833" t="n">
        <v>43.659310235</v>
      </c>
      <c r="C833" t="n">
        <v>59.632709873</v>
      </c>
      <c r="D833" t="n">
        <v>75.310346215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64.741702656</v>
      </c>
      <c r="L833" t="n">
        <v>78.921998073</v>
      </c>
      <c r="M833" t="n">
        <v>72.36994422399999</v>
      </c>
      <c r="N833" t="n">
        <v>93.59434577</v>
      </c>
      <c r="O833" t="n">
        <v/>
      </c>
      <c r="P833" t="n">
        <v/>
      </c>
      <c r="Q833" t="n">
        <v>65.52102375600001</v>
      </c>
      <c r="R833" t="n">
        <v>85.71876656400001</v>
      </c>
      <c r="S833" t="n">
        <v>72.471638036</v>
      </c>
      <c r="T833" t="n">
        <v>77.97096253799999</v>
      </c>
      <c r="U833" t="n">
        <v/>
      </c>
      <c r="V833" t="n">
        <v>123.340345523</v>
      </c>
      <c r="W833" t="n">
        <v>45.649894324</v>
      </c>
      <c r="X833" t="n">
        <v/>
      </c>
      <c r="Y833" t="n">
        <v/>
      </c>
      <c r="Z833" t="n">
        <v>11.628314458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65.575259636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63.244490801</v>
      </c>
      <c r="AM833" t="n">
        <v>40.083730334</v>
      </c>
      <c r="AN833" t="n">
        <v>95.095904234</v>
      </c>
      <c r="AO833" t="n">
        <v/>
      </c>
      <c r="AP833" t="n">
        <v/>
      </c>
      <c r="AQ833" t="n">
        <v/>
      </c>
      <c r="AR833" t="n">
        <v>67.68475383000001</v>
      </c>
      <c r="AS833" t="n">
        <v>28.497625198</v>
      </c>
      <c r="AT833" t="n">
        <v>60.732076985</v>
      </c>
      <c r="AU833" t="n">
        <v/>
      </c>
    </row>
    <row r="834">
      <c r="A834" s="107" t="n">
        <v>32264</v>
      </c>
      <c r="B834" t="n">
        <v>43.97698937</v>
      </c>
      <c r="C834" t="n">
        <v>59.587396173</v>
      </c>
      <c r="D834" t="n">
        <v>73.91850057400001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64.741702656</v>
      </c>
      <c r="L834" t="n">
        <v>79.90171942800001</v>
      </c>
      <c r="M834" t="n">
        <v>73.49402654799999</v>
      </c>
      <c r="N834" t="n">
        <v>95.179632622</v>
      </c>
      <c r="O834" t="n">
        <v/>
      </c>
      <c r="P834" t="n">
        <v/>
      </c>
      <c r="Q834" t="n">
        <v>64.812688364</v>
      </c>
      <c r="R834" t="n">
        <v>86.82007833999999</v>
      </c>
      <c r="S834" t="n">
        <v>72.406438026</v>
      </c>
      <c r="T834" t="n">
        <v>78.83133178</v>
      </c>
      <c r="U834" t="n">
        <v/>
      </c>
      <c r="V834" t="n">
        <v>124.873188538</v>
      </c>
      <c r="W834" t="n">
        <v>46.007932711</v>
      </c>
      <c r="X834" t="n">
        <v/>
      </c>
      <c r="Y834" t="n">
        <v/>
      </c>
      <c r="Z834" t="n">
        <v>11.650806363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67.923050194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63.248465993</v>
      </c>
      <c r="AM834" t="n">
        <v>42.106075859</v>
      </c>
      <c r="AN834" t="n">
        <v>97.595975909</v>
      </c>
      <c r="AO834" t="n">
        <v/>
      </c>
      <c r="AP834" t="n">
        <v/>
      </c>
      <c r="AQ834" t="n">
        <v/>
      </c>
      <c r="AR834" t="n">
        <v>68.029497908</v>
      </c>
      <c r="AS834" t="n">
        <v>28.197650196</v>
      </c>
      <c r="AT834" t="n">
        <v>60.620821194</v>
      </c>
      <c r="AU834" t="n">
        <v/>
      </c>
    </row>
    <row r="835">
      <c r="A835" s="107" t="n">
        <v>32295</v>
      </c>
      <c r="B835" t="n">
        <v>43.328623846</v>
      </c>
      <c r="C835" t="n">
        <v>59.333596055</v>
      </c>
      <c r="D835" t="n">
        <v>76.07891506199999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65.914335974</v>
      </c>
      <c r="L835" t="n">
        <v>80.55486699799999</v>
      </c>
      <c r="M835" t="n">
        <v>73.541657155</v>
      </c>
      <c r="N835" t="n">
        <v>94.61909839800001</v>
      </c>
      <c r="O835" t="n">
        <v/>
      </c>
      <c r="P835" t="n">
        <v/>
      </c>
      <c r="Q835" t="n">
        <v>65.757135554</v>
      </c>
      <c r="R835" t="n">
        <v>87.370734228</v>
      </c>
      <c r="S835" t="n">
        <v>72.799951627</v>
      </c>
      <c r="T835" t="n">
        <v>79.153970246</v>
      </c>
      <c r="U835" t="n">
        <v/>
      </c>
      <c r="V835" t="n">
        <v>127.005844447</v>
      </c>
      <c r="W835" t="n">
        <v>46.634499888</v>
      </c>
      <c r="X835" t="n">
        <v/>
      </c>
      <c r="Y835" t="n">
        <v/>
      </c>
      <c r="Z835" t="n">
        <v>12.12313635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68.40678185100001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63.513640075</v>
      </c>
      <c r="AM835" t="n">
        <v>41.508252309</v>
      </c>
      <c r="AN835" t="n">
        <v>94.836375148</v>
      </c>
      <c r="AO835" t="n">
        <v/>
      </c>
      <c r="AP835" t="n">
        <v/>
      </c>
      <c r="AQ835" t="n">
        <v/>
      </c>
      <c r="AR835" t="n">
        <v>67.742211177</v>
      </c>
      <c r="AS835" t="n">
        <v>26.89775852</v>
      </c>
      <c r="AT835" t="n">
        <v>60.783639383</v>
      </c>
      <c r="AU835" t="n">
        <v/>
      </c>
    </row>
    <row r="836">
      <c r="A836" s="107" t="n">
        <v>32325</v>
      </c>
      <c r="B836" t="n">
        <v>45.105860855</v>
      </c>
      <c r="C836" t="n">
        <v>60.513337149</v>
      </c>
      <c r="D836" t="n">
        <v>73.56711063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64.371397398</v>
      </c>
      <c r="L836" t="n">
        <v>75.11197058</v>
      </c>
      <c r="M836" t="n">
        <v>72.96056375000001</v>
      </c>
      <c r="N836" t="n">
        <v>96.090347859</v>
      </c>
      <c r="O836" t="n">
        <v/>
      </c>
      <c r="P836" t="n">
        <v/>
      </c>
      <c r="Q836" t="n">
        <v>64.694632466</v>
      </c>
      <c r="R836" t="n">
        <v>86.728302359</v>
      </c>
      <c r="S836" t="n">
        <v>72.613383469</v>
      </c>
      <c r="T836" t="n">
        <v>79.691701022</v>
      </c>
      <c r="U836" t="n">
        <v/>
      </c>
      <c r="V836" t="n">
        <v>125.221702992</v>
      </c>
      <c r="W836" t="n">
        <v>45.381365534</v>
      </c>
      <c r="X836" t="n">
        <v/>
      </c>
      <c r="Y836" t="n">
        <v/>
      </c>
      <c r="Z836" t="n">
        <v>11.988184925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65.431690335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63.41884204</v>
      </c>
      <c r="AM836" t="n">
        <v>40.279607026</v>
      </c>
      <c r="AN836" t="n">
        <v>96.350410588</v>
      </c>
      <c r="AO836" t="n">
        <v/>
      </c>
      <c r="AP836" t="n">
        <v/>
      </c>
      <c r="AQ836" t="n">
        <v/>
      </c>
      <c r="AR836" t="n">
        <v>66.70797894499999</v>
      </c>
      <c r="AS836" t="n">
        <v>28.697608533</v>
      </c>
      <c r="AT836" t="n">
        <v>60.795042606</v>
      </c>
      <c r="AU836" t="n">
        <v/>
      </c>
    </row>
    <row r="837">
      <c r="A837" s="107" t="n">
        <v>32356</v>
      </c>
      <c r="B837" t="n">
        <v>43.943650975</v>
      </c>
      <c r="C837" t="n">
        <v>60.628519854</v>
      </c>
      <c r="D837" t="n">
        <v>74.136909202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67.02525174900001</v>
      </c>
      <c r="L837" t="n">
        <v>77.39798707600001</v>
      </c>
      <c r="M837" t="n">
        <v>75.41830306999999</v>
      </c>
      <c r="N837" t="n">
        <v>95.509899672</v>
      </c>
      <c r="O837" t="n">
        <v/>
      </c>
      <c r="P837" t="n">
        <v/>
      </c>
      <c r="Q837" t="n">
        <v>64.635604516</v>
      </c>
      <c r="R837" t="n">
        <v>86.728302359</v>
      </c>
      <c r="S837" t="n">
        <v>73.23311769999999</v>
      </c>
      <c r="T837" t="n">
        <v>80.552070263</v>
      </c>
      <c r="U837" t="n">
        <v/>
      </c>
      <c r="V837" t="n">
        <v>128.755344098</v>
      </c>
      <c r="W837" t="n">
        <v>46.813519082</v>
      </c>
      <c r="X837" t="n">
        <v/>
      </c>
      <c r="Y837" t="n">
        <v/>
      </c>
      <c r="Z837" t="n">
        <v>11.943201117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73.66039075899999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63.894134596</v>
      </c>
      <c r="AM837" t="n">
        <v>40.857223525</v>
      </c>
      <c r="AN837" t="n">
        <v>95.887596577</v>
      </c>
      <c r="AO837" t="n">
        <v/>
      </c>
      <c r="AP837" t="n">
        <v/>
      </c>
      <c r="AQ837" t="n">
        <v/>
      </c>
      <c r="AR837" t="n">
        <v>65.099173251</v>
      </c>
      <c r="AS837" t="n">
        <v>27.497708524</v>
      </c>
      <c r="AT837" t="n">
        <v>61.104813631</v>
      </c>
      <c r="AU837" t="n">
        <v/>
      </c>
    </row>
    <row r="838">
      <c r="A838" s="107" t="n">
        <v>32387</v>
      </c>
      <c r="B838" t="n">
        <v>44.579183739</v>
      </c>
      <c r="C838" t="n">
        <v>60.755326939</v>
      </c>
      <c r="D838" t="n">
        <v>72.95241349299999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66.22292369</v>
      </c>
      <c r="L838" t="n">
        <v>78.159992574</v>
      </c>
      <c r="M838" t="n">
        <v>74.67526560100001</v>
      </c>
      <c r="N838" t="n">
        <v>95.259851862</v>
      </c>
      <c r="O838" t="n">
        <v/>
      </c>
      <c r="P838" t="n">
        <v/>
      </c>
      <c r="Q838" t="n">
        <v>66.347415047</v>
      </c>
      <c r="R838" t="n">
        <v>88.47204600400001</v>
      </c>
      <c r="S838" t="n">
        <v>73.56490442099999</v>
      </c>
      <c r="T838" t="n">
        <v>81.19734719500001</v>
      </c>
      <c r="U838" t="n">
        <v/>
      </c>
      <c r="V838" t="n">
        <v>126.07932413</v>
      </c>
      <c r="W838" t="n">
        <v>46.142197106</v>
      </c>
      <c r="X838" t="n">
        <v/>
      </c>
      <c r="Y838" t="n">
        <v/>
      </c>
      <c r="Z838" t="n">
        <v>12.190612063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65.532097171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64.124177915</v>
      </c>
      <c r="AM838" t="n">
        <v>40.014178175</v>
      </c>
      <c r="AN838" t="n">
        <v>94.339516205</v>
      </c>
      <c r="AO838" t="n">
        <v/>
      </c>
      <c r="AP838" t="n">
        <v/>
      </c>
      <c r="AQ838" t="n">
        <v/>
      </c>
      <c r="AR838" t="n">
        <v>66.305777521</v>
      </c>
      <c r="AS838" t="n">
        <v>26.497791851</v>
      </c>
      <c r="AT838" t="n">
        <v>60.908579041</v>
      </c>
      <c r="AU838" t="n">
        <v/>
      </c>
    </row>
    <row r="839">
      <c r="A839" s="107" t="n">
        <v>32417</v>
      </c>
      <c r="B839" t="n">
        <v>45.158031054</v>
      </c>
      <c r="C839" t="n">
        <v>60.294698</v>
      </c>
      <c r="D839" t="n">
        <v>69.92127067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66.469793862</v>
      </c>
      <c r="L839" t="n">
        <v>87.195200629</v>
      </c>
      <c r="M839" t="n">
        <v>74.179907289</v>
      </c>
      <c r="N839" t="n">
        <v>95.958710193</v>
      </c>
      <c r="O839" t="n">
        <v/>
      </c>
      <c r="P839" t="n">
        <v/>
      </c>
      <c r="Q839" t="n">
        <v>66.878666591</v>
      </c>
      <c r="R839" t="n">
        <v>86.452974415</v>
      </c>
      <c r="S839" t="n">
        <v>73.29802716</v>
      </c>
      <c r="T839" t="n">
        <v>80.336977953</v>
      </c>
      <c r="U839" t="n">
        <v/>
      </c>
      <c r="V839" t="n">
        <v>124.746149868</v>
      </c>
      <c r="W839" t="n">
        <v>46.097442308</v>
      </c>
      <c r="X839" t="n">
        <v/>
      </c>
      <c r="Y839" t="n">
        <v/>
      </c>
      <c r="Z839" t="n">
        <v>12.842877284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68.544266478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64.131389896</v>
      </c>
      <c r="AM839" t="n">
        <v>39.602952557</v>
      </c>
      <c r="AN839" t="n">
        <v>97.56381896400001</v>
      </c>
      <c r="AO839" t="n">
        <v/>
      </c>
      <c r="AP839" t="n">
        <v/>
      </c>
      <c r="AQ839" t="n">
        <v/>
      </c>
      <c r="AR839" t="n">
        <v>68.60407137</v>
      </c>
      <c r="AS839" t="n">
        <v>27.797683526</v>
      </c>
      <c r="AT839" t="n">
        <v>61.174819503</v>
      </c>
      <c r="AU839" t="n">
        <v/>
      </c>
    </row>
    <row r="840">
      <c r="A840" s="107" t="n">
        <v>32448</v>
      </c>
      <c r="B840" t="n">
        <v>45.240663497</v>
      </c>
      <c r="C840" t="n">
        <v>61.250681012</v>
      </c>
      <c r="D840" t="n">
        <v>69.728127906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66.778381577</v>
      </c>
      <c r="L840" t="n">
        <v>86.542053059</v>
      </c>
      <c r="M840" t="n">
        <v>74.87531414999999</v>
      </c>
      <c r="N840" t="n">
        <v>97.777993388</v>
      </c>
      <c r="O840" t="n">
        <v/>
      </c>
      <c r="P840" t="n">
        <v/>
      </c>
      <c r="Q840" t="n">
        <v>67.291862236</v>
      </c>
      <c r="R840" t="n">
        <v>88.747373948</v>
      </c>
      <c r="S840" t="n">
        <v>73.99639745899999</v>
      </c>
      <c r="T840" t="n">
        <v>81.08980104</v>
      </c>
      <c r="U840" t="n">
        <v/>
      </c>
      <c r="V840" t="n">
        <v>125.471093521</v>
      </c>
      <c r="W840" t="n">
        <v>46.276461501</v>
      </c>
      <c r="X840" t="n">
        <v/>
      </c>
      <c r="Y840" t="n">
        <v/>
      </c>
      <c r="Z840" t="n">
        <v>12.258087775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71.80160045300001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64.69788395499999</v>
      </c>
      <c r="AM840" t="n">
        <v>40.420075828</v>
      </c>
      <c r="AN840" t="n">
        <v>97.095384654</v>
      </c>
      <c r="AO840" t="n">
        <v/>
      </c>
      <c r="AP840" t="n">
        <v/>
      </c>
      <c r="AQ840" t="n">
        <v/>
      </c>
      <c r="AR840" t="n">
        <v>68.25932729199999</v>
      </c>
      <c r="AS840" t="n">
        <v>26.597783518</v>
      </c>
      <c r="AT840" t="n">
        <v>61.328911747</v>
      </c>
      <c r="AU840" t="n">
        <v/>
      </c>
    </row>
    <row r="841">
      <c r="A841" s="107" t="n">
        <v>32478</v>
      </c>
      <c r="B841" t="n">
        <v>43.290798843</v>
      </c>
      <c r="C841" t="n">
        <v>60.494321755</v>
      </c>
      <c r="D841" t="n">
        <v>73.889258801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68.25960261</v>
      </c>
      <c r="L841" t="n">
        <v>88.828069555</v>
      </c>
      <c r="M841" t="n">
        <v>75.89460914</v>
      </c>
      <c r="N841" t="n">
        <v>97.352436041</v>
      </c>
      <c r="O841" t="n">
        <v/>
      </c>
      <c r="P841" t="n">
        <v/>
      </c>
      <c r="Q841" t="n">
        <v>66.819638642</v>
      </c>
      <c r="R841" t="n">
        <v>89.84868572400001</v>
      </c>
      <c r="S841" t="n">
        <v>74.64116711699999</v>
      </c>
      <c r="T841" t="n">
        <v>80.552070263</v>
      </c>
      <c r="U841" t="n">
        <v/>
      </c>
      <c r="V841" t="n">
        <v>125.167343269</v>
      </c>
      <c r="W841" t="n">
        <v>46.768764283</v>
      </c>
      <c r="X841" t="n">
        <v/>
      </c>
      <c r="Y841" t="n">
        <v/>
      </c>
      <c r="Z841" t="n">
        <v>12.66294205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74.321920619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65.16747757900001</v>
      </c>
      <c r="AM841" t="n">
        <v>39.360303738</v>
      </c>
      <c r="AN841" t="n">
        <v>97.75745101</v>
      </c>
      <c r="AO841" t="n">
        <v/>
      </c>
      <c r="AP841" t="n">
        <v/>
      </c>
      <c r="AQ841" t="n">
        <v/>
      </c>
      <c r="AR841" t="n">
        <v>68.029497908</v>
      </c>
      <c r="AS841" t="n">
        <v>27.997666861</v>
      </c>
      <c r="AT841" t="n">
        <v>61.594358941</v>
      </c>
      <c r="AU841" t="n">
        <v/>
      </c>
    </row>
    <row r="842">
      <c r="A842" s="107" t="n">
        <v>32509</v>
      </c>
      <c r="B842" t="n">
        <v>45.421826857</v>
      </c>
      <c r="C842" t="n">
        <v>61.578294495</v>
      </c>
      <c r="D842" t="n">
        <v>73.174368336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67.27212192099999</v>
      </c>
      <c r="L842" t="n">
        <v>83.929462778</v>
      </c>
      <c r="M842" t="n">
        <v>76.05655320300001</v>
      </c>
      <c r="N842" t="n">
        <v>98.937517388</v>
      </c>
      <c r="O842" t="n">
        <v/>
      </c>
      <c r="P842" t="n">
        <v/>
      </c>
      <c r="Q842" t="n">
        <v>66.465470946</v>
      </c>
      <c r="R842" t="n">
        <v>89.389805817</v>
      </c>
      <c r="S842" t="n">
        <v>74.64157784699999</v>
      </c>
      <c r="T842" t="n">
        <v>81.08980104</v>
      </c>
      <c r="U842" t="n">
        <v/>
      </c>
      <c r="V842" t="n">
        <v>127.803764558</v>
      </c>
      <c r="W842" t="n">
        <v>45.157591543</v>
      </c>
      <c r="X842" t="n">
        <v/>
      </c>
      <c r="Y842" t="n">
        <v/>
      </c>
      <c r="Z842" t="n">
        <v>13.045304421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18.982935645</v>
      </c>
      <c r="AF842" t="n">
        <v>74.053265295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65.279145489</v>
      </c>
      <c r="AM842" t="n">
        <v>44.703483633</v>
      </c>
      <c r="AN842" t="n">
        <v>98.310821713</v>
      </c>
      <c r="AO842" t="n">
        <v/>
      </c>
      <c r="AP842" t="n">
        <v>47.25798994</v>
      </c>
      <c r="AQ842" t="n">
        <v/>
      </c>
      <c r="AR842" t="n">
        <v>70.500163794</v>
      </c>
      <c r="AS842" t="n">
        <v>26.997750187</v>
      </c>
      <c r="AT842" t="n">
        <v>61.785933084</v>
      </c>
      <c r="AU842" t="n">
        <v/>
      </c>
    </row>
    <row r="843">
      <c r="A843" s="107" t="n">
        <v>32540</v>
      </c>
      <c r="B843" t="n">
        <v>44.976338247</v>
      </c>
      <c r="C843" t="n">
        <v>61.479399984</v>
      </c>
      <c r="D843" t="n">
        <v>69.950499388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67.02525174900001</v>
      </c>
      <c r="L843" t="n">
        <v>81.208014569</v>
      </c>
      <c r="M843" t="n">
        <v>75.866030775</v>
      </c>
      <c r="N843" t="n">
        <v>98.93558764300001</v>
      </c>
      <c r="O843" t="n">
        <v/>
      </c>
      <c r="P843" t="n">
        <v/>
      </c>
      <c r="Q843" t="n">
        <v>66.05227530000001</v>
      </c>
      <c r="R843" t="n">
        <v>89.206253854</v>
      </c>
      <c r="S843" t="n">
        <v>74.420869766</v>
      </c>
      <c r="T843" t="n">
        <v>81.30489335</v>
      </c>
      <c r="U843" t="n">
        <v/>
      </c>
      <c r="V843" t="n">
        <v>126.685700425</v>
      </c>
      <c r="W843" t="n">
        <v>44.933817551</v>
      </c>
      <c r="X843" t="n">
        <v/>
      </c>
      <c r="Y843" t="n">
        <v/>
      </c>
      <c r="Z843" t="n">
        <v>12.730417763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18.898190397</v>
      </c>
      <c r="AF843" t="n">
        <v>71.998446171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65.15885098299999</v>
      </c>
      <c r="AM843" t="n">
        <v>41.323032453</v>
      </c>
      <c r="AN843" t="n">
        <v>97.062506884</v>
      </c>
      <c r="AO843" t="n">
        <v/>
      </c>
      <c r="AP843" t="n">
        <v>48.356957442</v>
      </c>
      <c r="AQ843" t="n">
        <v/>
      </c>
      <c r="AR843" t="n">
        <v>69.98304767899999</v>
      </c>
      <c r="AS843" t="n">
        <v>28.497625198</v>
      </c>
      <c r="AT843" t="n">
        <v>61.513247322</v>
      </c>
      <c r="AU843" t="n">
        <v/>
      </c>
    </row>
    <row r="844">
      <c r="A844" s="107" t="n">
        <v>32568</v>
      </c>
      <c r="B844" t="n">
        <v>44.898591406</v>
      </c>
      <c r="C844" t="n">
        <v>60.472110114</v>
      </c>
      <c r="D844" t="n">
        <v>72.473721411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67.518992094</v>
      </c>
      <c r="L844" t="n">
        <v>80.663724927</v>
      </c>
      <c r="M844" t="n">
        <v>75.837452411</v>
      </c>
      <c r="N844" t="n">
        <v>101.695603883</v>
      </c>
      <c r="O844" t="n">
        <v/>
      </c>
      <c r="P844" t="n">
        <v/>
      </c>
      <c r="Q844" t="n">
        <v>66.406442996</v>
      </c>
      <c r="R844" t="n">
        <v>89.298029836</v>
      </c>
      <c r="S844" t="n">
        <v>74.988475706</v>
      </c>
      <c r="T844" t="n">
        <v>80.22943179799999</v>
      </c>
      <c r="U844" t="n">
        <v/>
      </c>
      <c r="V844" t="n">
        <v>127.884565555</v>
      </c>
      <c r="W844" t="n">
        <v>45.112836744</v>
      </c>
      <c r="X844" t="n">
        <v/>
      </c>
      <c r="Y844" t="n">
        <v/>
      </c>
      <c r="Z844" t="n">
        <v>13.000320613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19.067680894</v>
      </c>
      <c r="AF844" t="n">
        <v>73.11743359499999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65.607097727</v>
      </c>
      <c r="AM844" t="n">
        <v>40.559203467</v>
      </c>
      <c r="AN844" t="n">
        <v>101.31225828</v>
      </c>
      <c r="AO844" t="n">
        <v/>
      </c>
      <c r="AP844" t="n">
        <v>44.565900062</v>
      </c>
      <c r="AQ844" t="n">
        <v/>
      </c>
      <c r="AR844" t="n">
        <v>69.925590332</v>
      </c>
      <c r="AS844" t="n">
        <v>28.197650196</v>
      </c>
      <c r="AT844" t="n">
        <v>61.671603381</v>
      </c>
      <c r="AU844" t="n">
        <v/>
      </c>
    </row>
    <row r="845">
      <c r="A845" s="107" t="n">
        <v>32599</v>
      </c>
      <c r="B845" t="n">
        <v>47.378622957</v>
      </c>
      <c r="C845" t="n">
        <v>61.644695803</v>
      </c>
      <c r="D845" t="n">
        <v>74.59567502100001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69.555671014</v>
      </c>
      <c r="L845" t="n">
        <v>81.97002006699999</v>
      </c>
      <c r="M845" t="n">
        <v>77.46641916900001</v>
      </c>
      <c r="N845" t="n">
        <v>99.358902476</v>
      </c>
      <c r="O845" t="n">
        <v/>
      </c>
      <c r="P845" t="n">
        <v/>
      </c>
      <c r="Q845" t="n">
        <v>64.28143682</v>
      </c>
      <c r="R845" t="n">
        <v>90.94999749999999</v>
      </c>
      <c r="S845" t="n">
        <v>75.290028839</v>
      </c>
      <c r="T845" t="n">
        <v>82.272808747</v>
      </c>
      <c r="U845" t="n">
        <v/>
      </c>
      <c r="V845" t="n">
        <v>130.665637443</v>
      </c>
      <c r="W845" t="n">
        <v>44.486269567</v>
      </c>
      <c r="X845" t="n">
        <v/>
      </c>
      <c r="Y845" t="n">
        <v/>
      </c>
      <c r="Z845" t="n">
        <v>12.955336805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18.071924225</v>
      </c>
      <c r="AF845" t="n">
        <v>76.000027553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65.75398533000001</v>
      </c>
      <c r="AM845" t="n">
        <v>42.458374362</v>
      </c>
      <c r="AN845" t="n">
        <v>100.525064801</v>
      </c>
      <c r="AO845" t="n">
        <v/>
      </c>
      <c r="AP845" t="n">
        <v>46.895648389</v>
      </c>
      <c r="AQ845" t="n">
        <v/>
      </c>
      <c r="AR845" t="n">
        <v>69.925590332</v>
      </c>
      <c r="AS845" t="n">
        <v>26.697775185</v>
      </c>
      <c r="AT845" t="n">
        <v>61.652069164</v>
      </c>
      <c r="AU845" t="n">
        <v/>
      </c>
    </row>
    <row r="846">
      <c r="A846" s="107" t="n">
        <v>32629</v>
      </c>
      <c r="B846" t="n">
        <v>45.802594682</v>
      </c>
      <c r="C846" t="n">
        <v>61.345196445</v>
      </c>
      <c r="D846" t="n">
        <v>76.520964948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66.22292369</v>
      </c>
      <c r="L846" t="n">
        <v>82.078877996</v>
      </c>
      <c r="M846" t="n">
        <v>75.16109779200001</v>
      </c>
      <c r="N846" t="n">
        <v>99.663002187</v>
      </c>
      <c r="O846" t="n">
        <v/>
      </c>
      <c r="P846" t="n">
        <v/>
      </c>
      <c r="Q846" t="n">
        <v>65.52102375600001</v>
      </c>
      <c r="R846" t="n">
        <v>89.940461705</v>
      </c>
      <c r="S846" t="n">
        <v>74.38580922600001</v>
      </c>
      <c r="T846" t="n">
        <v>80.22943179799999</v>
      </c>
      <c r="U846" t="n">
        <v/>
      </c>
      <c r="V846" t="n">
        <v>128.195842667</v>
      </c>
      <c r="W846" t="n">
        <v>45.739403921</v>
      </c>
      <c r="X846" t="n">
        <v/>
      </c>
      <c r="Y846" t="n">
        <v/>
      </c>
      <c r="Z846" t="n">
        <v>13.495142505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19.300730327</v>
      </c>
      <c r="AF846" t="n">
        <v>74.44964990299999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65.23438727200001</v>
      </c>
      <c r="AM846" t="n">
        <v>39.95717441</v>
      </c>
      <c r="AN846" t="n">
        <v>102.225693225</v>
      </c>
      <c r="AO846" t="n">
        <v/>
      </c>
      <c r="AP846" t="n">
        <v>46.989740837</v>
      </c>
      <c r="AQ846" t="n">
        <v/>
      </c>
      <c r="AR846" t="n">
        <v>67.972040561</v>
      </c>
      <c r="AS846" t="n">
        <v>27.997666861</v>
      </c>
      <c r="AT846" t="n">
        <v>61.311757334</v>
      </c>
      <c r="AU846" t="n">
        <v/>
      </c>
    </row>
    <row r="847">
      <c r="A847" s="107" t="n">
        <v>32660</v>
      </c>
      <c r="B847" t="n">
        <v>45.554876983</v>
      </c>
      <c r="C847" t="n">
        <v>60.868358342</v>
      </c>
      <c r="D847" t="n">
        <v>79.25212012199999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68.87677804099999</v>
      </c>
      <c r="L847" t="n">
        <v>82.623167638</v>
      </c>
      <c r="M847" t="n">
        <v>77.561680383</v>
      </c>
      <c r="N847" t="n">
        <v>100.518539755</v>
      </c>
      <c r="O847" t="n">
        <v/>
      </c>
      <c r="P847" t="n">
        <v/>
      </c>
      <c r="Q847" t="n">
        <v>66.406442996</v>
      </c>
      <c r="R847" t="n">
        <v>91.133549462</v>
      </c>
      <c r="S847" t="n">
        <v>75.147785153</v>
      </c>
      <c r="T847" t="n">
        <v>80.22943179799999</v>
      </c>
      <c r="U847" t="n">
        <v/>
      </c>
      <c r="V847" t="n">
        <v>126.799315339</v>
      </c>
      <c r="W847" t="n">
        <v>45.157591543</v>
      </c>
      <c r="X847" t="n">
        <v/>
      </c>
      <c r="Y847" t="n">
        <v/>
      </c>
      <c r="Z847" t="n">
        <v>13.36019108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19.576152384</v>
      </c>
      <c r="AF847" t="n">
        <v>72.19218798999999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65.921384546</v>
      </c>
      <c r="AM847" t="n">
        <v>41.092294295</v>
      </c>
      <c r="AN847" t="n">
        <v>102.937909297</v>
      </c>
      <c r="AO847" t="n">
        <v/>
      </c>
      <c r="AP847" t="n">
        <v>52.452974651</v>
      </c>
      <c r="AQ847" t="n">
        <v/>
      </c>
      <c r="AR847" t="n">
        <v>68.948815447</v>
      </c>
      <c r="AS847" t="n">
        <v>28.997583535</v>
      </c>
      <c r="AT847" t="n">
        <v>61.30432045</v>
      </c>
      <c r="AU847" t="n">
        <v/>
      </c>
    </row>
    <row r="848">
      <c r="A848" s="107" t="n">
        <v>32690</v>
      </c>
      <c r="B848" t="n">
        <v>47.112346396</v>
      </c>
      <c r="C848" t="n">
        <v>63.920832617</v>
      </c>
      <c r="D848" t="n">
        <v>78.38872053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69.247083299</v>
      </c>
      <c r="L848" t="n">
        <v>79.030856001</v>
      </c>
      <c r="M848" t="n">
        <v>76.885325764</v>
      </c>
      <c r="N848" t="n">
        <v>101.498757884</v>
      </c>
      <c r="O848" t="n">
        <v/>
      </c>
      <c r="P848" t="n">
        <v/>
      </c>
      <c r="Q848" t="n">
        <v>77.326613622</v>
      </c>
      <c r="R848" t="n">
        <v>90.124013668</v>
      </c>
      <c r="S848" t="n">
        <v>74.433556349</v>
      </c>
      <c r="T848" t="n">
        <v>80.336977953</v>
      </c>
      <c r="U848" t="n">
        <v/>
      </c>
      <c r="V848" t="n">
        <v>128.422360999</v>
      </c>
      <c r="W848" t="n">
        <v>43.993966785</v>
      </c>
      <c r="X848" t="n">
        <v/>
      </c>
      <c r="Y848" t="n">
        <v/>
      </c>
      <c r="Z848" t="n">
        <v>14.822164851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19.703270257</v>
      </c>
      <c r="AF848" t="n">
        <v>71.907754977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65.569522811</v>
      </c>
      <c r="AM848" t="n">
        <v>37.90682</v>
      </c>
      <c r="AN848" t="n">
        <v>101.002330263</v>
      </c>
      <c r="AO848" t="n">
        <v/>
      </c>
      <c r="AP848" t="n">
        <v>42.207954074</v>
      </c>
      <c r="AQ848" t="n">
        <v/>
      </c>
      <c r="AR848" t="n">
        <v>67.225095061</v>
      </c>
      <c r="AS848" t="n">
        <v>29.697525206</v>
      </c>
      <c r="AT848" t="n">
        <v>60.713236877</v>
      </c>
      <c r="AU848" t="n">
        <v/>
      </c>
    </row>
    <row r="849">
      <c r="A849" s="107" t="n">
        <v>32721</v>
      </c>
      <c r="B849" t="n">
        <v>46.24272571</v>
      </c>
      <c r="C849" t="n">
        <v>62.507710852</v>
      </c>
      <c r="D849" t="n">
        <v>78.287305308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69.06193067</v>
      </c>
      <c r="L849" t="n">
        <v>77.83341878900001</v>
      </c>
      <c r="M849" t="n">
        <v>79.18112102000001</v>
      </c>
      <c r="N849" t="n">
        <v>99.500376328</v>
      </c>
      <c r="O849" t="n">
        <v/>
      </c>
      <c r="P849" t="n">
        <v/>
      </c>
      <c r="Q849" t="n">
        <v>68.885616868</v>
      </c>
      <c r="R849" t="n">
        <v>90.124013668</v>
      </c>
      <c r="S849" t="n">
        <v>75.065772349</v>
      </c>
      <c r="T849" t="n">
        <v>81.950170281</v>
      </c>
      <c r="U849" t="n">
        <v/>
      </c>
      <c r="V849" t="n">
        <v>128.190205201</v>
      </c>
      <c r="W849" t="n">
        <v>44.217740777</v>
      </c>
      <c r="X849" t="n">
        <v/>
      </c>
      <c r="Y849" t="n">
        <v/>
      </c>
      <c r="Z849" t="n">
        <v>12.707925859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20.423604868</v>
      </c>
      <c r="AF849" t="n">
        <v>77.87281201499999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65.955872107</v>
      </c>
      <c r="AM849" t="n">
        <v>36.783915878</v>
      </c>
      <c r="AN849" t="n">
        <v>103.705760568</v>
      </c>
      <c r="AO849" t="n">
        <v/>
      </c>
      <c r="AP849" t="n">
        <v>34.441654124</v>
      </c>
      <c r="AQ849" t="n">
        <v/>
      </c>
      <c r="AR849" t="n">
        <v>68.201869946</v>
      </c>
      <c r="AS849" t="n">
        <v>29.097575202</v>
      </c>
      <c r="AT849" t="n">
        <v>61.313046394</v>
      </c>
      <c r="AU849" t="n">
        <v/>
      </c>
    </row>
    <row r="850">
      <c r="A850" s="107" t="n">
        <v>32752</v>
      </c>
      <c r="B850" t="n">
        <v>46.84835954</v>
      </c>
      <c r="C850" t="n">
        <v>61.69984936</v>
      </c>
      <c r="D850" t="n">
        <v>77.08762082600001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69.432235928</v>
      </c>
      <c r="L850" t="n">
        <v>80.663724927</v>
      </c>
      <c r="M850" t="n">
        <v>77.580732626</v>
      </c>
      <c r="N850" t="n">
        <v>101.377139854</v>
      </c>
      <c r="O850" t="n">
        <v/>
      </c>
      <c r="P850" t="n">
        <v/>
      </c>
      <c r="Q850" t="n">
        <v>66.701582743</v>
      </c>
      <c r="R850" t="n">
        <v>90.032237686</v>
      </c>
      <c r="S850" t="n">
        <v>75.08443696800001</v>
      </c>
      <c r="T850" t="n">
        <v>81.627531816</v>
      </c>
      <c r="U850" t="n">
        <v/>
      </c>
      <c r="V850" t="n">
        <v>127.17597475</v>
      </c>
      <c r="W850" t="n">
        <v>43.5911736</v>
      </c>
      <c r="X850" t="n">
        <v/>
      </c>
      <c r="Y850" t="n">
        <v/>
      </c>
      <c r="Z850" t="n">
        <v>13.09028823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19.93631969</v>
      </c>
      <c r="AF850" t="n">
        <v>72.13261446200001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65.955040199</v>
      </c>
      <c r="AM850" t="n">
        <v>38.482823554</v>
      </c>
      <c r="AN850" t="n">
        <v>105.203894782</v>
      </c>
      <c r="AO850" t="n">
        <v/>
      </c>
      <c r="AP850" t="n">
        <v>43.503336584</v>
      </c>
      <c r="AQ850" t="n">
        <v/>
      </c>
      <c r="AR850" t="n">
        <v>68.833900754</v>
      </c>
      <c r="AS850" t="n">
        <v>29.497541872</v>
      </c>
      <c r="AT850" t="n">
        <v>61.103524571</v>
      </c>
      <c r="AU850" t="n">
        <v/>
      </c>
    </row>
    <row r="851">
      <c r="A851" s="107" t="n">
        <v>32782</v>
      </c>
      <c r="B851" t="n">
        <v>46.859335462</v>
      </c>
      <c r="C851" t="n">
        <v>61.416243721</v>
      </c>
      <c r="D851" t="n">
        <v>77.921592752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69.617388557</v>
      </c>
      <c r="L851" t="n">
        <v>83.276315208</v>
      </c>
      <c r="M851" t="n">
        <v>78.15229991</v>
      </c>
      <c r="N851" t="n">
        <v>100.213116791</v>
      </c>
      <c r="O851" t="n">
        <v/>
      </c>
      <c r="P851" t="n">
        <v/>
      </c>
      <c r="Q851" t="n">
        <v>66.288387098</v>
      </c>
      <c r="R851" t="n">
        <v>90.85822151799999</v>
      </c>
      <c r="S851" t="n">
        <v>74.972357902</v>
      </c>
      <c r="T851" t="n">
        <v>81.08980104</v>
      </c>
      <c r="U851" t="n">
        <v/>
      </c>
      <c r="V851" t="n">
        <v>129.049610619</v>
      </c>
      <c r="W851" t="n">
        <v>43.188380415</v>
      </c>
      <c r="X851" t="n">
        <v/>
      </c>
      <c r="Y851" t="n">
        <v/>
      </c>
      <c r="Z851" t="n">
        <v>13.405174888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19.766829193</v>
      </c>
      <c r="AF851" t="n">
        <v>71.981420722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65.805054993</v>
      </c>
      <c r="AM851" t="n">
        <v>37.149182694</v>
      </c>
      <c r="AN851" t="n">
        <v>105.601802377</v>
      </c>
      <c r="AO851" t="n">
        <v/>
      </c>
      <c r="AP851" t="n">
        <v>43.366355469</v>
      </c>
      <c r="AQ851" t="n">
        <v/>
      </c>
      <c r="AR851" t="n">
        <v>69.925590332</v>
      </c>
      <c r="AS851" t="n">
        <v>28.397633531</v>
      </c>
      <c r="AT851" t="n">
        <v>61.035700185</v>
      </c>
      <c r="AU851" t="n">
        <v/>
      </c>
    </row>
    <row r="852">
      <c r="A852" s="107" t="n">
        <v>32813</v>
      </c>
      <c r="B852" t="n">
        <v>47.704451382</v>
      </c>
      <c r="C852" t="n">
        <v>62.649135719</v>
      </c>
      <c r="D852" t="n">
        <v>77.15233657500001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69.925976272</v>
      </c>
      <c r="L852" t="n">
        <v>82.94974142300001</v>
      </c>
      <c r="M852" t="n">
        <v>78.08561706</v>
      </c>
      <c r="N852" t="n">
        <v>100.511418245</v>
      </c>
      <c r="O852" t="n">
        <v/>
      </c>
      <c r="P852" t="n">
        <v/>
      </c>
      <c r="Q852" t="n">
        <v>66.347415047</v>
      </c>
      <c r="R852" t="n">
        <v>91.867757313</v>
      </c>
      <c r="S852" t="n">
        <v>75.367147145</v>
      </c>
      <c r="T852" t="n">
        <v>81.842624126</v>
      </c>
      <c r="U852" t="n">
        <v/>
      </c>
      <c r="V852" t="n">
        <v>128.353840749</v>
      </c>
      <c r="W852" t="n">
        <v>42.651322835</v>
      </c>
      <c r="X852" t="n">
        <v/>
      </c>
      <c r="Y852" t="n">
        <v/>
      </c>
      <c r="Z852" t="n">
        <v>13.877504876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20.063437563</v>
      </c>
      <c r="AF852" t="n">
        <v>73.385955895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66.185845528</v>
      </c>
      <c r="AM852" t="n">
        <v>35.415685453</v>
      </c>
      <c r="AN852" t="n">
        <v>105.282000027</v>
      </c>
      <c r="AO852" t="n">
        <v/>
      </c>
      <c r="AP852" t="n">
        <v>58.600417539</v>
      </c>
      <c r="AQ852" t="n">
        <v/>
      </c>
      <c r="AR852" t="n">
        <v>69.925590332</v>
      </c>
      <c r="AS852" t="n">
        <v>29.097575202</v>
      </c>
      <c r="AT852" t="n">
        <v>61.237785124</v>
      </c>
      <c r="AU852" t="n">
        <v/>
      </c>
    </row>
    <row r="853">
      <c r="A853" s="107" t="n">
        <v>32843</v>
      </c>
      <c r="B853" t="n">
        <v>48.828654342</v>
      </c>
      <c r="C853" t="n">
        <v>62.935919834</v>
      </c>
      <c r="D853" t="n">
        <v>78.596631797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71.09860959</v>
      </c>
      <c r="L853" t="n">
        <v>86.324337202</v>
      </c>
      <c r="M853" t="n">
        <v>78.800076164</v>
      </c>
      <c r="N853" t="n">
        <v>100.61011993</v>
      </c>
      <c r="O853" t="n">
        <v/>
      </c>
      <c r="P853" t="n">
        <v/>
      </c>
      <c r="Q853" t="n">
        <v>65.757135554</v>
      </c>
      <c r="R853" t="n">
        <v>92.143085257</v>
      </c>
      <c r="S853" t="n">
        <v>75.89432911</v>
      </c>
      <c r="T853" t="n">
        <v>81.735077971</v>
      </c>
      <c r="U853" t="n">
        <v/>
      </c>
      <c r="V853" t="n">
        <v>128.342609339</v>
      </c>
      <c r="W853" t="n">
        <v>39.294712958</v>
      </c>
      <c r="X853" t="n">
        <v/>
      </c>
      <c r="Y853" t="n">
        <v/>
      </c>
      <c r="Z853" t="n">
        <v>14.16989963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19.957506002</v>
      </c>
      <c r="AF853" t="n">
        <v>73.40935546199999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66.635781623</v>
      </c>
      <c r="AM853" t="n">
        <v>38.124988292</v>
      </c>
      <c r="AN853" t="n">
        <v>105.254604569</v>
      </c>
      <c r="AO853" t="n">
        <v/>
      </c>
      <c r="AP853" t="n">
        <v>62.517886348</v>
      </c>
      <c r="AQ853" t="n">
        <v/>
      </c>
      <c r="AR853" t="n">
        <v>70.672535833</v>
      </c>
      <c r="AS853" t="n">
        <v>29.497541872</v>
      </c>
      <c r="AT853" t="n">
        <v>61.588409434</v>
      </c>
      <c r="AU853" t="n">
        <v/>
      </c>
    </row>
    <row r="854">
      <c r="A854" s="107" t="n">
        <v>32874</v>
      </c>
      <c r="B854" t="n">
        <v>48.280599972</v>
      </c>
      <c r="C854" t="n">
        <v>64.09998477800001</v>
      </c>
      <c r="D854" t="n">
        <v>76.80928464900001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70.97517450399999</v>
      </c>
      <c r="L854" t="n">
        <v>83.058599351</v>
      </c>
      <c r="M854" t="n">
        <v>78.885811257</v>
      </c>
      <c r="N854" t="n">
        <v>100.964144394</v>
      </c>
      <c r="O854" t="n">
        <v/>
      </c>
      <c r="P854" t="n">
        <v/>
      </c>
      <c r="Q854" t="n">
        <v>68.899118276</v>
      </c>
      <c r="R854" t="n">
        <v>91.18000000000001</v>
      </c>
      <c r="S854" t="n">
        <v>75.271611108</v>
      </c>
      <c r="T854" t="n">
        <v>80.87470872900001</v>
      </c>
      <c r="U854" t="n">
        <v/>
      </c>
      <c r="V854" t="n">
        <v>126.87174362</v>
      </c>
      <c r="W854" t="n">
        <v>42.203774851</v>
      </c>
      <c r="X854" t="n">
        <v/>
      </c>
      <c r="Y854" t="n">
        <v/>
      </c>
      <c r="Z854" t="n">
        <v>13.431783685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19.769</v>
      </c>
      <c r="AF854" t="n">
        <v>71.47940133900001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66.281633235</v>
      </c>
      <c r="AM854" t="n">
        <v>31.298747555</v>
      </c>
      <c r="AN854" t="n">
        <v>106.924487196</v>
      </c>
      <c r="AO854" t="n">
        <v/>
      </c>
      <c r="AP854" t="n">
        <v>43.160439311</v>
      </c>
      <c r="AQ854" t="n">
        <v/>
      </c>
      <c r="AR854" t="n">
        <v>69.72326969700001</v>
      </c>
      <c r="AS854" t="n">
        <v>29.897508541</v>
      </c>
      <c r="AT854" t="n">
        <v>61.258211766</v>
      </c>
      <c r="AU854" t="n">
        <v/>
      </c>
    </row>
    <row r="855">
      <c r="A855" s="107" t="n">
        <v>32905</v>
      </c>
      <c r="B855" t="n">
        <v>49.630366297</v>
      </c>
      <c r="C855" t="n">
        <v>63.391017714</v>
      </c>
      <c r="D855" t="n">
        <v>76.09711950800001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70.66658678899999</v>
      </c>
      <c r="L855" t="n">
        <v>82.405451781</v>
      </c>
      <c r="M855" t="n">
        <v>79.809845032</v>
      </c>
      <c r="N855" t="n">
        <v>98.438628737</v>
      </c>
      <c r="O855" t="n">
        <v/>
      </c>
      <c r="P855" t="n">
        <v/>
      </c>
      <c r="Q855" t="n">
        <v>68.820823823</v>
      </c>
      <c r="R855" t="n">
        <v>92.64</v>
      </c>
      <c r="S855" t="n">
        <v>75.670185338</v>
      </c>
      <c r="T855" t="n">
        <v>80.336977953</v>
      </c>
      <c r="U855" t="n">
        <v/>
      </c>
      <c r="V855" t="n">
        <v>131.766258203</v>
      </c>
      <c r="W855" t="n">
        <v>40.726866505</v>
      </c>
      <c r="X855" t="n">
        <v/>
      </c>
      <c r="Y855" t="n">
        <v/>
      </c>
      <c r="Z855" t="n">
        <v>13.66951437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20.231</v>
      </c>
      <c r="AF855" t="n">
        <v>74.523290397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66.441029641</v>
      </c>
      <c r="AM855" t="n">
        <v>28.797455271</v>
      </c>
      <c r="AN855" t="n">
        <v>105.685188588</v>
      </c>
      <c r="AO855" t="n">
        <v/>
      </c>
      <c r="AP855" t="n">
        <v>45.447227069</v>
      </c>
      <c r="AQ855" t="n">
        <v/>
      </c>
      <c r="AR855" t="n">
        <v>69.72326969700001</v>
      </c>
      <c r="AS855" t="n">
        <v>30.997416882</v>
      </c>
      <c r="AT855" t="n">
        <v>61.817961266</v>
      </c>
      <c r="AU855" t="n">
        <v/>
      </c>
    </row>
    <row r="856">
      <c r="A856" s="107" t="n">
        <v>32933</v>
      </c>
      <c r="B856" t="n">
        <v>49.828272809</v>
      </c>
      <c r="C856" t="n">
        <v>65.017121323</v>
      </c>
      <c r="D856" t="n">
        <v>70.200938583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71.345479762</v>
      </c>
      <c r="L856" t="n">
        <v>83.60288899299999</v>
      </c>
      <c r="M856" t="n">
        <v>79.581218119</v>
      </c>
      <c r="N856" t="n">
        <v>99.464705622</v>
      </c>
      <c r="O856" t="n">
        <v/>
      </c>
      <c r="P856" t="n">
        <v/>
      </c>
      <c r="Q856" t="n">
        <v>68.41816663900001</v>
      </c>
      <c r="R856" t="n">
        <v>92.23</v>
      </c>
      <c r="S856" t="n">
        <v>76.30600919699999</v>
      </c>
      <c r="T856" t="n">
        <v>81.51998566100001</v>
      </c>
      <c r="U856" t="n">
        <v/>
      </c>
      <c r="V856" t="n">
        <v>126.378761699</v>
      </c>
      <c r="W856" t="n">
        <v>40.413582917</v>
      </c>
      <c r="X856" t="n">
        <v/>
      </c>
      <c r="Y856" t="n">
        <v/>
      </c>
      <c r="Z856" t="n">
        <v>14.144975739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20.767</v>
      </c>
      <c r="AF856" t="n">
        <v>70.441583905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67.25680059600001</v>
      </c>
      <c r="AM856" t="n">
        <v>28.811178995</v>
      </c>
      <c r="AN856" t="n">
        <v>108.609181664</v>
      </c>
      <c r="AO856" t="n">
        <v/>
      </c>
      <c r="AP856" t="n">
        <v>44.776962119</v>
      </c>
      <c r="AQ856" t="n">
        <v/>
      </c>
      <c r="AR856" t="n">
        <v>70.33043895500001</v>
      </c>
      <c r="AS856" t="n">
        <v>31.997333556</v>
      </c>
      <c r="AT856" t="n">
        <v>62.117419811</v>
      </c>
      <c r="AU856" t="n">
        <v/>
      </c>
    </row>
    <row r="857">
      <c r="A857" s="107" t="n">
        <v>32964</v>
      </c>
      <c r="B857" t="n">
        <v>49.339299936</v>
      </c>
      <c r="C857" t="n">
        <v>62.145929496</v>
      </c>
      <c r="D857" t="n">
        <v>53.528360548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70.111128902</v>
      </c>
      <c r="L857" t="n">
        <v>82.296593852</v>
      </c>
      <c r="M857" t="n">
        <v>79.905106246</v>
      </c>
      <c r="N857" t="n">
        <v>100.817339434</v>
      </c>
      <c r="O857" t="n">
        <v/>
      </c>
      <c r="P857" t="n">
        <v/>
      </c>
      <c r="Q857" t="n">
        <v>67.758256253</v>
      </c>
      <c r="R857" t="n">
        <v>92.67</v>
      </c>
      <c r="S857" t="n">
        <v>76.170648051</v>
      </c>
      <c r="T857" t="n">
        <v>81.950170281</v>
      </c>
      <c r="U857" t="n">
        <v/>
      </c>
      <c r="V857" t="n">
        <v>124.751043541</v>
      </c>
      <c r="W857" t="n">
        <v>40.413582917</v>
      </c>
      <c r="X857" t="n">
        <v/>
      </c>
      <c r="Y857" t="n">
        <v/>
      </c>
      <c r="Z857" t="n">
        <v>13.372351014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20.702</v>
      </c>
      <c r="AF857" t="n">
        <v>73.709203784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67.09587865100001</v>
      </c>
      <c r="AM857" t="n">
        <v>28.52760917</v>
      </c>
      <c r="AN857" t="n">
        <v>111.531212921</v>
      </c>
      <c r="AO857" t="n">
        <v/>
      </c>
      <c r="AP857" t="n">
        <v>48.464794391</v>
      </c>
      <c r="AQ857" t="n">
        <v/>
      </c>
      <c r="AR857" t="n">
        <v>70.128049202</v>
      </c>
      <c r="AS857" t="n">
        <v>32.19731689</v>
      </c>
      <c r="AT857" t="n">
        <v>61.984349159</v>
      </c>
      <c r="AU857" t="n">
        <v/>
      </c>
    </row>
    <row r="858">
      <c r="A858" s="107" t="n">
        <v>32994</v>
      </c>
      <c r="B858" t="n">
        <v>48.811863299</v>
      </c>
      <c r="C858" t="n">
        <v>63.571595044</v>
      </c>
      <c r="D858" t="n">
        <v>66.99470744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71.90093765</v>
      </c>
      <c r="L858" t="n">
        <v>80.88144078400001</v>
      </c>
      <c r="M858" t="n">
        <v>79.886054003</v>
      </c>
      <c r="N858" t="n">
        <v>99.753871614</v>
      </c>
      <c r="O858" t="n">
        <v/>
      </c>
      <c r="P858" t="n">
        <v/>
      </c>
      <c r="Q858" t="n">
        <v>68.518830935</v>
      </c>
      <c r="R858" t="n">
        <v>92.91</v>
      </c>
      <c r="S858" t="n">
        <v>76.552581461</v>
      </c>
      <c r="T858" t="n">
        <v>81.51998566100001</v>
      </c>
      <c r="U858" t="n">
        <v/>
      </c>
      <c r="V858" t="n">
        <v>128.43977155</v>
      </c>
      <c r="W858" t="n">
        <v>40.234563723</v>
      </c>
      <c r="X858" t="n">
        <v/>
      </c>
      <c r="Y858" t="n">
        <v/>
      </c>
      <c r="Z858" t="n">
        <v>13.788379712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20.37</v>
      </c>
      <c r="AF858" t="n">
        <v>72.80752639000001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67.27964421900001</v>
      </c>
      <c r="AM858" t="n">
        <v>28.864995734</v>
      </c>
      <c r="AN858" t="n">
        <v>110.759239112</v>
      </c>
      <c r="AO858" t="n">
        <v/>
      </c>
      <c r="AP858" t="n">
        <v>48.152310201</v>
      </c>
      <c r="AQ858" t="n">
        <v/>
      </c>
      <c r="AR858" t="n">
        <v>70.33043895500001</v>
      </c>
      <c r="AS858" t="n">
        <v>30.397466878</v>
      </c>
      <c r="AT858" t="n">
        <v>62.162239434</v>
      </c>
      <c r="AU858" t="n">
        <v/>
      </c>
    </row>
    <row r="859">
      <c r="A859" s="107" t="n">
        <v>33025</v>
      </c>
      <c r="B859" t="n">
        <v>50.676350255</v>
      </c>
      <c r="C859" t="n">
        <v>63.99870057</v>
      </c>
      <c r="D859" t="n">
        <v>66.775551925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71.90093765</v>
      </c>
      <c r="L859" t="n">
        <v>80.010577357</v>
      </c>
      <c r="M859" t="n">
        <v>79.371643448</v>
      </c>
      <c r="N859" t="n">
        <v>102.360661104</v>
      </c>
      <c r="O859" t="n">
        <v/>
      </c>
      <c r="P859" t="n">
        <v/>
      </c>
      <c r="Q859" t="n">
        <v>67.254934772</v>
      </c>
      <c r="R859" t="n">
        <v>91.56</v>
      </c>
      <c r="S859" t="n">
        <v>76.664098514</v>
      </c>
      <c r="T859" t="n">
        <v>82.810539523</v>
      </c>
      <c r="U859" t="n">
        <v/>
      </c>
      <c r="V859" t="n">
        <v>126.678436665</v>
      </c>
      <c r="W859" t="n">
        <v>39.742260941</v>
      </c>
      <c r="X859" t="n">
        <v/>
      </c>
      <c r="Y859" t="n">
        <v/>
      </c>
      <c r="Z859" t="n">
        <v>14.20440841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20.767</v>
      </c>
      <c r="AF859" t="n">
        <v>78.40600926400001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67.501676373</v>
      </c>
      <c r="AM859" t="n">
        <v>28.520922862</v>
      </c>
      <c r="AN859" t="n">
        <v>110.763502251</v>
      </c>
      <c r="AO859" t="n">
        <v/>
      </c>
      <c r="AP859" t="n">
        <v>45.511971856</v>
      </c>
      <c r="AQ859" t="n">
        <v/>
      </c>
      <c r="AR859" t="n">
        <v>70.431633831</v>
      </c>
      <c r="AS859" t="n">
        <v>31.197400217</v>
      </c>
      <c r="AT859" t="n">
        <v>62.363035313</v>
      </c>
      <c r="AU859" t="n">
        <v/>
      </c>
    </row>
    <row r="860">
      <c r="A860" s="107" t="n">
        <v>33055</v>
      </c>
      <c r="B860" t="n">
        <v>49.412607294</v>
      </c>
      <c r="C860" t="n">
        <v>61.36291522</v>
      </c>
      <c r="D860" t="n">
        <v>70.523102103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72.57983062300001</v>
      </c>
      <c r="L860" t="n">
        <v>82.18773592399999</v>
      </c>
      <c r="M860" t="n">
        <v>79.676479333</v>
      </c>
      <c r="N860" t="n">
        <v>99.310130558</v>
      </c>
      <c r="O860" t="n">
        <v/>
      </c>
      <c r="P860" t="n">
        <v/>
      </c>
      <c r="Q860" t="n">
        <v>66.214737044</v>
      </c>
      <c r="R860" t="n">
        <v>91.59</v>
      </c>
      <c r="S860" t="n">
        <v>76.753133819</v>
      </c>
      <c r="T860" t="n">
        <v>80.767162574</v>
      </c>
      <c r="U860" t="n">
        <v/>
      </c>
      <c r="V860" t="n">
        <v>128.271482387</v>
      </c>
      <c r="W860" t="n">
        <v>37.86255941</v>
      </c>
      <c r="X860" t="n">
        <v/>
      </c>
      <c r="Y860" t="n">
        <v/>
      </c>
      <c r="Z860" t="n">
        <v>14.263841081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21.433</v>
      </c>
      <c r="AF860" t="n">
        <v>75.10541858400001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67.53720426700001</v>
      </c>
      <c r="AM860" t="n">
        <v>29.627329849</v>
      </c>
      <c r="AN860" t="n">
        <v>113.551020754</v>
      </c>
      <c r="AO860" t="n">
        <v/>
      </c>
      <c r="AP860" t="n">
        <v>52.180024218</v>
      </c>
      <c r="AQ860" t="n">
        <v/>
      </c>
      <c r="AR860" t="n">
        <v>68.610126059</v>
      </c>
      <c r="AS860" t="n">
        <v>30.597450212</v>
      </c>
      <c r="AT860" t="n">
        <v>62.264868439</v>
      </c>
      <c r="AU860" t="n">
        <v/>
      </c>
    </row>
    <row r="861">
      <c r="A861" s="107" t="n">
        <v>33086</v>
      </c>
      <c r="B861" t="n">
        <v>49.383596084</v>
      </c>
      <c r="C861" t="n">
        <v>64.21094100000001</v>
      </c>
      <c r="D861" t="n">
        <v>72.187634617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73.011853425</v>
      </c>
      <c r="L861" t="n">
        <v>84.038320707</v>
      </c>
      <c r="M861" t="n">
        <v>80.20994213100001</v>
      </c>
      <c r="N861" t="n">
        <v>98.01803860299999</v>
      </c>
      <c r="O861" t="n">
        <v/>
      </c>
      <c r="P861" t="n">
        <v/>
      </c>
      <c r="Q861" t="n">
        <v>67.489818129</v>
      </c>
      <c r="R861" t="n">
        <v>91.02</v>
      </c>
      <c r="S861" t="n">
        <v>77.074285033</v>
      </c>
      <c r="T861" t="n">
        <v>80.87470872900001</v>
      </c>
      <c r="U861" t="n">
        <v/>
      </c>
      <c r="V861" t="n">
        <v>121.944554116</v>
      </c>
      <c r="W861" t="n">
        <v>39.78701574</v>
      </c>
      <c r="X861" t="n">
        <v/>
      </c>
      <c r="Y861" t="n">
        <v/>
      </c>
      <c r="Z861" t="n">
        <v>14.20440841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21.969</v>
      </c>
      <c r="AF861" t="n">
        <v>75.346939288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67.845690319</v>
      </c>
      <c r="AM861" t="n">
        <v>29.80333181</v>
      </c>
      <c r="AN861" t="n">
        <v>116.206026264</v>
      </c>
      <c r="AO861" t="n">
        <v/>
      </c>
      <c r="AP861" t="n">
        <v>48.095849553</v>
      </c>
      <c r="AQ861" t="n">
        <v/>
      </c>
      <c r="AR861" t="n">
        <v>70.22924407799999</v>
      </c>
      <c r="AS861" t="n">
        <v>30.29747521</v>
      </c>
      <c r="AT861" t="n">
        <v>62.493726162</v>
      </c>
      <c r="AU861" t="n">
        <v/>
      </c>
    </row>
    <row r="862">
      <c r="A862" s="107" t="n">
        <v>33117</v>
      </c>
      <c r="B862" t="n">
        <v>50.663163704</v>
      </c>
      <c r="C862" t="n">
        <v>63.445649754</v>
      </c>
      <c r="D862" t="n">
        <v>72.75302066899999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73.690746398</v>
      </c>
      <c r="L862" t="n">
        <v>81.75230421099999</v>
      </c>
      <c r="M862" t="n">
        <v>80.61003922899999</v>
      </c>
      <c r="N862" t="n">
        <v>101.425628075</v>
      </c>
      <c r="O862" t="n">
        <v/>
      </c>
      <c r="P862" t="n">
        <v/>
      </c>
      <c r="Q862" t="n">
        <v>66.82990774300001</v>
      </c>
      <c r="R862" t="n">
        <v>91.84</v>
      </c>
      <c r="S862" t="n">
        <v>76.970000821</v>
      </c>
      <c r="T862" t="n">
        <v>80.444524108</v>
      </c>
      <c r="U862" t="n">
        <v/>
      </c>
      <c r="V862" t="n">
        <v>105.84905909</v>
      </c>
      <c r="W862" t="n">
        <v>38.981429369</v>
      </c>
      <c r="X862" t="n">
        <v/>
      </c>
      <c r="Y862" t="n">
        <v/>
      </c>
      <c r="Z862" t="n">
        <v>14.382706424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21.904</v>
      </c>
      <c r="AF862" t="n">
        <v>72.149396221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67.84334249299999</v>
      </c>
      <c r="AM862" t="n">
        <v>29.67632948</v>
      </c>
      <c r="AN862" t="n">
        <v>113.229512757</v>
      </c>
      <c r="AO862" t="n">
        <v/>
      </c>
      <c r="AP862" t="n">
        <v>43.153314025</v>
      </c>
      <c r="AQ862" t="n">
        <v/>
      </c>
      <c r="AR862" t="n">
        <v>70.33043895500001</v>
      </c>
      <c r="AS862" t="n">
        <v>32.997250229</v>
      </c>
      <c r="AT862" t="n">
        <v>62.502352948</v>
      </c>
      <c r="AU862" t="n">
        <v/>
      </c>
    </row>
    <row r="863">
      <c r="A863" s="107" t="n">
        <v>33147</v>
      </c>
      <c r="B863" t="n">
        <v>49.921732885</v>
      </c>
      <c r="C863" t="n">
        <v>65.063529976</v>
      </c>
      <c r="D863" t="n">
        <v>71.46356294900001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73.814181484</v>
      </c>
      <c r="L863" t="n">
        <v>83.276315208</v>
      </c>
      <c r="M863" t="n">
        <v>80.77198329300001</v>
      </c>
      <c r="N863" t="n">
        <v>97.369652372</v>
      </c>
      <c r="O863" t="n">
        <v/>
      </c>
      <c r="P863" t="n">
        <v/>
      </c>
      <c r="Q863" t="n">
        <v>66.84109266500001</v>
      </c>
      <c r="R863" t="n">
        <v>91.53</v>
      </c>
      <c r="S863" t="n">
        <v>77.097448413</v>
      </c>
      <c r="T863" t="n">
        <v>80.336977953</v>
      </c>
      <c r="U863" t="n">
        <v/>
      </c>
      <c r="V863" t="n">
        <v>128.830563283</v>
      </c>
      <c r="W863" t="n">
        <v>38.489126587</v>
      </c>
      <c r="X863" t="n">
        <v/>
      </c>
      <c r="Y863" t="n">
        <v/>
      </c>
      <c r="Z863" t="n">
        <v>14.085543068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21.904</v>
      </c>
      <c r="AF863" t="n">
        <v>71.398171627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67.946933391</v>
      </c>
      <c r="AM863" t="n">
        <v>29.970693253</v>
      </c>
      <c r="AN863" t="n">
        <v>113.668448852</v>
      </c>
      <c r="AO863" t="n">
        <v/>
      </c>
      <c r="AP863" t="n">
        <v>55.866740039</v>
      </c>
      <c r="AQ863" t="n">
        <v/>
      </c>
      <c r="AR863" t="n">
        <v>70.33043895500001</v>
      </c>
      <c r="AS863" t="n">
        <v>32.797266894</v>
      </c>
      <c r="AT863" t="n">
        <v>62.11940298</v>
      </c>
      <c r="AU863" t="n">
        <v/>
      </c>
    </row>
    <row r="864">
      <c r="A864" s="107" t="n">
        <v>33178</v>
      </c>
      <c r="B864" t="n">
        <v>49.304466185</v>
      </c>
      <c r="C864" t="n">
        <v>64.345943914</v>
      </c>
      <c r="D864" t="n">
        <v>69.85407736000001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73.814181484</v>
      </c>
      <c r="L864" t="n">
        <v>84.147178635</v>
      </c>
      <c r="M864" t="n">
        <v>80.009893581</v>
      </c>
      <c r="N864" t="n">
        <v>100.525980049</v>
      </c>
      <c r="O864" t="n">
        <v/>
      </c>
      <c r="P864" t="n">
        <v/>
      </c>
      <c r="Q864" t="n">
        <v>66.59502438600001</v>
      </c>
      <c r="R864" t="n">
        <v>90.48</v>
      </c>
      <c r="S864" t="n">
        <v>76.404804994</v>
      </c>
      <c r="T864" t="n">
        <v>79.90679333200001</v>
      </c>
      <c r="U864" t="n">
        <v/>
      </c>
      <c r="V864" t="n">
        <v>123.762786633</v>
      </c>
      <c r="W864" t="n">
        <v>41.040150094</v>
      </c>
      <c r="X864" t="n">
        <v/>
      </c>
      <c r="Y864" t="n">
        <v/>
      </c>
      <c r="Z864" t="n">
        <v>14.085543068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21.969</v>
      </c>
      <c r="AF864" t="n">
        <v>71.071294722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67.497222874</v>
      </c>
      <c r="AM864" t="n">
        <v>29.884805925</v>
      </c>
      <c r="AN864" t="n">
        <v>113.963815489</v>
      </c>
      <c r="AO864" t="n">
        <v/>
      </c>
      <c r="AP864" t="n">
        <v>39.204302396</v>
      </c>
      <c r="AQ864" t="n">
        <v/>
      </c>
      <c r="AR864" t="n">
        <v>70.128049202</v>
      </c>
      <c r="AS864" t="n">
        <v>33.197233564</v>
      </c>
      <c r="AT864" t="n">
        <v>61.347454379</v>
      </c>
      <c r="AU864" t="n">
        <v/>
      </c>
    </row>
    <row r="865">
      <c r="A865" s="107" t="n">
        <v>33208</v>
      </c>
      <c r="B865" t="n">
        <v>52.062477262</v>
      </c>
      <c r="C865" t="n">
        <v>63.533185977</v>
      </c>
      <c r="D865" t="n">
        <v>65.57333725399999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74.12276919999999</v>
      </c>
      <c r="L865" t="n">
        <v>82.840883494</v>
      </c>
      <c r="M865" t="n">
        <v>80.84819226400001</v>
      </c>
      <c r="N865" t="n">
        <v>100.03543792</v>
      </c>
      <c r="O865" t="n">
        <v/>
      </c>
      <c r="P865" t="n">
        <v/>
      </c>
      <c r="Q865" t="n">
        <v>65.219279004</v>
      </c>
      <c r="R865" t="n">
        <v>91.59999999999999</v>
      </c>
      <c r="S865" t="n">
        <v>76.353375591</v>
      </c>
      <c r="T865" t="n">
        <v>79.476608711</v>
      </c>
      <c r="U865" t="n">
        <v/>
      </c>
      <c r="V865" t="n">
        <v>128.965482722</v>
      </c>
      <c r="W865" t="n">
        <v>37.907314209</v>
      </c>
      <c r="X865" t="n">
        <v/>
      </c>
      <c r="Y865" t="n">
        <v/>
      </c>
      <c r="Z865" t="n">
        <v>14.561004437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22.366</v>
      </c>
      <c r="AF865" t="n">
        <v>71.12430771299999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67.564943959</v>
      </c>
      <c r="AM865" t="n">
        <v>29.243388638</v>
      </c>
      <c r="AN865" t="n">
        <v>115.325691978</v>
      </c>
      <c r="AO865" t="n">
        <v/>
      </c>
      <c r="AP865" t="n">
        <v>33.943024061</v>
      </c>
      <c r="AQ865" t="n">
        <v/>
      </c>
      <c r="AR865" t="n">
        <v>70.937608212</v>
      </c>
      <c r="AS865" t="n">
        <v>31.797350221</v>
      </c>
      <c r="AT865" t="n">
        <v>60.917503302</v>
      </c>
      <c r="AU865" t="n">
        <v/>
      </c>
    </row>
    <row r="866">
      <c r="A866" s="107" t="n">
        <v>33239</v>
      </c>
      <c r="B866" t="n">
        <v>50.637744483</v>
      </c>
      <c r="C866" t="n">
        <v>63.355646873</v>
      </c>
      <c r="D866" t="n">
        <v>64.289492869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76.39363386399999</v>
      </c>
      <c r="L866" t="n">
        <v>81.208014569</v>
      </c>
      <c r="M866" t="n">
        <v>82.5</v>
      </c>
      <c r="N866" t="n">
        <v>100.138384041</v>
      </c>
      <c r="O866" t="n">
        <v/>
      </c>
      <c r="P866" t="n">
        <v/>
      </c>
      <c r="Q866" t="n">
        <v>65.420607597</v>
      </c>
      <c r="R866" t="n">
        <v>92.8</v>
      </c>
      <c r="S866" t="n">
        <v>76.783241507</v>
      </c>
      <c r="T866" t="n">
        <v>79.26151640099999</v>
      </c>
      <c r="U866" t="n">
        <v/>
      </c>
      <c r="V866" t="n">
        <v>123.089996554</v>
      </c>
      <c r="W866" t="n">
        <v>39.160448563</v>
      </c>
      <c r="X866" t="n">
        <v/>
      </c>
      <c r="Y866" t="n">
        <v/>
      </c>
      <c r="Z866" t="n">
        <v>14.382706424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22.301</v>
      </c>
      <c r="AF866" t="n">
        <v>71.409878198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67.42582160400001</v>
      </c>
      <c r="AM866" t="n">
        <v>28.80040745</v>
      </c>
      <c r="AN866" t="n">
        <v>111.506895049</v>
      </c>
      <c r="AO866" t="n">
        <v/>
      </c>
      <c r="AP866" t="n">
        <v>45.407326898</v>
      </c>
      <c r="AQ866" t="n">
        <v/>
      </c>
      <c r="AR866" t="n">
        <v>70.02685432600001</v>
      </c>
      <c r="AS866" t="n">
        <v>27.597700192</v>
      </c>
      <c r="AT866" t="n">
        <v>60.708873905</v>
      </c>
      <c r="AU866" t="n">
        <v/>
      </c>
    </row>
    <row r="867">
      <c r="A867" s="107" t="n">
        <v>33270</v>
      </c>
      <c r="B867" t="n">
        <v>50.682139353</v>
      </c>
      <c r="C867" t="n">
        <v>62.149267071</v>
      </c>
      <c r="D867" t="n">
        <v>63.253980972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75.49370885800001</v>
      </c>
      <c r="L867" t="n">
        <v>82.18773592399999</v>
      </c>
      <c r="M867" t="n">
        <v>81.5</v>
      </c>
      <c r="N867" t="n">
        <v>98.54772698399999</v>
      </c>
      <c r="O867" t="n">
        <v/>
      </c>
      <c r="P867" t="n">
        <v/>
      </c>
      <c r="Q867" t="n">
        <v>63.340212142</v>
      </c>
      <c r="R867" t="n">
        <v>92.37</v>
      </c>
      <c r="S867" t="n">
        <v>76.324756846</v>
      </c>
      <c r="T867" t="n">
        <v>79.26151640099999</v>
      </c>
      <c r="U867" t="n">
        <v/>
      </c>
      <c r="V867" t="n">
        <v>124.211861972</v>
      </c>
      <c r="W867" t="n">
        <v>36.743689451</v>
      </c>
      <c r="X867" t="n">
        <v/>
      </c>
      <c r="Y867" t="n">
        <v/>
      </c>
      <c r="Z867" t="n">
        <v>14.501571766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22.366</v>
      </c>
      <c r="AF867" t="n">
        <v>72.24687649099999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67.22881114</v>
      </c>
      <c r="AM867" t="n">
        <v>27.159966991</v>
      </c>
      <c r="AN867" t="n">
        <v>113.706737501</v>
      </c>
      <c r="AO867" t="n">
        <v/>
      </c>
      <c r="AP867" t="n">
        <v>41.709145356</v>
      </c>
      <c r="AQ867" t="n">
        <v/>
      </c>
      <c r="AR867" t="n">
        <v>70.128049202</v>
      </c>
      <c r="AS867" t="n">
        <v>32.19731689</v>
      </c>
      <c r="AT867" t="n">
        <v>60.267519606</v>
      </c>
      <c r="AU867" t="n">
        <v/>
      </c>
    </row>
    <row r="868">
      <c r="A868" s="107" t="n">
        <v>33298</v>
      </c>
      <c r="B868" t="n">
        <v>50.462230952</v>
      </c>
      <c r="C868" t="n">
        <v>61.987356184</v>
      </c>
      <c r="D868" t="n">
        <v>62.49928586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74.993750521</v>
      </c>
      <c r="L868" t="n">
        <v>82.405451781</v>
      </c>
      <c r="M868" t="n">
        <v>80.7</v>
      </c>
      <c r="N868" t="n">
        <v>95.117504864</v>
      </c>
      <c r="O868" t="n">
        <v/>
      </c>
      <c r="P868" t="n">
        <v/>
      </c>
      <c r="Q868" t="n">
        <v>63.194808159</v>
      </c>
      <c r="R868" t="n">
        <v>91.3</v>
      </c>
      <c r="S868" t="n">
        <v>75.78377570000001</v>
      </c>
      <c r="T868" t="n">
        <v>78.401147159</v>
      </c>
      <c r="U868" t="n">
        <v/>
      </c>
      <c r="V868" t="n">
        <v>124.298553511</v>
      </c>
      <c r="W868" t="n">
        <v>34.59545913</v>
      </c>
      <c r="X868" t="n">
        <v/>
      </c>
      <c r="Y868" t="n">
        <v/>
      </c>
      <c r="Z868" t="n">
        <v>13.847812383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22.431</v>
      </c>
      <c r="AF868" t="n">
        <v>72.896281403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66.814926449</v>
      </c>
      <c r="AM868" t="n">
        <v>26.786806471</v>
      </c>
      <c r="AN868" t="n">
        <v>112.704947199</v>
      </c>
      <c r="AO868" t="n">
        <v/>
      </c>
      <c r="AP868" t="n">
        <v>46.110451852</v>
      </c>
      <c r="AQ868" t="n">
        <v/>
      </c>
      <c r="AR868" t="n">
        <v>69.419685069</v>
      </c>
      <c r="AS868" t="n">
        <v>33.597200233</v>
      </c>
      <c r="AT868" t="n">
        <v>59.929091786</v>
      </c>
      <c r="AU868" t="n">
        <v/>
      </c>
    </row>
    <row r="869">
      <c r="A869" s="107" t="n">
        <v>33329</v>
      </c>
      <c r="B869" t="n">
        <v>51.104416854</v>
      </c>
      <c r="C869" t="n">
        <v>63.464411778</v>
      </c>
      <c r="D869" t="n">
        <v>66.75541526799999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74.393800517</v>
      </c>
      <c r="L869" t="n">
        <v>81.643446282</v>
      </c>
      <c r="M869" t="n">
        <v>80.2</v>
      </c>
      <c r="N869" t="n">
        <v>102.213298774</v>
      </c>
      <c r="O869" t="n">
        <v/>
      </c>
      <c r="P869" t="n">
        <v/>
      </c>
      <c r="Q869" t="n">
        <v>63.217178003</v>
      </c>
      <c r="R869" t="n">
        <v>91.28</v>
      </c>
      <c r="S869" t="n">
        <v>75.734649202</v>
      </c>
      <c r="T869" t="n">
        <v>77.43323176200001</v>
      </c>
      <c r="U869" t="n">
        <v/>
      </c>
      <c r="V869" t="n">
        <v>124.759361298</v>
      </c>
      <c r="W869" t="n">
        <v>34.819233122</v>
      </c>
      <c r="X869" t="n">
        <v/>
      </c>
      <c r="Y869" t="n">
        <v/>
      </c>
      <c r="Z869" t="n">
        <v>14.263841081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22.699</v>
      </c>
      <c r="AF869" t="n">
        <v>72.896638573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66.763975562</v>
      </c>
      <c r="AM869" t="n">
        <v>25.311228568</v>
      </c>
      <c r="AN869" t="n">
        <v>108.131344437</v>
      </c>
      <c r="AO869" t="n">
        <v/>
      </c>
      <c r="AP869" t="n">
        <v>37.334002349</v>
      </c>
      <c r="AQ869" t="n">
        <v/>
      </c>
      <c r="AR869" t="n">
        <v>69.014905564</v>
      </c>
      <c r="AS869" t="n">
        <v>32.19731689</v>
      </c>
      <c r="AT869" t="n">
        <v>60.088241112</v>
      </c>
      <c r="AU869" t="n">
        <v/>
      </c>
    </row>
    <row r="870">
      <c r="A870" s="107" t="n">
        <v>33359</v>
      </c>
      <c r="B870" t="n">
        <v>50.652635183</v>
      </c>
      <c r="C870" t="n">
        <v>63.001939485</v>
      </c>
      <c r="D870" t="n">
        <v>67.90500898499999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73.193900508</v>
      </c>
      <c r="L870" t="n">
        <v>82.840883494</v>
      </c>
      <c r="M870" t="n">
        <v>80.2</v>
      </c>
      <c r="N870" t="n">
        <v>97.181102772</v>
      </c>
      <c r="O870" t="n">
        <v/>
      </c>
      <c r="P870" t="n">
        <v/>
      </c>
      <c r="Q870" t="n">
        <v>62.691486678</v>
      </c>
      <c r="R870" t="n">
        <v>91.40000000000001</v>
      </c>
      <c r="S870" t="n">
        <v>76.199513884</v>
      </c>
      <c r="T870" t="n">
        <v>78.293601004</v>
      </c>
      <c r="U870" t="n">
        <v/>
      </c>
      <c r="V870" t="n">
        <v>123.295841923</v>
      </c>
      <c r="W870" t="n">
        <v>33.700363163</v>
      </c>
      <c r="X870" t="n">
        <v/>
      </c>
      <c r="Y870" t="n">
        <v/>
      </c>
      <c r="Z870" t="n">
        <v>13.966677726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22.569</v>
      </c>
      <c r="AF870" t="n">
        <v>70.64496511599999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66.947181418</v>
      </c>
      <c r="AM870" t="n">
        <v>23.829851821</v>
      </c>
      <c r="AN870" t="n">
        <v>110.205952468</v>
      </c>
      <c r="AO870" t="n">
        <v/>
      </c>
      <c r="AP870" t="n">
        <v>35.151231195</v>
      </c>
      <c r="AQ870" t="n">
        <v/>
      </c>
      <c r="AR870" t="n">
        <v>68.610126059</v>
      </c>
      <c r="AS870" t="n">
        <v>33.697191901</v>
      </c>
      <c r="AT870" t="n">
        <v>60.689042214</v>
      </c>
      <c r="AU870" t="n">
        <v/>
      </c>
    </row>
    <row r="871">
      <c r="A871" s="107" t="n">
        <v>33390</v>
      </c>
      <c r="B871" t="n">
        <v>51.148114344</v>
      </c>
      <c r="C871" t="n">
        <v>62.377126597</v>
      </c>
      <c r="D871" t="n">
        <v>70.82725866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76.39363386399999</v>
      </c>
      <c r="L871" t="n">
        <v>82.18773592399999</v>
      </c>
      <c r="M871" t="n">
        <v>81.7</v>
      </c>
      <c r="N871" t="n">
        <v>100.227373846</v>
      </c>
      <c r="O871" t="n">
        <v/>
      </c>
      <c r="P871" t="n">
        <v/>
      </c>
      <c r="Q871" t="n">
        <v>57.065471014</v>
      </c>
      <c r="R871" t="n">
        <v>91.75</v>
      </c>
      <c r="S871" t="n">
        <v>76.443153708</v>
      </c>
      <c r="T871" t="n">
        <v>78.61623946900001</v>
      </c>
      <c r="U871" t="n">
        <v/>
      </c>
      <c r="V871" t="n">
        <v>122.119740213</v>
      </c>
      <c r="W871" t="n">
        <v>31.910171229</v>
      </c>
      <c r="X871" t="n">
        <v/>
      </c>
      <c r="Y871" t="n">
        <v/>
      </c>
      <c r="Z871" t="n">
        <v>14.501571766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22.495</v>
      </c>
      <c r="AF871" t="n">
        <v>77.657513833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67.049036379</v>
      </c>
      <c r="AM871" t="n">
        <v>24.611595647</v>
      </c>
      <c r="AN871" t="n">
        <v>113.34864505</v>
      </c>
      <c r="AO871" t="n">
        <v/>
      </c>
      <c r="AP871" t="n">
        <v>35.02566698</v>
      </c>
      <c r="AQ871" t="n">
        <v/>
      </c>
      <c r="AR871" t="n">
        <v>68.40773630699999</v>
      </c>
      <c r="AS871" t="n">
        <v>31.497375219</v>
      </c>
      <c r="AT871" t="n">
        <v>61.173133809</v>
      </c>
      <c r="AU871" t="n">
        <v/>
      </c>
    </row>
    <row r="872">
      <c r="A872" s="107" t="n">
        <v>33420</v>
      </c>
      <c r="B872" t="n">
        <v>50.422794944</v>
      </c>
      <c r="C872" t="n">
        <v>61.928899482</v>
      </c>
      <c r="D872" t="n">
        <v>72.21379154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74.193817182</v>
      </c>
      <c r="L872" t="n">
        <v>85.12689999</v>
      </c>
      <c r="M872" t="n">
        <v>80.2</v>
      </c>
      <c r="N872" t="n">
        <v>97.77382413700001</v>
      </c>
      <c r="O872" t="n">
        <v/>
      </c>
      <c r="P872" t="n">
        <v/>
      </c>
      <c r="Q872" t="n">
        <v>62.311199337</v>
      </c>
      <c r="R872" t="n">
        <v>90.19</v>
      </c>
      <c r="S872" t="n">
        <v>76.484362348</v>
      </c>
      <c r="T872" t="n">
        <v>77.863416383</v>
      </c>
      <c r="U872" t="n">
        <v/>
      </c>
      <c r="V872" t="n">
        <v>120.588129301</v>
      </c>
      <c r="W872" t="n">
        <v>32.178700019</v>
      </c>
      <c r="X872" t="n">
        <v/>
      </c>
      <c r="Y872" t="n">
        <v/>
      </c>
      <c r="Z872" t="n">
        <v>14.085543068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23.161</v>
      </c>
      <c r="AF872" t="n">
        <v>73.26925541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67.11291566200001</v>
      </c>
      <c r="AM872" t="n">
        <v>24.311648086</v>
      </c>
      <c r="AN872" t="n">
        <v>111.39296883</v>
      </c>
      <c r="AO872" t="n">
        <v/>
      </c>
      <c r="AP872" t="n">
        <v>34.122126063</v>
      </c>
      <c r="AQ872" t="n">
        <v/>
      </c>
      <c r="AR872" t="n">
        <v>68.508931183</v>
      </c>
      <c r="AS872" t="n">
        <v>32.397300225</v>
      </c>
      <c r="AT872" t="n">
        <v>61.336348632</v>
      </c>
      <c r="AU872" t="n">
        <v/>
      </c>
    </row>
    <row r="873">
      <c r="A873" s="107" t="n">
        <v>33451</v>
      </c>
      <c r="B873" t="n">
        <v>51.248968848</v>
      </c>
      <c r="C873" t="n">
        <v>61.236506562</v>
      </c>
      <c r="D873" t="n">
        <v>72.705220915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72.993917174</v>
      </c>
      <c r="L873" t="n">
        <v>83.38517313600001</v>
      </c>
      <c r="M873" t="n">
        <v>80.09999999999999</v>
      </c>
      <c r="N873" t="n">
        <v>97.546965344</v>
      </c>
      <c r="O873" t="n">
        <v/>
      </c>
      <c r="P873" t="n">
        <v/>
      </c>
      <c r="Q873" t="n">
        <v>61.159152392</v>
      </c>
      <c r="R873" t="n">
        <v>91.09</v>
      </c>
      <c r="S873" t="n">
        <v>76.065347309</v>
      </c>
      <c r="T873" t="n">
        <v>77.110593296</v>
      </c>
      <c r="U873" t="n">
        <v/>
      </c>
      <c r="V873" t="n">
        <v>124.063992426</v>
      </c>
      <c r="W873" t="n">
        <v>30.388508085</v>
      </c>
      <c r="X873" t="n">
        <v/>
      </c>
      <c r="Y873" t="n">
        <v/>
      </c>
      <c r="Z873" t="n">
        <v>14.620437108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24.03</v>
      </c>
      <c r="AF873" t="n">
        <v>74.08688216199999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66.892742173</v>
      </c>
      <c r="AM873" t="n">
        <v>23.717332503</v>
      </c>
      <c r="AN873" t="n">
        <v>113.052105136</v>
      </c>
      <c r="AO873" t="n">
        <v/>
      </c>
      <c r="AP873" t="n">
        <v>33.774475593</v>
      </c>
      <c r="AQ873" t="n">
        <v/>
      </c>
      <c r="AR873" t="n">
        <v>66.788618288</v>
      </c>
      <c r="AS873" t="n">
        <v>32.59728356</v>
      </c>
      <c r="AT873" t="n">
        <v>61.347454379</v>
      </c>
      <c r="AU873" t="n">
        <v/>
      </c>
    </row>
    <row r="874">
      <c r="A874" s="107" t="n">
        <v>33482</v>
      </c>
      <c r="B874" t="n">
        <v>50.513420363</v>
      </c>
      <c r="C874" t="n">
        <v>62.698315593</v>
      </c>
      <c r="D874" t="n">
        <v>69.65133837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72.793933839</v>
      </c>
      <c r="L874" t="n">
        <v>83.38517313600001</v>
      </c>
      <c r="M874" t="n">
        <v>80.3</v>
      </c>
      <c r="N874" t="n">
        <v>99.98690157999999</v>
      </c>
      <c r="O874" t="n">
        <v/>
      </c>
      <c r="P874" t="n">
        <v/>
      </c>
      <c r="Q874" t="n">
        <v>61.069673017</v>
      </c>
      <c r="R874" t="n">
        <v>91.43000000000001</v>
      </c>
      <c r="S874" t="n">
        <v>76.407528442</v>
      </c>
      <c r="T874" t="n">
        <v>77.218139452</v>
      </c>
      <c r="U874" t="n">
        <v/>
      </c>
      <c r="V874" t="n">
        <v>131.476758957</v>
      </c>
      <c r="W874" t="n">
        <v>29.403902521</v>
      </c>
      <c r="X874" t="n">
        <v/>
      </c>
      <c r="Y874" t="n">
        <v/>
      </c>
      <c r="Z874" t="n">
        <v>14.798735122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23.826</v>
      </c>
      <c r="AF874" t="n">
        <v>74.342490387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67.107996656</v>
      </c>
      <c r="AM874" t="n">
        <v>23.147686254</v>
      </c>
      <c r="AN874" t="n">
        <v>112.361103917</v>
      </c>
      <c r="AO874" t="n">
        <v/>
      </c>
      <c r="AP874" t="n">
        <v>33.203680767</v>
      </c>
      <c r="AQ874" t="n">
        <v/>
      </c>
      <c r="AR874" t="n">
        <v>67.59817729700001</v>
      </c>
      <c r="AS874" t="n">
        <v>33.497208566</v>
      </c>
      <c r="AT874" t="n">
        <v>61.860500245</v>
      </c>
      <c r="AU874" t="n">
        <v/>
      </c>
    </row>
    <row r="875">
      <c r="A875" s="107" t="n">
        <v>33512</v>
      </c>
      <c r="B875" t="n">
        <v>50.115936837</v>
      </c>
      <c r="C875" t="n">
        <v>62.794957104</v>
      </c>
      <c r="D875" t="n">
        <v>71.380116707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73.89384217999999</v>
      </c>
      <c r="L875" t="n">
        <v>81.53458835399999</v>
      </c>
      <c r="M875" t="n">
        <v>80.59999999999999</v>
      </c>
      <c r="N875" t="n">
        <v>100.586988054</v>
      </c>
      <c r="O875" t="n">
        <v/>
      </c>
      <c r="P875" t="n">
        <v/>
      </c>
      <c r="Q875" t="n">
        <v>60.58872138</v>
      </c>
      <c r="R875" t="n">
        <v>91.05</v>
      </c>
      <c r="S875" t="n">
        <v>76.406392704</v>
      </c>
      <c r="T875" t="n">
        <v>78.186054849</v>
      </c>
      <c r="U875" t="n">
        <v/>
      </c>
      <c r="V875" t="n">
        <v>123.317376941</v>
      </c>
      <c r="W875" t="n">
        <v>29.627676513</v>
      </c>
      <c r="X875" t="n">
        <v/>
      </c>
      <c r="Y875" t="n">
        <v/>
      </c>
      <c r="Z875" t="n">
        <v>14.739302451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24.03</v>
      </c>
      <c r="AF875" t="n">
        <v>71.481910965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67.256592797</v>
      </c>
      <c r="AM875" t="n">
        <v>23.420760105</v>
      </c>
      <c r="AN875" t="n">
        <v>111.796482396</v>
      </c>
      <c r="AO875" t="n">
        <v/>
      </c>
      <c r="AP875" t="n">
        <v>33.876237429</v>
      </c>
      <c r="AQ875" t="n">
        <v/>
      </c>
      <c r="AR875" t="n">
        <v>67.90176192600001</v>
      </c>
      <c r="AS875" t="n">
        <v>33.497208566</v>
      </c>
      <c r="AT875" t="n">
        <v>61.798427049</v>
      </c>
      <c r="AU875" t="n">
        <v/>
      </c>
    </row>
    <row r="876">
      <c r="A876" s="107" t="n">
        <v>33543</v>
      </c>
      <c r="B876" t="n">
        <v>50.344446014</v>
      </c>
      <c r="C876" t="n">
        <v>62.085685448</v>
      </c>
      <c r="D876" t="n">
        <v>67.10643625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74.693775519</v>
      </c>
      <c r="L876" t="n">
        <v>82.840883494</v>
      </c>
      <c r="M876" t="n">
        <v>81.5</v>
      </c>
      <c r="N876" t="n">
        <v>100.293304955</v>
      </c>
      <c r="O876" t="n">
        <v/>
      </c>
      <c r="P876" t="n">
        <v/>
      </c>
      <c r="Q876" t="n">
        <v>60.107769743</v>
      </c>
      <c r="R876" t="n">
        <v>92.48999999999999</v>
      </c>
      <c r="S876" t="n">
        <v>76.69534356</v>
      </c>
      <c r="T876" t="n">
        <v>78.401147159</v>
      </c>
      <c r="U876" t="n">
        <v/>
      </c>
      <c r="V876" t="n">
        <v>121.418825495</v>
      </c>
      <c r="W876" t="n">
        <v>29.806695706</v>
      </c>
      <c r="X876" t="n">
        <v/>
      </c>
      <c r="Y876" t="n">
        <v/>
      </c>
      <c r="Z876" t="n">
        <v>15.333629163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24.168</v>
      </c>
      <c r="AF876" t="n">
        <v>74.585701386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67.44573597900001</v>
      </c>
      <c r="AM876" t="n">
        <v>22.747154395</v>
      </c>
      <c r="AN876" t="n">
        <v>111.411791321</v>
      </c>
      <c r="AO876" t="n">
        <v/>
      </c>
      <c r="AP876" t="n">
        <v>33.674893965</v>
      </c>
      <c r="AQ876" t="n">
        <v/>
      </c>
      <c r="AR876" t="n">
        <v>68.91371068799999</v>
      </c>
      <c r="AS876" t="n">
        <v>33.397216899</v>
      </c>
      <c r="AT876" t="n">
        <v>61.718901966</v>
      </c>
      <c r="AU876" t="n">
        <v/>
      </c>
    </row>
    <row r="877">
      <c r="A877" s="107" t="n">
        <v>33573</v>
      </c>
      <c r="B877" t="n">
        <v>50.788120954</v>
      </c>
      <c r="C877" t="n">
        <v>62.476623946</v>
      </c>
      <c r="D877" t="n">
        <v>63.017041809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74.793767186</v>
      </c>
      <c r="L877" t="n">
        <v>83.494031065</v>
      </c>
      <c r="M877" t="n">
        <v>80.90000000000001</v>
      </c>
      <c r="N877" t="n">
        <v>101.300599659</v>
      </c>
      <c r="O877" t="n">
        <v/>
      </c>
      <c r="P877" t="n">
        <v/>
      </c>
      <c r="Q877" t="n">
        <v>61.069673017</v>
      </c>
      <c r="R877" t="n">
        <v>91.63</v>
      </c>
      <c r="S877" t="n">
        <v>76.171022135</v>
      </c>
      <c r="T877" t="n">
        <v>78.078508693</v>
      </c>
      <c r="U877" t="n">
        <v/>
      </c>
      <c r="V877" t="n">
        <v>121.615194844</v>
      </c>
      <c r="W877" t="n">
        <v>28.956354537</v>
      </c>
      <c r="X877" t="n">
        <v/>
      </c>
      <c r="Y877" t="n">
        <v/>
      </c>
      <c r="Z877" t="n">
        <v>14.798735122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24.168</v>
      </c>
      <c r="AF877" t="n">
        <v>75.177853863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67.113061782</v>
      </c>
      <c r="AM877" t="n">
        <v>23.068645331</v>
      </c>
      <c r="AN877" t="n">
        <v>109.709420508</v>
      </c>
      <c r="AO877" t="n">
        <v/>
      </c>
      <c r="AP877" t="n">
        <v>32.720889972</v>
      </c>
      <c r="AQ877" t="n">
        <v/>
      </c>
      <c r="AR877" t="n">
        <v>67.80056705</v>
      </c>
      <c r="AS877" t="n">
        <v>33.097241897</v>
      </c>
      <c r="AT877" t="n">
        <v>61.448992641</v>
      </c>
      <c r="AU877" t="n">
        <v/>
      </c>
    </row>
    <row r="878">
      <c r="A878" s="107" t="n">
        <v>33604</v>
      </c>
      <c r="B878" t="n">
        <v>50.427102595</v>
      </c>
      <c r="C878" t="n">
        <v>63.328985047</v>
      </c>
      <c r="D878" t="n">
        <v>63.201327825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75.693692192</v>
      </c>
      <c r="L878" t="n">
        <v>84.800326205</v>
      </c>
      <c r="M878" t="n">
        <v>81.90000000000001</v>
      </c>
      <c r="N878" t="n">
        <v>99.72508310400001</v>
      </c>
      <c r="O878" t="n">
        <v/>
      </c>
      <c r="P878" t="n">
        <v/>
      </c>
      <c r="Q878" t="n">
        <v>60.812419816</v>
      </c>
      <c r="R878" t="n">
        <v>91.88</v>
      </c>
      <c r="S878" t="n">
        <v>76.111464618</v>
      </c>
      <c r="T878" t="n">
        <v>77.97096253799999</v>
      </c>
      <c r="U878" t="n">
        <v/>
      </c>
      <c r="V878" t="n">
        <v>124.391623418</v>
      </c>
      <c r="W878" t="n">
        <v>28.941784335</v>
      </c>
      <c r="X878" t="n">
        <v/>
      </c>
      <c r="Y878" t="n">
        <v/>
      </c>
      <c r="Z878" t="n">
        <v>15.452494505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24.094</v>
      </c>
      <c r="AF878" t="n">
        <v>72.21271754599999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67.134185704</v>
      </c>
      <c r="AM878" t="n">
        <v>24.367464962</v>
      </c>
      <c r="AN878" t="n">
        <v>112.791775374</v>
      </c>
      <c r="AO878" t="n">
        <v/>
      </c>
      <c r="AP878" t="n">
        <v>33.304738512</v>
      </c>
      <c r="AQ878" t="n">
        <v>66.965544501</v>
      </c>
      <c r="AR878" t="n">
        <v>69.11610044</v>
      </c>
      <c r="AS878" t="n">
        <v>33.297225231</v>
      </c>
      <c r="AT878" t="n">
        <v>61.128314186</v>
      </c>
      <c r="AU878" t="n">
        <v/>
      </c>
    </row>
    <row r="879">
      <c r="A879" s="107" t="n">
        <v>33635</v>
      </c>
      <c r="B879" t="n">
        <v>50.328410204</v>
      </c>
      <c r="C879" t="n">
        <v>63.270105668</v>
      </c>
      <c r="D879" t="n">
        <v>65.386433438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76.993583868</v>
      </c>
      <c r="L879" t="n">
        <v>85.67118963199999</v>
      </c>
      <c r="M879" t="n">
        <v>82.2</v>
      </c>
      <c r="N879" t="n">
        <v>100.026083355</v>
      </c>
      <c r="O879" t="n">
        <v/>
      </c>
      <c r="P879" t="n">
        <v/>
      </c>
      <c r="Q879" t="n">
        <v>62.602007304</v>
      </c>
      <c r="R879" t="n">
        <v>91.17</v>
      </c>
      <c r="S879" t="n">
        <v>76.444863278</v>
      </c>
      <c r="T879" t="n">
        <v>78.508693314</v>
      </c>
      <c r="U879" t="n">
        <v/>
      </c>
      <c r="V879" t="n">
        <v>121.166349528</v>
      </c>
      <c r="W879" t="n">
        <v>29.322597287</v>
      </c>
      <c r="X879" t="n">
        <v/>
      </c>
      <c r="Y879" t="n">
        <v/>
      </c>
      <c r="Z879" t="n">
        <v>15.333629163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24.695</v>
      </c>
      <c r="AF879" t="n">
        <v>74.623204281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67.437243932</v>
      </c>
      <c r="AM879" t="n">
        <v>24.646837886</v>
      </c>
      <c r="AN879" t="n">
        <v>113.567147259</v>
      </c>
      <c r="AO879" t="n">
        <v/>
      </c>
      <c r="AP879" t="n">
        <v>31.891995858</v>
      </c>
      <c r="AQ879" t="n">
        <v>70.716240109</v>
      </c>
      <c r="AR879" t="n">
        <v>68.91371068799999</v>
      </c>
      <c r="AS879" t="n">
        <v>32.997250229</v>
      </c>
      <c r="AT879" t="n">
        <v>61.556976202</v>
      </c>
      <c r="AU879" t="n">
        <v/>
      </c>
    </row>
    <row r="880">
      <c r="A880" s="107" t="n">
        <v>33664</v>
      </c>
      <c r="B880" t="n">
        <v>50.213060746</v>
      </c>
      <c r="C880" t="n">
        <v>62.975422441</v>
      </c>
      <c r="D880" t="n">
        <v>64.39479916400001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74.793767186</v>
      </c>
      <c r="L880" t="n">
        <v>86.759768916</v>
      </c>
      <c r="M880" t="n">
        <v>81.40000000000001</v>
      </c>
      <c r="N880" t="n">
        <v>98.774082312</v>
      </c>
      <c r="O880" t="n">
        <v/>
      </c>
      <c r="P880" t="n">
        <v/>
      </c>
      <c r="Q880" t="n">
        <v>62.154610432</v>
      </c>
      <c r="R880" t="n">
        <v>92.06</v>
      </c>
      <c r="S880" t="n">
        <v>76.11849932299999</v>
      </c>
      <c r="T880" t="n">
        <v>78.186054849</v>
      </c>
      <c r="U880" t="n">
        <v/>
      </c>
      <c r="V880" t="n">
        <v>122.882974164</v>
      </c>
      <c r="W880" t="n">
        <v>29.322597287</v>
      </c>
      <c r="X880" t="n">
        <v/>
      </c>
      <c r="Y880" t="n">
        <v/>
      </c>
      <c r="Z880" t="n">
        <v>15.809090532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24.695</v>
      </c>
      <c r="AF880" t="n">
        <v>74.44866067700001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67.34553478399999</v>
      </c>
      <c r="AM880" t="n">
        <v>25.560471958</v>
      </c>
      <c r="AN880" t="n">
        <v>109.808239927</v>
      </c>
      <c r="AO880" t="n">
        <v/>
      </c>
      <c r="AP880" t="n">
        <v>35.87756963</v>
      </c>
      <c r="AQ880" t="n">
        <v>67.043683993</v>
      </c>
      <c r="AR880" t="n">
        <v>68.20534655500001</v>
      </c>
      <c r="AS880" t="n">
        <v>33.097241897</v>
      </c>
      <c r="AT880" t="n">
        <v>62.068733008</v>
      </c>
      <c r="AU880" t="n">
        <v/>
      </c>
    </row>
    <row r="881">
      <c r="A881" s="107" t="n">
        <v>33695</v>
      </c>
      <c r="B881" t="n">
        <v>50.861785338</v>
      </c>
      <c r="C881" t="n">
        <v>62.686344256</v>
      </c>
      <c r="D881" t="n">
        <v>64.789697769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74.693775519</v>
      </c>
      <c r="L881" t="n">
        <v>86.106621346</v>
      </c>
      <c r="M881" t="n">
        <v>81.3</v>
      </c>
      <c r="N881" t="n">
        <v>98.71208226</v>
      </c>
      <c r="O881" t="n">
        <v/>
      </c>
      <c r="P881" t="n">
        <v/>
      </c>
      <c r="Q881" t="n">
        <v>61.998021527</v>
      </c>
      <c r="R881" t="n">
        <v>91.38</v>
      </c>
      <c r="S881" t="n">
        <v>76.279845232</v>
      </c>
      <c r="T881" t="n">
        <v>78.723785625</v>
      </c>
      <c r="U881" t="n">
        <v/>
      </c>
      <c r="V881" t="n">
        <v>120.477578522</v>
      </c>
      <c r="W881" t="n">
        <v>29.527650415</v>
      </c>
      <c r="X881" t="n">
        <v/>
      </c>
      <c r="Y881" t="n">
        <v/>
      </c>
      <c r="Z881" t="n">
        <v>15.571359847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24.427</v>
      </c>
      <c r="AF881" t="n">
        <v>71.730993204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67.402917242</v>
      </c>
      <c r="AM881" t="n">
        <v>25.771794352</v>
      </c>
      <c r="AN881" t="n">
        <v>110.822426172</v>
      </c>
      <c r="AO881" t="n">
        <v/>
      </c>
      <c r="AP881" t="n">
        <v>33.220286107</v>
      </c>
      <c r="AQ881" t="n">
        <v>67.434381452</v>
      </c>
      <c r="AR881" t="n">
        <v>69.419685069</v>
      </c>
      <c r="AS881" t="n">
        <v>33.097241897</v>
      </c>
      <c r="AT881" t="n">
        <v>62.541818014</v>
      </c>
      <c r="AU881" t="n">
        <v/>
      </c>
    </row>
    <row r="882">
      <c r="A882" s="107" t="n">
        <v>33725</v>
      </c>
      <c r="B882" t="n">
        <v>52.217363591</v>
      </c>
      <c r="C882" t="n">
        <v>62.287512693</v>
      </c>
      <c r="D882" t="n">
        <v>63.306634119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74.193817182</v>
      </c>
      <c r="L882" t="n">
        <v>85.45347377500001</v>
      </c>
      <c r="M882" t="n">
        <v>80.8</v>
      </c>
      <c r="N882" t="n">
        <v>97.72908144100001</v>
      </c>
      <c r="O882" t="n">
        <v/>
      </c>
      <c r="P882" t="n">
        <v/>
      </c>
      <c r="Q882" t="n">
        <v>61.975651683</v>
      </c>
      <c r="R882" t="n">
        <v>91.40000000000001</v>
      </c>
      <c r="S882" t="n">
        <v>75.76554582999999</v>
      </c>
      <c r="T882" t="n">
        <v>77.110593296</v>
      </c>
      <c r="U882" t="n">
        <v/>
      </c>
      <c r="V882" t="n">
        <v>120.325803433</v>
      </c>
      <c r="W882" t="n">
        <v>29.029664247</v>
      </c>
      <c r="X882" t="n">
        <v/>
      </c>
      <c r="Y882" t="n">
        <v/>
      </c>
      <c r="Z882" t="n">
        <v>15.69022519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24.233</v>
      </c>
      <c r="AF882" t="n">
        <v>73.163039799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67.099664807</v>
      </c>
      <c r="AM882" t="n">
        <v>24.680183743</v>
      </c>
      <c r="AN882" t="n">
        <v>112.64017431</v>
      </c>
      <c r="AO882" t="n">
        <v/>
      </c>
      <c r="AP882" t="n">
        <v>31.194857912</v>
      </c>
      <c r="AQ882" t="n">
        <v>66.965544501</v>
      </c>
      <c r="AR882" t="n">
        <v>68.610126059</v>
      </c>
      <c r="AS882" t="n">
        <v>33.997166903</v>
      </c>
      <c r="AT882" t="n">
        <v>62.743605478</v>
      </c>
      <c r="AU882" t="n">
        <v/>
      </c>
    </row>
    <row r="883">
      <c r="A883" s="107" t="n">
        <v>33756</v>
      </c>
      <c r="B883" t="n">
        <v>51.388702953</v>
      </c>
      <c r="C883" t="n">
        <v>63.230795448</v>
      </c>
      <c r="D883" t="n">
        <v>64.438676786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72.993917174</v>
      </c>
      <c r="L883" t="n">
        <v>87.08634270100001</v>
      </c>
      <c r="M883" t="n">
        <v>80</v>
      </c>
      <c r="N883" t="n">
        <v>96.6000805</v>
      </c>
      <c r="O883" t="n">
        <v/>
      </c>
      <c r="P883" t="n">
        <v/>
      </c>
      <c r="Q883" t="n">
        <v>62.165795354</v>
      </c>
      <c r="R883" t="n">
        <v>90.25</v>
      </c>
      <c r="S883" t="n">
        <v>75.960497699</v>
      </c>
      <c r="T883" t="n">
        <v>77.97096253799999</v>
      </c>
      <c r="U883" t="n">
        <v/>
      </c>
      <c r="V883" t="n">
        <v>122.164272844</v>
      </c>
      <c r="W883" t="n">
        <v>29.351890591</v>
      </c>
      <c r="X883" t="n">
        <v/>
      </c>
      <c r="Y883" t="n">
        <v/>
      </c>
      <c r="Z883" t="n">
        <v>15.393061834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24.566</v>
      </c>
      <c r="AF883" t="n">
        <v>72.028035479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67.203304389</v>
      </c>
      <c r="AM883" t="n">
        <v>24.755668907</v>
      </c>
      <c r="AN883" t="n">
        <v>110.939318204</v>
      </c>
      <c r="AO883" t="n">
        <v/>
      </c>
      <c r="AP883" t="n">
        <v>33.084123099</v>
      </c>
      <c r="AQ883" t="n">
        <v>65.090196697</v>
      </c>
      <c r="AR883" t="n">
        <v>68.002956802</v>
      </c>
      <c r="AS883" t="n">
        <v>33.197233564</v>
      </c>
      <c r="AT883" t="n">
        <v>62.777418512</v>
      </c>
      <c r="AU883" t="n">
        <v/>
      </c>
    </row>
    <row r="884">
      <c r="A884" s="107" t="n">
        <v>33786</v>
      </c>
      <c r="B884" t="n">
        <v>49.358639974</v>
      </c>
      <c r="C884" t="n">
        <v>63.117973535</v>
      </c>
      <c r="D884" t="n">
        <v>64.44745231100001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71.694025498</v>
      </c>
      <c r="L884" t="n">
        <v>85.562331704</v>
      </c>
      <c r="M884" t="n">
        <v>79</v>
      </c>
      <c r="N884" t="n">
        <v>95.58007965</v>
      </c>
      <c r="O884" t="n">
        <v/>
      </c>
      <c r="P884" t="n">
        <v/>
      </c>
      <c r="Q884" t="n">
        <v>61.248631766</v>
      </c>
      <c r="R884" t="n">
        <v>89.94</v>
      </c>
      <c r="S884" t="n">
        <v>75.92719209800001</v>
      </c>
      <c r="T884" t="n">
        <v>78.508693314</v>
      </c>
      <c r="U884" t="n">
        <v/>
      </c>
      <c r="V884" t="n">
        <v>123.348288691</v>
      </c>
      <c r="W884" t="n">
        <v>28.912491031</v>
      </c>
      <c r="X884" t="n">
        <v/>
      </c>
      <c r="Y884" t="n">
        <v/>
      </c>
      <c r="Z884" t="n">
        <v>16.046821217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24.963</v>
      </c>
      <c r="AF884" t="n">
        <v>72.279028935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67.39360468</v>
      </c>
      <c r="AM884" t="n">
        <v>26.058204194</v>
      </c>
      <c r="AN884" t="n">
        <v>109.327309565</v>
      </c>
      <c r="AO884" t="n">
        <v/>
      </c>
      <c r="AP884" t="n">
        <v>33.358690938</v>
      </c>
      <c r="AQ884" t="n">
        <v>65.71531263200001</v>
      </c>
      <c r="AR884" t="n">
        <v>69.520879945</v>
      </c>
      <c r="AS884" t="n">
        <v>33.797183568</v>
      </c>
      <c r="AT884" t="n">
        <v>63.339349497</v>
      </c>
      <c r="AU884" t="n">
        <v/>
      </c>
    </row>
    <row r="885">
      <c r="A885" s="107" t="n">
        <v>33817</v>
      </c>
      <c r="B885" t="n">
        <v>49.611061658</v>
      </c>
      <c r="C885" t="n">
        <v>61.964748506</v>
      </c>
      <c r="D885" t="n">
        <v>64.08765580399999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71.894008833</v>
      </c>
      <c r="L885" t="n">
        <v>85.888905489</v>
      </c>
      <c r="M885" t="n">
        <v>78.90000000000001</v>
      </c>
      <c r="N885" t="n">
        <v>95.177079314</v>
      </c>
      <c r="O885" t="n">
        <v/>
      </c>
      <c r="P885" t="n">
        <v/>
      </c>
      <c r="Q885" t="n">
        <v>62.635562069</v>
      </c>
      <c r="R885" t="n">
        <v>90.23</v>
      </c>
      <c r="S885" t="n">
        <v>75.201837627</v>
      </c>
      <c r="T885" t="n">
        <v>78.401147159</v>
      </c>
      <c r="U885" t="n">
        <v/>
      </c>
      <c r="V885" t="n">
        <v>124.101403227</v>
      </c>
      <c r="W885" t="n">
        <v>27.008426272</v>
      </c>
      <c r="X885" t="n">
        <v/>
      </c>
      <c r="Y885" t="n">
        <v/>
      </c>
      <c r="Z885" t="n">
        <v>15.809090532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24.76</v>
      </c>
      <c r="AF885" t="n">
        <v>71.30564544800001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66.64633495299999</v>
      </c>
      <c r="AM885" t="n">
        <v>25.724779429</v>
      </c>
      <c r="AN885" t="n">
        <v>99.78230576599999</v>
      </c>
      <c r="AO885" t="n">
        <v/>
      </c>
      <c r="AP885" t="n">
        <v>32.725532473</v>
      </c>
      <c r="AQ885" t="n">
        <v>64.465080763</v>
      </c>
      <c r="AR885" t="n">
        <v>70.33043895500001</v>
      </c>
      <c r="AS885" t="n">
        <v>32.59728356</v>
      </c>
      <c r="AT885" t="n">
        <v>62.987535286</v>
      </c>
      <c r="AU885" t="n">
        <v/>
      </c>
    </row>
    <row r="886">
      <c r="A886" s="107" t="n">
        <v>33848</v>
      </c>
      <c r="B886" t="n">
        <v>49.584691454</v>
      </c>
      <c r="C886" t="n">
        <v>61.953638619</v>
      </c>
      <c r="D886" t="n">
        <v>65.623372601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71.294058828</v>
      </c>
      <c r="L886" t="n">
        <v>86.215479274</v>
      </c>
      <c r="M886" t="n">
        <v>78.2</v>
      </c>
      <c r="N886" t="n">
        <v>94.582078818</v>
      </c>
      <c r="O886" t="n">
        <v/>
      </c>
      <c r="P886" t="n">
        <v/>
      </c>
      <c r="Q886" t="n">
        <v>62.188165197</v>
      </c>
      <c r="R886" t="n">
        <v>88.97</v>
      </c>
      <c r="S886" t="n">
        <v>75.81351190300001</v>
      </c>
      <c r="T886" t="n">
        <v>78.93887793499999</v>
      </c>
      <c r="U886" t="n">
        <v/>
      </c>
      <c r="V886" t="n">
        <v>121.457386834</v>
      </c>
      <c r="W886" t="n">
        <v>29.322597287</v>
      </c>
      <c r="X886" t="n">
        <v/>
      </c>
      <c r="Y886" t="n">
        <v/>
      </c>
      <c r="Z886" t="n">
        <v>16.403417244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24.427</v>
      </c>
      <c r="AF886" t="n">
        <v>73.835600805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67.25497366</v>
      </c>
      <c r="AM886" t="n">
        <v>25.590952196</v>
      </c>
      <c r="AN886" t="n">
        <v>106.370848955</v>
      </c>
      <c r="AO886" t="n">
        <v/>
      </c>
      <c r="AP886" t="n">
        <v>34.186564998</v>
      </c>
      <c r="AQ886" t="n">
        <v>64.699499238</v>
      </c>
      <c r="AR886" t="n">
        <v>68.20534655500001</v>
      </c>
      <c r="AS886" t="n">
        <v>34.49712524</v>
      </c>
      <c r="AT886" t="n">
        <v>63.185455569</v>
      </c>
      <c r="AU886" t="n">
        <v/>
      </c>
    </row>
    <row r="887">
      <c r="A887" s="107" t="n">
        <v>33878</v>
      </c>
      <c r="B887" t="n">
        <v>50.302726926</v>
      </c>
      <c r="C887" t="n">
        <v>61.232073363</v>
      </c>
      <c r="D887" t="n">
        <v>65.658474699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71.19406716100001</v>
      </c>
      <c r="L887" t="n">
        <v>85.45347377500001</v>
      </c>
      <c r="M887" t="n">
        <v>78.40000000000001</v>
      </c>
      <c r="N887" t="n">
        <v>93.872078227</v>
      </c>
      <c r="O887" t="n">
        <v/>
      </c>
      <c r="P887" t="n">
        <v/>
      </c>
      <c r="Q887" t="n">
        <v>62.378308868</v>
      </c>
      <c r="R887" t="n">
        <v>89.88</v>
      </c>
      <c r="S887" t="n">
        <v>75.620398279</v>
      </c>
      <c r="T887" t="n">
        <v>79.799247177</v>
      </c>
      <c r="U887" t="n">
        <v/>
      </c>
      <c r="V887" t="n">
        <v>121.635699156</v>
      </c>
      <c r="W887" t="n">
        <v>29.967049974</v>
      </c>
      <c r="X887" t="n">
        <v/>
      </c>
      <c r="Y887" t="n">
        <v/>
      </c>
      <c r="Z887" t="n">
        <v>16.522282586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24.427</v>
      </c>
      <c r="AF887" t="n">
        <v>74.632667027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67.150890213</v>
      </c>
      <c r="AM887" t="n">
        <v>26.356784776</v>
      </c>
      <c r="AN887" t="n">
        <v>107.695391838</v>
      </c>
      <c r="AO887" t="n">
        <v/>
      </c>
      <c r="AP887" t="n">
        <v>33.295535264</v>
      </c>
      <c r="AQ887" t="n">
        <v>65.48089415600001</v>
      </c>
      <c r="AR887" t="n">
        <v>68.10415167799999</v>
      </c>
      <c r="AS887" t="n">
        <v>34.597116907</v>
      </c>
      <c r="AT887" t="n">
        <v>63.615704122</v>
      </c>
      <c r="AU887" t="n">
        <v/>
      </c>
    </row>
    <row r="888">
      <c r="A888" s="107" t="n">
        <v>33909</v>
      </c>
      <c r="B888" t="n">
        <v>49.067987898</v>
      </c>
      <c r="C888" t="n">
        <v>60.597511252</v>
      </c>
      <c r="D888" t="n">
        <v>66.966027857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70.09415882</v>
      </c>
      <c r="L888" t="n">
        <v>82.623167638</v>
      </c>
      <c r="M888" t="n">
        <v>77.7</v>
      </c>
      <c r="N888" t="n">
        <v>92.279076899</v>
      </c>
      <c r="O888" t="n">
        <v/>
      </c>
      <c r="P888" t="n">
        <v/>
      </c>
      <c r="Q888" t="n">
        <v>62.82570574</v>
      </c>
      <c r="R888" t="n">
        <v>88.70999999999999</v>
      </c>
      <c r="S888" t="n">
        <v>75.286906229</v>
      </c>
      <c r="T888" t="n">
        <v>78.723785625</v>
      </c>
      <c r="U888" t="n">
        <v/>
      </c>
      <c r="V888" t="n">
        <v>122.186607895</v>
      </c>
      <c r="W888" t="n">
        <v>29.205424071</v>
      </c>
      <c r="X888" t="n">
        <v/>
      </c>
      <c r="Y888" t="n">
        <v/>
      </c>
      <c r="Z888" t="n">
        <v>16.462849915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24.501</v>
      </c>
      <c r="AF888" t="n">
        <v>73.31438969200001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66.782006702</v>
      </c>
      <c r="AM888" t="n">
        <v>26.280949259</v>
      </c>
      <c r="AN888" t="n">
        <v>107.476783522</v>
      </c>
      <c r="AO888" t="n">
        <v/>
      </c>
      <c r="AP888" t="n">
        <v>32.549856561</v>
      </c>
      <c r="AQ888" t="n">
        <v>64.933917714</v>
      </c>
      <c r="AR888" t="n">
        <v>66.687423412</v>
      </c>
      <c r="AS888" t="n">
        <v>34.49712524</v>
      </c>
      <c r="AT888" t="n">
        <v>63.872326213</v>
      </c>
      <c r="AU888" t="n">
        <v/>
      </c>
    </row>
    <row r="889">
      <c r="A889" s="107" t="n">
        <v>33939</v>
      </c>
      <c r="B889" t="n">
        <v>47.31460776</v>
      </c>
      <c r="C889" t="n">
        <v>59.849292147</v>
      </c>
      <c r="D889" t="n">
        <v>66.23765932000001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68.894258812</v>
      </c>
      <c r="L889" t="n">
        <v>81.643446282</v>
      </c>
      <c r="M889" t="n">
        <v>76.3</v>
      </c>
      <c r="N889" t="n">
        <v>90.785075654</v>
      </c>
      <c r="O889" t="n">
        <v/>
      </c>
      <c r="P889" t="n">
        <v/>
      </c>
      <c r="Q889" t="n">
        <v>62.657931913</v>
      </c>
      <c r="R889" t="n">
        <v>87.55</v>
      </c>
      <c r="S889" t="n">
        <v>74.941572139</v>
      </c>
      <c r="T889" t="n">
        <v>78.61623946900001</v>
      </c>
      <c r="U889" t="n">
        <v/>
      </c>
      <c r="V889" t="n">
        <v>121.010885972</v>
      </c>
      <c r="W889" t="n">
        <v>31.636768301</v>
      </c>
      <c r="X889" t="n">
        <v/>
      </c>
      <c r="Y889" t="n">
        <v/>
      </c>
      <c r="Z889" t="n">
        <v>15.274196491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24.63</v>
      </c>
      <c r="AF889" t="n">
        <v>69.29676127800001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66.394029398</v>
      </c>
      <c r="AM889" t="n">
        <v>26.475826413</v>
      </c>
      <c r="AN889" t="n">
        <v>103.451908253</v>
      </c>
      <c r="AO889" t="n">
        <v/>
      </c>
      <c r="AP889" t="n">
        <v>33.127683504</v>
      </c>
      <c r="AQ889" t="n">
        <v>63.761825336</v>
      </c>
      <c r="AR889" t="n">
        <v>66.687423412</v>
      </c>
      <c r="AS889" t="n">
        <v>33.597200233</v>
      </c>
      <c r="AT889" t="n">
        <v>63.973170365</v>
      </c>
      <c r="AU889" t="n">
        <v/>
      </c>
    </row>
    <row r="890">
      <c r="A890" s="107" t="n">
        <v>33970</v>
      </c>
      <c r="B890" t="n">
        <v>49.246979969</v>
      </c>
      <c r="C890" t="n">
        <v>58.612635937</v>
      </c>
      <c r="D890" t="n">
        <v>67.589090101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68.094325473</v>
      </c>
      <c r="L890" t="n">
        <v>79.46628771500001</v>
      </c>
      <c r="M890" t="n">
        <v>76.7</v>
      </c>
      <c r="N890" t="n">
        <v>92.10007675</v>
      </c>
      <c r="O890" t="n">
        <v/>
      </c>
      <c r="P890" t="n">
        <v/>
      </c>
      <c r="Q890" t="n">
        <v>62.814520818</v>
      </c>
      <c r="R890" t="n">
        <v>87.45</v>
      </c>
      <c r="S890" t="n">
        <v>75.402215373</v>
      </c>
      <c r="T890" t="n">
        <v>78.723785625</v>
      </c>
      <c r="U890" t="n">
        <v/>
      </c>
      <c r="V890" t="n">
        <v>115.300785056</v>
      </c>
      <c r="W890" t="n">
        <v>27.594292352</v>
      </c>
      <c r="X890" t="n">
        <v/>
      </c>
      <c r="Y890" t="n">
        <v/>
      </c>
      <c r="Z890" t="n">
        <v>16.641147928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24.63</v>
      </c>
      <c r="AF890" t="n">
        <v>66.092856392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66.74593150699999</v>
      </c>
      <c r="AM890" t="n">
        <v>25.733599456</v>
      </c>
      <c r="AN890" t="n">
        <v>106.38450176</v>
      </c>
      <c r="AO890" t="n">
        <v>77.425520378</v>
      </c>
      <c r="AP890" t="n">
        <v>33.670995368</v>
      </c>
      <c r="AQ890" t="n">
        <v>66.18414958300001</v>
      </c>
      <c r="AR890" t="n">
        <v>66.889813164</v>
      </c>
      <c r="AS890" t="n">
        <v>35.097075244</v>
      </c>
      <c r="AT890" t="n">
        <v>64.22870171300001</v>
      </c>
      <c r="AU890" t="n">
        <v/>
      </c>
    </row>
    <row r="891">
      <c r="A891" s="107" t="n">
        <v>34001</v>
      </c>
      <c r="B891" t="n">
        <v>49.281182623</v>
      </c>
      <c r="C891" t="n">
        <v>59.168825146</v>
      </c>
      <c r="D891" t="n">
        <v>69.037051652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67.09440879900001</v>
      </c>
      <c r="L891" t="n">
        <v>80.772582855</v>
      </c>
      <c r="M891" t="n">
        <v>76.09999999999999</v>
      </c>
      <c r="N891" t="n">
        <v>90.716075597</v>
      </c>
      <c r="O891" t="n">
        <v/>
      </c>
      <c r="P891" t="n">
        <v/>
      </c>
      <c r="Q891" t="n">
        <v>63.127698628</v>
      </c>
      <c r="R891" t="n">
        <v>87.58</v>
      </c>
      <c r="S891" t="n">
        <v>75.52769186800001</v>
      </c>
      <c r="T891" t="n">
        <v>79.90679333200001</v>
      </c>
      <c r="U891" t="n">
        <v/>
      </c>
      <c r="V891" t="n">
        <v>119.399537518</v>
      </c>
      <c r="W891" t="n">
        <v>29.586237023</v>
      </c>
      <c r="X891" t="n">
        <v/>
      </c>
      <c r="Y891" t="n">
        <v/>
      </c>
      <c r="Z891" t="n">
        <v>16.641147928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24.362</v>
      </c>
      <c r="AF891" t="n">
        <v>70.256058325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66.877901495</v>
      </c>
      <c r="AM891" t="n">
        <v>25.925849661</v>
      </c>
      <c r="AN891" t="n">
        <v>103.428439484</v>
      </c>
      <c r="AO891" t="n">
        <v>82.28321123400001</v>
      </c>
      <c r="AP891" t="n">
        <v>33.55604661</v>
      </c>
      <c r="AQ891" t="n">
        <v>63.292988385</v>
      </c>
      <c r="AR891" t="n">
        <v>65.97905927799999</v>
      </c>
      <c r="AS891" t="n">
        <v>35.197066911</v>
      </c>
      <c r="AT891" t="n">
        <v>64.532820706</v>
      </c>
      <c r="AU891" t="n">
        <v/>
      </c>
    </row>
    <row r="892">
      <c r="A892" s="107" t="n">
        <v>34029</v>
      </c>
      <c r="B892" t="n">
        <v>49.347497044</v>
      </c>
      <c r="C892" t="n">
        <v>59.412603886</v>
      </c>
      <c r="D892" t="n">
        <v>68.791336964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67.19440046699999</v>
      </c>
      <c r="L892" t="n">
        <v>81.53458835399999</v>
      </c>
      <c r="M892" t="n">
        <v>75.90000000000001</v>
      </c>
      <c r="N892" t="n">
        <v>90.959075799</v>
      </c>
      <c r="O892" t="n">
        <v/>
      </c>
      <c r="P892" t="n">
        <v/>
      </c>
      <c r="Q892" t="n">
        <v>63.619835187</v>
      </c>
      <c r="R892" t="n">
        <v>87.15000000000001</v>
      </c>
      <c r="S892" t="n">
        <v>74.850315826</v>
      </c>
      <c r="T892" t="n">
        <v>79.26151640099999</v>
      </c>
      <c r="U892" t="n">
        <v/>
      </c>
      <c r="V892" t="n">
        <v>117.688627586</v>
      </c>
      <c r="W892" t="n">
        <v>30.435742838</v>
      </c>
      <c r="X892" t="n">
        <v/>
      </c>
      <c r="Y892" t="n">
        <v/>
      </c>
      <c r="Z892" t="n">
        <v>16.7005806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25.231</v>
      </c>
      <c r="AF892" t="n">
        <v>70.581167593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66.472196608</v>
      </c>
      <c r="AM892" t="n">
        <v>26.14638325</v>
      </c>
      <c r="AN892" t="n">
        <v>106.450106612</v>
      </c>
      <c r="AO892" t="n">
        <v>83.571570153</v>
      </c>
      <c r="AP892" t="n">
        <v>31.812222887</v>
      </c>
      <c r="AQ892" t="n">
        <v>62.980430418</v>
      </c>
      <c r="AR892" t="n">
        <v>67.193397793</v>
      </c>
      <c r="AS892" t="n">
        <v>33.997166903</v>
      </c>
      <c r="AT892" t="n">
        <v>64.470450036</v>
      </c>
      <c r="AU892" t="n">
        <v/>
      </c>
    </row>
    <row r="893">
      <c r="A893" s="107" t="n">
        <v>34060</v>
      </c>
      <c r="B893" t="n">
        <v>49.186771867</v>
      </c>
      <c r="C893" t="n">
        <v>59.662054159</v>
      </c>
      <c r="D893" t="n">
        <v>69.47582787899999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66.69444213</v>
      </c>
      <c r="L893" t="n">
        <v>82.405451781</v>
      </c>
      <c r="M893" t="n">
        <v>75.5</v>
      </c>
      <c r="N893" t="n">
        <v>90.46207538500001</v>
      </c>
      <c r="O893" t="n">
        <v/>
      </c>
      <c r="P893" t="n">
        <v/>
      </c>
      <c r="Q893" t="n">
        <v>64.089601903</v>
      </c>
      <c r="R893" t="n">
        <v>86.58</v>
      </c>
      <c r="S893" t="n">
        <v>75.140536638</v>
      </c>
      <c r="T893" t="n">
        <v>79.369062556</v>
      </c>
      <c r="U893" t="n">
        <v/>
      </c>
      <c r="V893" t="n">
        <v>119.043860979</v>
      </c>
      <c r="W893" t="n">
        <v>30.933729006</v>
      </c>
      <c r="X893" t="n">
        <v/>
      </c>
      <c r="Y893" t="n">
        <v/>
      </c>
      <c r="Z893" t="n">
        <v>16.641147928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25.092</v>
      </c>
      <c r="AF893" t="n">
        <v>70.157687217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66.742583991</v>
      </c>
      <c r="AM893" t="n">
        <v>26.763513761</v>
      </c>
      <c r="AN893" t="n">
        <v>104.694312854</v>
      </c>
      <c r="AO893" t="n">
        <v>82.170937193</v>
      </c>
      <c r="AP893" t="n">
        <v>31.98807528</v>
      </c>
      <c r="AQ893" t="n">
        <v>63.05856991</v>
      </c>
      <c r="AR893" t="n">
        <v>66.485033659</v>
      </c>
      <c r="AS893" t="n">
        <v>35.697025248</v>
      </c>
      <c r="AT893" t="n">
        <v>64.655380561</v>
      </c>
      <c r="AU893" t="n">
        <v/>
      </c>
    </row>
    <row r="894">
      <c r="A894" s="107" t="n">
        <v>34090</v>
      </c>
      <c r="B894" t="n">
        <v>49.240500409</v>
      </c>
      <c r="C894" t="n">
        <v>58.275178349</v>
      </c>
      <c r="D894" t="n">
        <v>71.12562649500001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66.69444213</v>
      </c>
      <c r="L894" t="n">
        <v>77.18027121900001</v>
      </c>
      <c r="M894" t="n">
        <v>75.3</v>
      </c>
      <c r="N894" t="n">
        <v>91.19407599500001</v>
      </c>
      <c r="O894" t="n">
        <v/>
      </c>
      <c r="P894" t="n">
        <v/>
      </c>
      <c r="Q894" t="n">
        <v>63.340212142</v>
      </c>
      <c r="R894" t="n">
        <v>86.48999999999999</v>
      </c>
      <c r="S894" t="n">
        <v>75.25052988500001</v>
      </c>
      <c r="T894" t="n">
        <v>80.014339487</v>
      </c>
      <c r="U894" t="n">
        <v/>
      </c>
      <c r="V894" t="n">
        <v>119.579021554</v>
      </c>
      <c r="W894" t="n">
        <v>30.08422319</v>
      </c>
      <c r="X894" t="n">
        <v/>
      </c>
      <c r="Y894" t="n">
        <v/>
      </c>
      <c r="Z894" t="n">
        <v>16.641147928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25.028</v>
      </c>
      <c r="AF894" t="n">
        <v>72.45567659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66.871465969</v>
      </c>
      <c r="AM894" t="n">
        <v>27.691083859</v>
      </c>
      <c r="AN894" t="n">
        <v>102.767773787</v>
      </c>
      <c r="AO894" t="n">
        <v>82.164505671</v>
      </c>
      <c r="AP894" t="n">
        <v>31.711475297</v>
      </c>
      <c r="AQ894" t="n">
        <v>62.902290926</v>
      </c>
      <c r="AR894" t="n">
        <v>67.496982421</v>
      </c>
      <c r="AS894" t="n">
        <v>35.297058578</v>
      </c>
      <c r="AT894" t="n">
        <v>64.39677530100001</v>
      </c>
      <c r="AU894" t="n">
        <v/>
      </c>
    </row>
    <row r="895">
      <c r="A895" s="107" t="n">
        <v>34121</v>
      </c>
      <c r="B895" t="n">
        <v>47.834511317</v>
      </c>
      <c r="C895" t="n">
        <v>59.20358538</v>
      </c>
      <c r="D895" t="n">
        <v>70.581543973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66.194483793</v>
      </c>
      <c r="L895" t="n">
        <v>82.296593852</v>
      </c>
      <c r="M895" t="n">
        <v>74.90000000000001</v>
      </c>
      <c r="N895" t="n">
        <v>90.501075418</v>
      </c>
      <c r="O895" t="n">
        <v/>
      </c>
      <c r="P895" t="n">
        <v/>
      </c>
      <c r="Q895" t="n">
        <v>65.20809408300001</v>
      </c>
      <c r="R895" t="n">
        <v>85.78</v>
      </c>
      <c r="S895" t="n">
        <v>74.84493784199999</v>
      </c>
      <c r="T895" t="n">
        <v>79.58415486600001</v>
      </c>
      <c r="U895" t="n">
        <v/>
      </c>
      <c r="V895" t="n">
        <v>120.388192667</v>
      </c>
      <c r="W895" t="n">
        <v>31.197368742</v>
      </c>
      <c r="X895" t="n">
        <v/>
      </c>
      <c r="Y895" t="n">
        <v/>
      </c>
      <c r="Z895" t="n">
        <v>16.22511923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25.296</v>
      </c>
      <c r="AF895" t="n">
        <v>71.85876994900001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66.594888407</v>
      </c>
      <c r="AM895" t="n">
        <v>27.394879321</v>
      </c>
      <c r="AN895" t="n">
        <v>102.694250069</v>
      </c>
      <c r="AO895" t="n">
        <v>80.716148726</v>
      </c>
      <c r="AP895" t="n">
        <v>31.178127326</v>
      </c>
      <c r="AQ895" t="n">
        <v>62.277174991</v>
      </c>
      <c r="AR895" t="n">
        <v>68.002956802</v>
      </c>
      <c r="AS895" t="n">
        <v>36.096991917</v>
      </c>
      <c r="AT895" t="n">
        <v>64.55057007000001</v>
      </c>
      <c r="AU895" t="n">
        <v/>
      </c>
    </row>
    <row r="896">
      <c r="A896" s="107" t="n">
        <v>34151</v>
      </c>
      <c r="B896" t="n">
        <v>48.831820017</v>
      </c>
      <c r="C896" t="n">
        <v>57.841004794</v>
      </c>
      <c r="D896" t="n">
        <v>70.99399362699999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64.69460878300001</v>
      </c>
      <c r="L896" t="n">
        <v>87.08634270100001</v>
      </c>
      <c r="M896" t="n">
        <v>74.5</v>
      </c>
      <c r="N896" t="n">
        <v>91.366076138</v>
      </c>
      <c r="O896" t="n">
        <v/>
      </c>
      <c r="P896" t="n">
        <v/>
      </c>
      <c r="Q896" t="n">
        <v>66.035778296</v>
      </c>
      <c r="R896" t="n">
        <v>86.95999999999999</v>
      </c>
      <c r="S896" t="n">
        <v>74.72156194999999</v>
      </c>
      <c r="T896" t="n">
        <v>80.22943179799999</v>
      </c>
      <c r="U896" t="n">
        <v/>
      </c>
      <c r="V896" t="n">
        <v>114.905724192</v>
      </c>
      <c r="W896" t="n">
        <v>31.724648213</v>
      </c>
      <c r="X896" t="n">
        <v/>
      </c>
      <c r="Y896" t="n">
        <v/>
      </c>
      <c r="Z896" t="n">
        <v>16.462849915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25.628</v>
      </c>
      <c r="AF896" t="n">
        <v>71.07880030299999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66.547342679</v>
      </c>
      <c r="AM896" t="n">
        <v>26.260327582</v>
      </c>
      <c r="AN896" t="n">
        <v>103.800213037</v>
      </c>
      <c r="AO896" t="n">
        <v>77.781530598</v>
      </c>
      <c r="AP896" t="n">
        <v>30.37358116</v>
      </c>
      <c r="AQ896" t="n">
        <v>62.66787245</v>
      </c>
      <c r="AR896" t="n">
        <v>69.11610044</v>
      </c>
      <c r="AS896" t="n">
        <v>36.596950254</v>
      </c>
      <c r="AT896" t="n">
        <v>64.70624884999999</v>
      </c>
      <c r="AU896" t="n">
        <v/>
      </c>
    </row>
    <row r="897">
      <c r="A897" s="107" t="n">
        <v>34182</v>
      </c>
      <c r="B897" t="n">
        <v>49.319567363</v>
      </c>
      <c r="C897" t="n">
        <v>58.921842087</v>
      </c>
      <c r="D897" t="n">
        <v>70.221747466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67.494375469</v>
      </c>
      <c r="L897" t="n">
        <v>85.888905489</v>
      </c>
      <c r="M897" t="n">
        <v>75.5</v>
      </c>
      <c r="N897" t="n">
        <v>90.001075001</v>
      </c>
      <c r="O897" t="n">
        <v/>
      </c>
      <c r="P897" t="n">
        <v/>
      </c>
      <c r="Q897" t="n">
        <v>65.57719650200001</v>
      </c>
      <c r="R897" t="n">
        <v>86.36</v>
      </c>
      <c r="S897" t="n">
        <v>74.983701962</v>
      </c>
      <c r="T897" t="n">
        <v>80.444524108</v>
      </c>
      <c r="U897" t="n">
        <v/>
      </c>
      <c r="V897" t="n">
        <v>117.365954768</v>
      </c>
      <c r="W897" t="n">
        <v>29.93775667</v>
      </c>
      <c r="X897" t="n">
        <v/>
      </c>
      <c r="Y897" t="n">
        <v/>
      </c>
      <c r="Z897" t="n">
        <v>16.641147928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25.231</v>
      </c>
      <c r="AF897" t="n">
        <v>64.451777752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66.5752727</v>
      </c>
      <c r="AM897" t="n">
        <v>26.666630275</v>
      </c>
      <c r="AN897" t="n">
        <v>101.369202742</v>
      </c>
      <c r="AO897" t="n">
        <v>75.15267139300001</v>
      </c>
      <c r="AP897" t="n">
        <v>32.328368469</v>
      </c>
      <c r="AQ897" t="n">
        <v>65.559033648</v>
      </c>
      <c r="AR897" t="n">
        <v>69.419685069</v>
      </c>
      <c r="AS897" t="n">
        <v>34.297141905</v>
      </c>
      <c r="AT897" t="n">
        <v>64.645960507</v>
      </c>
      <c r="AU897" t="n">
        <v/>
      </c>
    </row>
    <row r="898">
      <c r="A898" s="107" t="n">
        <v>34213</v>
      </c>
      <c r="B898" t="n">
        <v>49.485182344</v>
      </c>
      <c r="C898" t="n">
        <v>59.67005685</v>
      </c>
      <c r="D898" t="n">
        <v>69.940930681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67.19440046699999</v>
      </c>
      <c r="L898" t="n">
        <v>86.106621346</v>
      </c>
      <c r="M898" t="n">
        <v>75.8</v>
      </c>
      <c r="N898" t="n">
        <v>92.524077103</v>
      </c>
      <c r="O898" t="n">
        <v/>
      </c>
      <c r="P898" t="n">
        <v/>
      </c>
      <c r="Q898" t="n">
        <v>66.941756961</v>
      </c>
      <c r="R898" t="n">
        <v>86.95</v>
      </c>
      <c r="S898" t="n">
        <v>75.2612276</v>
      </c>
      <c r="T898" t="n">
        <v>80.767162574</v>
      </c>
      <c r="U898" t="n">
        <v/>
      </c>
      <c r="V898" t="n">
        <v>125.666799588</v>
      </c>
      <c r="W898" t="n">
        <v>30.465036142</v>
      </c>
      <c r="X898" t="n">
        <v/>
      </c>
      <c r="Y898" t="n">
        <v/>
      </c>
      <c r="Z898" t="n">
        <v>16.819445942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26.294</v>
      </c>
      <c r="AF898" t="n">
        <v>70.196546841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67.16147574199999</v>
      </c>
      <c r="AM898" t="n">
        <v>27.058034479</v>
      </c>
      <c r="AN898" t="n">
        <v>104.203953181</v>
      </c>
      <c r="AO898" t="n">
        <v>73.90951142999999</v>
      </c>
      <c r="AP898" t="n">
        <v>31.704010051</v>
      </c>
      <c r="AQ898" t="n">
        <v>65.012057205</v>
      </c>
      <c r="AR898" t="n">
        <v>69.520879945</v>
      </c>
      <c r="AS898" t="n">
        <v>36.496958587</v>
      </c>
      <c r="AT898" t="n">
        <v>64.97675312600001</v>
      </c>
      <c r="AU898" t="n">
        <v/>
      </c>
    </row>
    <row r="899">
      <c r="A899" s="107" t="n">
        <v>34243</v>
      </c>
      <c r="B899" t="n">
        <v>49.9216028</v>
      </c>
      <c r="C899" t="n">
        <v>59.233768161</v>
      </c>
      <c r="D899" t="n">
        <v>70.590319498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67.19440046699999</v>
      </c>
      <c r="L899" t="n">
        <v>80.990298712</v>
      </c>
      <c r="M899" t="n">
        <v>76</v>
      </c>
      <c r="N899" t="n">
        <v>93.191077659</v>
      </c>
      <c r="O899" t="n">
        <v/>
      </c>
      <c r="P899" t="n">
        <v/>
      </c>
      <c r="Q899" t="n">
        <v>67.601667347</v>
      </c>
      <c r="R899" t="n">
        <v>87.31</v>
      </c>
      <c r="S899" t="n">
        <v>75.35697498899999</v>
      </c>
      <c r="T899" t="n">
        <v>80.87470872900001</v>
      </c>
      <c r="U899" t="n">
        <v/>
      </c>
      <c r="V899" t="n">
        <v>119.580116464</v>
      </c>
      <c r="W899" t="n">
        <v>30.406449534</v>
      </c>
      <c r="X899" t="n">
        <v/>
      </c>
      <c r="Y899" t="n">
        <v/>
      </c>
      <c r="Z899" t="n">
        <v>16.760013271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26.091</v>
      </c>
      <c r="AF899" t="n">
        <v>69.78872243399999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67.195519373</v>
      </c>
      <c r="AM899" t="n">
        <v>26.813082393</v>
      </c>
      <c r="AN899" t="n">
        <v>100.050928917</v>
      </c>
      <c r="AO899" t="n">
        <v>73.477178913</v>
      </c>
      <c r="AP899" t="n">
        <v>31.074576118</v>
      </c>
      <c r="AQ899" t="n">
        <v>67.35624196000001</v>
      </c>
      <c r="AR899" t="n">
        <v>69.520879945</v>
      </c>
      <c r="AS899" t="n">
        <v>36.896925256</v>
      </c>
      <c r="AT899" t="n">
        <v>65.45965481899999</v>
      </c>
      <c r="AU899" t="n">
        <v/>
      </c>
    </row>
    <row r="900">
      <c r="A900" s="107" t="n">
        <v>34274</v>
      </c>
      <c r="B900" t="n">
        <v>49.824535577</v>
      </c>
      <c r="C900" t="n">
        <v>58.939075633</v>
      </c>
      <c r="D900" t="n">
        <v>70.16031879400001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66.594450462</v>
      </c>
      <c r="L900" t="n">
        <v>81.643446282</v>
      </c>
      <c r="M900" t="n">
        <v>75.90000000000001</v>
      </c>
      <c r="N900" t="n">
        <v>93.628078023</v>
      </c>
      <c r="O900" t="n">
        <v/>
      </c>
      <c r="P900" t="n">
        <v/>
      </c>
      <c r="Q900" t="n">
        <v>68.317502342</v>
      </c>
      <c r="R900" t="n">
        <v>86.70999999999999</v>
      </c>
      <c r="S900" t="n">
        <v>75.43393059</v>
      </c>
      <c r="T900" t="n">
        <v>81.627531816</v>
      </c>
      <c r="U900" t="n">
        <v/>
      </c>
      <c r="V900" t="n">
        <v>120.053714041</v>
      </c>
      <c r="W900" t="n">
        <v>31.25595535</v>
      </c>
      <c r="X900" t="n">
        <v/>
      </c>
      <c r="Y900" t="n">
        <v/>
      </c>
      <c r="Z900" t="n">
        <v>16.760013271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26.627</v>
      </c>
      <c r="AF900" t="n">
        <v>67.06237484099999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67.321080162</v>
      </c>
      <c r="AM900" t="n">
        <v>27.513250022</v>
      </c>
      <c r="AN900" t="n">
        <v>103.067510633</v>
      </c>
      <c r="AO900" t="n">
        <v>71.088068577</v>
      </c>
      <c r="AP900" t="n">
        <v>32.320833969</v>
      </c>
      <c r="AQ900" t="n">
        <v>65.402754665</v>
      </c>
      <c r="AR900" t="n">
        <v>70.02685432600001</v>
      </c>
      <c r="AS900" t="n">
        <v>35.497041913</v>
      </c>
      <c r="AT900" t="n">
        <v>65.77101238</v>
      </c>
      <c r="AU900" t="n">
        <v/>
      </c>
    </row>
    <row r="901">
      <c r="A901" s="107" t="n">
        <v>34304</v>
      </c>
      <c r="B901" t="n">
        <v>49.123895284</v>
      </c>
      <c r="C901" t="n">
        <v>59.536494854</v>
      </c>
      <c r="D901" t="n">
        <v>71.35379013399999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67.394383801</v>
      </c>
      <c r="L901" t="n">
        <v>79.7928615</v>
      </c>
      <c r="M901" t="n">
        <v>76</v>
      </c>
      <c r="N901" t="n">
        <v>93.884078237</v>
      </c>
      <c r="O901" t="n">
        <v/>
      </c>
      <c r="P901" t="n">
        <v/>
      </c>
      <c r="Q901" t="n">
        <v>68.608310309</v>
      </c>
      <c r="R901" t="n">
        <v>85.94</v>
      </c>
      <c r="S901" t="n">
        <v>75.541101181</v>
      </c>
      <c r="T901" t="n">
        <v>81.842624126</v>
      </c>
      <c r="U901" t="n">
        <v/>
      </c>
      <c r="V901" t="n">
        <v>118.742259407</v>
      </c>
      <c r="W901" t="n">
        <v>31.988287949</v>
      </c>
      <c r="X901" t="n">
        <v/>
      </c>
      <c r="Y901" t="n">
        <v/>
      </c>
      <c r="Z901" t="n">
        <v>17.23547464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27.227</v>
      </c>
      <c r="AF901" t="n">
        <v>70.414503164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67.53643389299999</v>
      </c>
      <c r="AM901" t="n">
        <v>27.689029038</v>
      </c>
      <c r="AN901" t="n">
        <v>105.110136065</v>
      </c>
      <c r="AO901" t="n">
        <v>66.718890335</v>
      </c>
      <c r="AP901" t="n">
        <v>32.57565168</v>
      </c>
      <c r="AQ901" t="n">
        <v>67.043683993</v>
      </c>
      <c r="AR901" t="n">
        <v>71.34238771699999</v>
      </c>
      <c r="AS901" t="n">
        <v>38.296808599</v>
      </c>
      <c r="AT901" t="n">
        <v>66.142459966</v>
      </c>
      <c r="AU901" t="n">
        <v/>
      </c>
    </row>
    <row r="902">
      <c r="A902" s="107" t="n">
        <v>34335</v>
      </c>
      <c r="B902" t="n">
        <v>49.569698682</v>
      </c>
      <c r="C902" t="n">
        <v>61.312516439</v>
      </c>
      <c r="D902" t="n">
        <v>72.450730703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67.09440879900001</v>
      </c>
      <c r="L902" t="n">
        <v>89.15464334000001</v>
      </c>
      <c r="M902" t="n">
        <v>76.09999999999999</v>
      </c>
      <c r="N902" t="n">
        <v>93.609078008</v>
      </c>
      <c r="O902" t="n">
        <v/>
      </c>
      <c r="P902" t="n">
        <v/>
      </c>
      <c r="Q902" t="n">
        <v>69.16755639900001</v>
      </c>
      <c r="R902" t="n">
        <v>87.53</v>
      </c>
      <c r="S902" t="n">
        <v>75.673748827</v>
      </c>
      <c r="T902" t="n">
        <v>82.272808747</v>
      </c>
      <c r="U902" t="n">
        <v/>
      </c>
      <c r="V902" t="n">
        <v>116.815081544</v>
      </c>
      <c r="W902" t="n">
        <v>32.134754469</v>
      </c>
      <c r="X902" t="n">
        <v/>
      </c>
      <c r="Y902" t="n">
        <v/>
      </c>
      <c r="Z902" t="n">
        <v>17.176041969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26.959</v>
      </c>
      <c r="AF902" t="n">
        <v>73.639815257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67.828130933</v>
      </c>
      <c r="AM902" t="n">
        <v>28.566004469</v>
      </c>
      <c r="AN902" t="n">
        <v>103.258002026</v>
      </c>
      <c r="AO902" t="n">
        <v>60.632009896</v>
      </c>
      <c r="AP902" t="n">
        <v>32.002058561</v>
      </c>
      <c r="AQ902" t="n">
        <v>65.48089415600001</v>
      </c>
      <c r="AR902" t="n">
        <v>71.747167221</v>
      </c>
      <c r="AS902" t="n">
        <v>38.196816932</v>
      </c>
      <c r="AT902" t="n">
        <v>66.353270849</v>
      </c>
      <c r="AU902" t="n">
        <v/>
      </c>
    </row>
    <row r="903">
      <c r="A903" s="107" t="n">
        <v>34366</v>
      </c>
      <c r="B903" t="n">
        <v>50.640475599</v>
      </c>
      <c r="C903" t="n">
        <v>60.866067389</v>
      </c>
      <c r="D903" t="n">
        <v>71.22215726500001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68.094325473</v>
      </c>
      <c r="L903" t="n">
        <v>87.412916486</v>
      </c>
      <c r="M903" t="n">
        <v>77.2</v>
      </c>
      <c r="N903" t="n">
        <v>96.217080181</v>
      </c>
      <c r="O903" t="n">
        <v/>
      </c>
      <c r="P903" t="n">
        <v/>
      </c>
      <c r="Q903" t="n">
        <v>69.514288975</v>
      </c>
      <c r="R903" t="n">
        <v>87.26000000000001</v>
      </c>
      <c r="S903" t="n">
        <v>76.09223119000001</v>
      </c>
      <c r="T903" t="n">
        <v>82.595447213</v>
      </c>
      <c r="U903" t="n">
        <v/>
      </c>
      <c r="V903" t="n">
        <v>118.911478135</v>
      </c>
      <c r="W903" t="n">
        <v>32.017581253</v>
      </c>
      <c r="X903" t="n">
        <v/>
      </c>
      <c r="Y903" t="n">
        <v/>
      </c>
      <c r="Z903" t="n">
        <v>18.24583005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27.024</v>
      </c>
      <c r="AF903" t="n">
        <v>72.154607895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68.064284489</v>
      </c>
      <c r="AM903" t="n">
        <v>28.917160171</v>
      </c>
      <c r="AN903" t="n">
        <v>103.05304611</v>
      </c>
      <c r="AO903" t="n">
        <v>63.098219135</v>
      </c>
      <c r="AP903" t="n">
        <v>32.792066287</v>
      </c>
      <c r="AQ903" t="n">
        <v>66.106010091</v>
      </c>
      <c r="AR903" t="n">
        <v>73.265090364</v>
      </c>
      <c r="AS903" t="n">
        <v>34.09715857</v>
      </c>
      <c r="AT903" t="n">
        <v>66.400668592</v>
      </c>
      <c r="AU903" t="n">
        <v/>
      </c>
    </row>
    <row r="904">
      <c r="A904" s="107" t="n">
        <v>34394</v>
      </c>
      <c r="B904" t="n">
        <v>49.685007526</v>
      </c>
      <c r="C904" t="n">
        <v>61.04865892</v>
      </c>
      <c r="D904" t="n">
        <v>71.91542370499999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67.794350471</v>
      </c>
      <c r="L904" t="n">
        <v>89.80779090999999</v>
      </c>
      <c r="M904" t="n">
        <v>77.3</v>
      </c>
      <c r="N904" t="n">
        <v>96.206080172</v>
      </c>
      <c r="O904" t="n">
        <v/>
      </c>
      <c r="P904" t="n">
        <v/>
      </c>
      <c r="Q904" t="n">
        <v>70.129459674</v>
      </c>
      <c r="R904" t="n">
        <v>87.23999999999999</v>
      </c>
      <c r="S904" t="n">
        <v>76.676667847</v>
      </c>
      <c r="T904" t="n">
        <v>82.918085678</v>
      </c>
      <c r="U904" t="n">
        <v/>
      </c>
      <c r="V904" t="n">
        <v>118.987745385</v>
      </c>
      <c r="W904" t="n">
        <v>31.988287949</v>
      </c>
      <c r="X904" t="n">
        <v/>
      </c>
      <c r="Y904" t="n">
        <v/>
      </c>
      <c r="Z904" t="n">
        <v>17.948666694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27.495</v>
      </c>
      <c r="AF904" t="n">
        <v>73.811224502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68.500584015</v>
      </c>
      <c r="AM904" t="n">
        <v>29.360368348</v>
      </c>
      <c r="AN904" t="n">
        <v>103.086137818</v>
      </c>
      <c r="AO904" t="n">
        <v>61.571358144</v>
      </c>
      <c r="AP904" t="n">
        <v>33.175584772</v>
      </c>
      <c r="AQ904" t="n">
        <v>68.684613322</v>
      </c>
      <c r="AR904" t="n">
        <v>73.669869869</v>
      </c>
      <c r="AS904" t="n">
        <v>34.09715857</v>
      </c>
      <c r="AT904" t="n">
        <v>67.064336156</v>
      </c>
      <c r="AU904" t="n">
        <v/>
      </c>
    </row>
    <row r="905">
      <c r="A905" s="107" t="n">
        <v>34425</v>
      </c>
      <c r="B905" t="n">
        <v>49.184457721</v>
      </c>
      <c r="C905" t="n">
        <v>59.958918584</v>
      </c>
      <c r="D905" t="n">
        <v>71.599504821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68.59428380999999</v>
      </c>
      <c r="L905" t="n">
        <v>86.65091098800001</v>
      </c>
      <c r="M905" t="n">
        <v>78.7</v>
      </c>
      <c r="N905" t="n">
        <v>97.706081422</v>
      </c>
      <c r="O905" t="n">
        <v/>
      </c>
      <c r="P905" t="n">
        <v/>
      </c>
      <c r="Q905" t="n">
        <v>71.415725681</v>
      </c>
      <c r="R905" t="n">
        <v>89.65000000000001</v>
      </c>
      <c r="S905" t="n">
        <v>77.449743039</v>
      </c>
      <c r="T905" t="n">
        <v>83.99354723099999</v>
      </c>
      <c r="U905" t="n">
        <v/>
      </c>
      <c r="V905" t="n">
        <v>120.166836586</v>
      </c>
      <c r="W905" t="n">
        <v>32.251927685</v>
      </c>
      <c r="X905" t="n">
        <v>26.953364531</v>
      </c>
      <c r="Y905" t="n">
        <v/>
      </c>
      <c r="Z905" t="n">
        <v>18.483560735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27.357</v>
      </c>
      <c r="AF905" t="n">
        <v>74.651534477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69.15676855300001</v>
      </c>
      <c r="AM905" t="n">
        <v>29.545951809</v>
      </c>
      <c r="AN905" t="n">
        <v>102.870073625</v>
      </c>
      <c r="AO905" t="n">
        <v>60.67143885</v>
      </c>
      <c r="AP905" t="n">
        <v>32.49540832</v>
      </c>
      <c r="AQ905" t="n">
        <v>67.434381452</v>
      </c>
      <c r="AR905" t="n">
        <v>73.973454498</v>
      </c>
      <c r="AS905" t="n">
        <v>32.097325223</v>
      </c>
      <c r="AT905" t="n">
        <v>67.460870833</v>
      </c>
      <c r="AU905" t="n">
        <v/>
      </c>
    </row>
    <row r="906">
      <c r="A906" s="107" t="n">
        <v>34455</v>
      </c>
      <c r="B906" t="n">
        <v>52.139420219</v>
      </c>
      <c r="C906" t="n">
        <v>59.75175465</v>
      </c>
      <c r="D906" t="n">
        <v>73.442364977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68.294308808</v>
      </c>
      <c r="L906" t="n">
        <v>92.311523263</v>
      </c>
      <c r="M906" t="n">
        <v>78.5</v>
      </c>
      <c r="N906" t="n">
        <v>97.027080856</v>
      </c>
      <c r="O906" t="n">
        <v/>
      </c>
      <c r="P906" t="n">
        <v/>
      </c>
      <c r="Q906" t="n">
        <v>72.13156067600001</v>
      </c>
      <c r="R906" t="n">
        <v>89.58</v>
      </c>
      <c r="S906" t="n">
        <v>77.644195381</v>
      </c>
      <c r="T906" t="n">
        <v>85.069008783</v>
      </c>
      <c r="U906" t="n">
        <v/>
      </c>
      <c r="V906" t="n">
        <v>118.692533089</v>
      </c>
      <c r="W906" t="n">
        <v>32.662033941</v>
      </c>
      <c r="X906" t="n">
        <v>27.388823624</v>
      </c>
      <c r="Y906" t="n">
        <v/>
      </c>
      <c r="Z906" t="n">
        <v>18.305262721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28.226</v>
      </c>
      <c r="AF906" t="n">
        <v>75.474986398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69.31061198899999</v>
      </c>
      <c r="AM906" t="n">
        <v>29.849884993</v>
      </c>
      <c r="AN906" t="n">
        <v>103.77448814</v>
      </c>
      <c r="AO906" t="n">
        <v>59.54322203</v>
      </c>
      <c r="AP906" t="n">
        <v>33.804086083</v>
      </c>
      <c r="AQ906" t="n">
        <v>69.544147732</v>
      </c>
      <c r="AR906" t="n">
        <v>74.681818631</v>
      </c>
      <c r="AS906" t="n">
        <v>31.897341888</v>
      </c>
      <c r="AT906" t="n">
        <v>67.77788042500001</v>
      </c>
      <c r="AU906" t="n">
        <v/>
      </c>
    </row>
    <row r="907">
      <c r="A907" s="107" t="n">
        <v>34486</v>
      </c>
      <c r="B907" t="n">
        <v>50.783820468</v>
      </c>
      <c r="C907" t="n">
        <v>60.129899716</v>
      </c>
      <c r="D907" t="n">
        <v>73.731957287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68.794267144</v>
      </c>
      <c r="L907" t="n">
        <v>92.093807406</v>
      </c>
      <c r="M907" t="n">
        <v>79.09999999999999</v>
      </c>
      <c r="N907" t="n">
        <v>98.58508215400001</v>
      </c>
      <c r="O907" t="n">
        <v/>
      </c>
      <c r="P907" t="n">
        <v/>
      </c>
      <c r="Q907" t="n">
        <v>72.679621844</v>
      </c>
      <c r="R907" t="n">
        <v>90.05</v>
      </c>
      <c r="S907" t="n">
        <v>78.205602641</v>
      </c>
      <c r="T907" t="n">
        <v>84.101093386</v>
      </c>
      <c r="U907" t="n">
        <v/>
      </c>
      <c r="V907" t="n">
        <v>119.094763013</v>
      </c>
      <c r="W907" t="n">
        <v>33.013553589</v>
      </c>
      <c r="X907" t="n">
        <v>28.108768781</v>
      </c>
      <c r="Y907" t="n">
        <v/>
      </c>
      <c r="Z907" t="n">
        <v>19.018454775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28.623</v>
      </c>
      <c r="AF907" t="n">
        <v>73.28057743700001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69.726333872</v>
      </c>
      <c r="AM907" t="n">
        <v>30.139531168</v>
      </c>
      <c r="AN907" t="n">
        <v>102.7954583</v>
      </c>
      <c r="AO907" t="n">
        <v>59.099679859</v>
      </c>
      <c r="AP907" t="n">
        <v>34.193672276</v>
      </c>
      <c r="AQ907" t="n">
        <v>71.57577451900001</v>
      </c>
      <c r="AR907" t="n">
        <v>75.794962269</v>
      </c>
      <c r="AS907" t="n">
        <v>30.197483543</v>
      </c>
      <c r="AT907" t="n">
        <v>68.22121789400001</v>
      </c>
      <c r="AU907" t="n">
        <v/>
      </c>
    </row>
    <row r="908">
      <c r="A908" s="107" t="n">
        <v>34516</v>
      </c>
      <c r="B908" t="n">
        <v>51.036101892</v>
      </c>
      <c r="C908" t="n">
        <v>55.010369788</v>
      </c>
      <c r="D908" t="n">
        <v>74.07420274499999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68.49429214200001</v>
      </c>
      <c r="L908" t="n">
        <v>91.00522812299999</v>
      </c>
      <c r="M908" t="n">
        <v>79.3</v>
      </c>
      <c r="N908" t="n">
        <v>99.841083201</v>
      </c>
      <c r="O908" t="n">
        <v/>
      </c>
      <c r="P908" t="n">
        <v/>
      </c>
      <c r="Q908" t="n">
        <v>73.395456839</v>
      </c>
      <c r="R908" t="n">
        <v>90.88</v>
      </c>
      <c r="S908" t="n">
        <v>78.467163146</v>
      </c>
      <c r="T908" t="n">
        <v>84.531278007</v>
      </c>
      <c r="U908" t="n">
        <v/>
      </c>
      <c r="V908" t="n">
        <v>120.798031679</v>
      </c>
      <c r="W908" t="n">
        <v>33.39436654</v>
      </c>
      <c r="X908" t="n">
        <v>28.346069775</v>
      </c>
      <c r="Y908" t="n">
        <v/>
      </c>
      <c r="Z908" t="n">
        <v>18.424128064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27.56</v>
      </c>
      <c r="AF908" t="n">
        <v>71.89163892000001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69.876495322</v>
      </c>
      <c r="AM908" t="n">
        <v>30.641432098</v>
      </c>
      <c r="AN908" t="n">
        <v>103.036233447</v>
      </c>
      <c r="AO908" t="n">
        <v>58.464274523</v>
      </c>
      <c r="AP908" t="n">
        <v>35.581604842</v>
      </c>
      <c r="AQ908" t="n">
        <v>70.247403158</v>
      </c>
      <c r="AR908" t="n">
        <v>73.872259621</v>
      </c>
      <c r="AS908" t="n">
        <v>31.197400217</v>
      </c>
      <c r="AT908" t="n">
        <v>68.306593327</v>
      </c>
      <c r="AU908" t="n">
        <v/>
      </c>
    </row>
    <row r="909">
      <c r="A909" s="107" t="n">
        <v>34547</v>
      </c>
      <c r="B909" t="n">
        <v>51.018054418</v>
      </c>
      <c r="C909" t="n">
        <v>61.84234058</v>
      </c>
      <c r="D909" t="n">
        <v>77.47910627100001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68.49429214200001</v>
      </c>
      <c r="L909" t="n">
        <v>87.195200629</v>
      </c>
      <c r="M909" t="n">
        <v>79.5</v>
      </c>
      <c r="N909" t="n">
        <v>99.97808331500001</v>
      </c>
      <c r="O909" t="n">
        <v/>
      </c>
      <c r="P909" t="n">
        <v/>
      </c>
      <c r="Q909" t="n">
        <v>73.395456839</v>
      </c>
      <c r="R909" t="n">
        <v>91.38</v>
      </c>
      <c r="S909" t="n">
        <v>78.916624235</v>
      </c>
      <c r="T909" t="n">
        <v>84.85391647199999</v>
      </c>
      <c r="U909" t="n">
        <v/>
      </c>
      <c r="V909" t="n">
        <v>121.81014536</v>
      </c>
      <c r="W909" t="n">
        <v>33.921646012</v>
      </c>
      <c r="X909" t="n">
        <v>28.530002555</v>
      </c>
      <c r="Y909" t="n">
        <v/>
      </c>
      <c r="Z909" t="n">
        <v>19.196752789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28.29</v>
      </c>
      <c r="AF909" t="n">
        <v>77.780522142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70.541900446</v>
      </c>
      <c r="AM909" t="n">
        <v>31.655065779</v>
      </c>
      <c r="AN909" t="n">
        <v>103.302822386</v>
      </c>
      <c r="AO909" t="n">
        <v>59.23769255</v>
      </c>
      <c r="AP909" t="n">
        <v>33.707185222</v>
      </c>
      <c r="AQ909" t="n">
        <v>70.091124175</v>
      </c>
      <c r="AR909" t="n">
        <v>75.390182764</v>
      </c>
      <c r="AS909" t="n">
        <v>33.397216899</v>
      </c>
      <c r="AT909" t="n">
        <v>68.757665155</v>
      </c>
      <c r="AU909" t="n">
        <v/>
      </c>
    </row>
    <row r="910">
      <c r="A910" s="107" t="n">
        <v>34578</v>
      </c>
      <c r="B910" t="n">
        <v>50.937019202</v>
      </c>
      <c r="C910" t="n">
        <v>61.068409936</v>
      </c>
      <c r="D910" t="n">
        <v>77.909106974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69.494208816</v>
      </c>
      <c r="L910" t="n">
        <v>88.93692748300001</v>
      </c>
      <c r="M910" t="n">
        <v>80</v>
      </c>
      <c r="N910" t="n">
        <v>100.023083353</v>
      </c>
      <c r="O910" t="n">
        <v/>
      </c>
      <c r="P910" t="n">
        <v/>
      </c>
      <c r="Q910" t="n">
        <v>75.14030463899999</v>
      </c>
      <c r="R910" t="n">
        <v>91.09</v>
      </c>
      <c r="S910" t="n">
        <v>79.069498602</v>
      </c>
      <c r="T910" t="n">
        <v>85.714285714</v>
      </c>
      <c r="U910" t="n">
        <v/>
      </c>
      <c r="V910" t="n">
        <v>126.644319661</v>
      </c>
      <c r="W910" t="n">
        <v>34.27316566</v>
      </c>
      <c r="X910" t="n">
        <v>28.745241679</v>
      </c>
      <c r="Y910" t="n">
        <v/>
      </c>
      <c r="Z910" t="n">
        <v>18.24583005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29.224</v>
      </c>
      <c r="AF910" t="n">
        <v>71.74254722000001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70.706212393</v>
      </c>
      <c r="AM910" t="n">
        <v>31.207643285</v>
      </c>
      <c r="AN910" t="n">
        <v>106.245196721</v>
      </c>
      <c r="AO910" t="n">
        <v>58.443565499</v>
      </c>
      <c r="AP910" t="n">
        <v>32.646726303</v>
      </c>
      <c r="AQ910" t="n">
        <v>68.05949738699999</v>
      </c>
      <c r="AR910" t="n">
        <v>78.830808555</v>
      </c>
      <c r="AS910" t="n">
        <v>33.997166903</v>
      </c>
      <c r="AT910" t="n">
        <v>68.972045743</v>
      </c>
      <c r="AU910" t="n">
        <v/>
      </c>
    </row>
    <row r="911">
      <c r="A911" s="107" t="n">
        <v>34608</v>
      </c>
      <c r="B911" t="n">
        <v>52.860266477</v>
      </c>
      <c r="C911" t="n">
        <v>60.650435238</v>
      </c>
      <c r="D911" t="n">
        <v>77.961760121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70.794100492</v>
      </c>
      <c r="L911" t="n">
        <v>90.243222624</v>
      </c>
      <c r="M911" t="n">
        <v>80.90000000000001</v>
      </c>
      <c r="N911" t="n">
        <v>101.018084182</v>
      </c>
      <c r="O911" t="n">
        <v/>
      </c>
      <c r="P911" t="n">
        <v/>
      </c>
      <c r="Q911" t="n">
        <v>75.464667371</v>
      </c>
      <c r="R911" t="n">
        <v>91.98</v>
      </c>
      <c r="S911" t="n">
        <v>79.728891945</v>
      </c>
      <c r="T911" t="n">
        <v>85.82183187</v>
      </c>
      <c r="U911" t="n">
        <v/>
      </c>
      <c r="V911" t="n">
        <v>122.371714513</v>
      </c>
      <c r="W911" t="n">
        <v>34.185285748</v>
      </c>
      <c r="X911" t="n">
        <v>29.144117399</v>
      </c>
      <c r="Y911" t="n">
        <v/>
      </c>
      <c r="Z911" t="n">
        <v>19.375050802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29.621</v>
      </c>
      <c r="AF911" t="n">
        <v>72.730295232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71.244306311</v>
      </c>
      <c r="AM911" t="n">
        <v>30.556084162</v>
      </c>
      <c r="AN911" t="n">
        <v>102.280367014</v>
      </c>
      <c r="AO911" t="n">
        <v>59.464008274</v>
      </c>
      <c r="AP911" t="n">
        <v>33.637835043</v>
      </c>
      <c r="AQ911" t="n">
        <v>67.512520944</v>
      </c>
      <c r="AR911" t="n">
        <v>79.640367564</v>
      </c>
      <c r="AS911" t="n">
        <v>34.797100242</v>
      </c>
      <c r="AT911" t="n">
        <v>69.528919647</v>
      </c>
      <c r="AU911" t="n">
        <v/>
      </c>
    </row>
    <row r="912">
      <c r="A912" s="107" t="n">
        <v>34639</v>
      </c>
      <c r="B912" t="n">
        <v>52.77543452</v>
      </c>
      <c r="C912" t="n">
        <v>62.638334127</v>
      </c>
      <c r="D912" t="n">
        <v>79.207884608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71.19406716100001</v>
      </c>
      <c r="L912" t="n">
        <v>92.964670833</v>
      </c>
      <c r="M912" t="n">
        <v>81.40000000000001</v>
      </c>
      <c r="N912" t="n">
        <v>102.601085501</v>
      </c>
      <c r="O912" t="n">
        <v/>
      </c>
      <c r="P912" t="n">
        <v/>
      </c>
      <c r="Q912" t="n">
        <v>75.84495471300001</v>
      </c>
      <c r="R912" t="n">
        <v>92.77</v>
      </c>
      <c r="S912" t="n">
        <v>80.2853843</v>
      </c>
      <c r="T912" t="n">
        <v>85.714285714</v>
      </c>
      <c r="U912" t="n">
        <v/>
      </c>
      <c r="V912" t="n">
        <v>121.795278343</v>
      </c>
      <c r="W912" t="n">
        <v>34.302458964</v>
      </c>
      <c r="X912" t="n">
        <v>29.578670865</v>
      </c>
      <c r="Y912" t="n">
        <v/>
      </c>
      <c r="Z912" t="n">
        <v>19.315618131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30.222</v>
      </c>
      <c r="AF912" t="n">
        <v>74.05208516099999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71.697715941</v>
      </c>
      <c r="AM912" t="n">
        <v>31.228628532</v>
      </c>
      <c r="AN912" t="n">
        <v>103.953790289</v>
      </c>
      <c r="AO912" t="n">
        <v>60.365998471</v>
      </c>
      <c r="AP912" t="n">
        <v>33.7830172</v>
      </c>
      <c r="AQ912" t="n">
        <v>70.012984683</v>
      </c>
      <c r="AR912" t="n">
        <v>80.34873169799999</v>
      </c>
      <c r="AS912" t="n">
        <v>34.697108574</v>
      </c>
      <c r="AT912" t="n">
        <v>70.000120643</v>
      </c>
      <c r="AU912" t="n">
        <v/>
      </c>
    </row>
    <row r="913">
      <c r="A913" s="107" t="n">
        <v>34669</v>
      </c>
      <c r="B913" t="n">
        <v>53.125935509</v>
      </c>
      <c r="C913" t="n">
        <v>57.084180076</v>
      </c>
      <c r="D913" t="n">
        <v>83.551769261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71.19406716100001</v>
      </c>
      <c r="L913" t="n">
        <v>98.62528310899999</v>
      </c>
      <c r="M913" t="n">
        <v>82.3</v>
      </c>
      <c r="N913" t="n">
        <v>105.277087731</v>
      </c>
      <c r="O913" t="n">
        <v/>
      </c>
      <c r="P913" t="n">
        <v/>
      </c>
      <c r="Q913" t="n">
        <v>76.44894049</v>
      </c>
      <c r="R913" t="n">
        <v>92.66</v>
      </c>
      <c r="S913" t="n">
        <v>80.976463083</v>
      </c>
      <c r="T913" t="n">
        <v>86.682201111</v>
      </c>
      <c r="U913" t="n">
        <v/>
      </c>
      <c r="V913" t="n">
        <v>122.071380534</v>
      </c>
      <c r="W913" t="n">
        <v>35.415604515</v>
      </c>
      <c r="X913" t="n">
        <v>29.994609476</v>
      </c>
      <c r="Y913" t="n">
        <v/>
      </c>
      <c r="Z913" t="n">
        <v>20.385406212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30.018</v>
      </c>
      <c r="AF913" t="n">
        <v>74.96224758300001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72.253930565</v>
      </c>
      <c r="AM913" t="n">
        <v>32.836617287</v>
      </c>
      <c r="AN913" t="n">
        <v>104.718806363</v>
      </c>
      <c r="AO913" t="n">
        <v>60.714616211</v>
      </c>
      <c r="AP913" t="n">
        <v>35.753651692</v>
      </c>
      <c r="AQ913" t="n">
        <v>69.856705699</v>
      </c>
      <c r="AR913" t="n">
        <v>80.854706079</v>
      </c>
      <c r="AS913" t="n">
        <v>33.997166903</v>
      </c>
      <c r="AT913" t="n">
        <v>70.68153757100001</v>
      </c>
      <c r="AU913" t="n">
        <v/>
      </c>
    </row>
    <row r="914">
      <c r="A914" s="107" t="n">
        <v>34700</v>
      </c>
      <c r="B914" t="n">
        <v>54.656796938</v>
      </c>
      <c r="C914" t="n">
        <v>62.790572758</v>
      </c>
      <c r="D914" t="n">
        <v>82.20033848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69.79418381799999</v>
      </c>
      <c r="L914" t="n">
        <v>97.21013004</v>
      </c>
      <c r="M914" t="n">
        <v>81.7</v>
      </c>
      <c r="N914" t="n">
        <v>104.825087354</v>
      </c>
      <c r="O914" t="n">
        <v/>
      </c>
      <c r="P914" t="n">
        <v/>
      </c>
      <c r="Q914" t="n">
        <v>80.2</v>
      </c>
      <c r="R914" t="n">
        <v>93.31999999999999</v>
      </c>
      <c r="S914" t="n">
        <v>80.409453208</v>
      </c>
      <c r="T914" t="n">
        <v>84.96146262800001</v>
      </c>
      <c r="U914" t="n">
        <v/>
      </c>
      <c r="V914" t="n">
        <v>124.413397327</v>
      </c>
      <c r="W914" t="n">
        <v>34.741858524</v>
      </c>
      <c r="X914" t="n">
        <v>30.542578906</v>
      </c>
      <c r="Y914" t="n">
        <v/>
      </c>
      <c r="Z914" t="n">
        <v>19.969377514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30.684</v>
      </c>
      <c r="AF914" t="n">
        <v>74.475413266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72.015149838</v>
      </c>
      <c r="AM914" t="n">
        <v>32.171238254</v>
      </c>
      <c r="AN914" t="n">
        <v>105.112844504</v>
      </c>
      <c r="AO914" t="n">
        <v>60.176069289</v>
      </c>
      <c r="AP914" t="n">
        <v>33.203498472</v>
      </c>
      <c r="AQ914" t="n">
        <v>73.37298283200001</v>
      </c>
      <c r="AR914" t="n">
        <v>82.069044593</v>
      </c>
      <c r="AS914" t="n">
        <v>34.49712524</v>
      </c>
      <c r="AT914" t="n">
        <v>70.829184516</v>
      </c>
      <c r="AU914" t="n">
        <v/>
      </c>
    </row>
    <row r="915">
      <c r="A915" s="107" t="n">
        <v>34731</v>
      </c>
      <c r="B915" t="n">
        <v>54.515568949</v>
      </c>
      <c r="C915" t="n">
        <v>63.955603279</v>
      </c>
      <c r="D915" t="n">
        <v>81.875644072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70.794100492</v>
      </c>
      <c r="L915" t="n">
        <v>94.48868183099999</v>
      </c>
      <c r="M915" t="n">
        <v>81.90000000000001</v>
      </c>
      <c r="N915" t="n">
        <v>103.768086473</v>
      </c>
      <c r="O915" t="n">
        <v/>
      </c>
      <c r="P915" t="n">
        <v/>
      </c>
      <c r="Q915" t="n">
        <v>79</v>
      </c>
      <c r="R915" t="n">
        <v>92.68000000000001</v>
      </c>
      <c r="S915" t="n">
        <v>80.69833992</v>
      </c>
      <c r="T915" t="n">
        <v>85.069008783</v>
      </c>
      <c r="U915" t="n">
        <v/>
      </c>
      <c r="V915" t="n">
        <v>123.940179179</v>
      </c>
      <c r="W915" t="n">
        <v>34.859031739</v>
      </c>
      <c r="X915" t="n">
        <v>30.320362863</v>
      </c>
      <c r="Y915" t="n">
        <v/>
      </c>
      <c r="Z915" t="n">
        <v>20.623136897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30.499</v>
      </c>
      <c r="AF915" t="n">
        <v>74.60279749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71.916940739</v>
      </c>
      <c r="AM915" t="n">
        <v>32.876261948</v>
      </c>
      <c r="AN915" t="n">
        <v>106.260125002</v>
      </c>
      <c r="AO915" t="n">
        <v>60.420359069</v>
      </c>
      <c r="AP915" t="n">
        <v>34.777493702</v>
      </c>
      <c r="AQ915" t="n">
        <v>73.138564356</v>
      </c>
      <c r="AR915" t="n">
        <v>82.271434345</v>
      </c>
      <c r="AS915" t="n">
        <v>33.597200233</v>
      </c>
      <c r="AT915" t="n">
        <v>70.733992396</v>
      </c>
      <c r="AU915" t="n">
        <v/>
      </c>
    </row>
    <row r="916">
      <c r="A916" s="107" t="n">
        <v>34759</v>
      </c>
      <c r="B916" t="n">
        <v>51.331550725</v>
      </c>
      <c r="C916" t="n">
        <v>64.30989289599999</v>
      </c>
      <c r="D916" t="n">
        <v>81.875644072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69.99416715300001</v>
      </c>
      <c r="L916" t="n">
        <v>94.815255616</v>
      </c>
      <c r="M916" t="n">
        <v>81.8</v>
      </c>
      <c r="N916" t="n">
        <v>103.607086339</v>
      </c>
      <c r="O916" t="n">
        <v/>
      </c>
      <c r="P916" t="n">
        <v/>
      </c>
      <c r="Q916" t="n">
        <v>78.8</v>
      </c>
      <c r="R916" t="n">
        <v>93.47</v>
      </c>
      <c r="S916" t="n">
        <v>80.858058034</v>
      </c>
      <c r="T916" t="n">
        <v>85.284101093</v>
      </c>
      <c r="U916" t="n">
        <v/>
      </c>
      <c r="V916" t="n">
        <v>123.465383666</v>
      </c>
      <c r="W916" t="n">
        <v>35.005498259</v>
      </c>
      <c r="X916" t="n">
        <v>30.547608079</v>
      </c>
      <c r="Y916" t="n">
        <v/>
      </c>
      <c r="Z916" t="n">
        <v>21.158030937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31.423</v>
      </c>
      <c r="AF916" t="n">
        <v>73.973476781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72.04508906700001</v>
      </c>
      <c r="AM916" t="n">
        <v>32.093558406</v>
      </c>
      <c r="AN916" t="n">
        <v>100.780790368</v>
      </c>
      <c r="AO916" t="n">
        <v>58.061886786</v>
      </c>
      <c r="AP916" t="n">
        <v>35.180695474</v>
      </c>
      <c r="AQ916" t="n">
        <v>70.481821634</v>
      </c>
      <c r="AR916" t="n">
        <v>83.58696773600001</v>
      </c>
      <c r="AS916" t="n">
        <v>33.497208566</v>
      </c>
      <c r="AT916" t="n">
        <v>70.843859968</v>
      </c>
      <c r="AU916" t="n">
        <v/>
      </c>
    </row>
    <row r="917">
      <c r="A917" s="107" t="n">
        <v>34790</v>
      </c>
      <c r="B917" t="n">
        <v>54.47558367</v>
      </c>
      <c r="C917" t="n">
        <v>63.163701233</v>
      </c>
      <c r="D917" t="n">
        <v>80.63829511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70.394133822</v>
      </c>
      <c r="L917" t="n">
        <v>94.92411354399999</v>
      </c>
      <c r="M917" t="n">
        <v>82.09999999999999</v>
      </c>
      <c r="N917" t="n">
        <v>104.063086719</v>
      </c>
      <c r="O917" t="n">
        <v/>
      </c>
      <c r="P917" t="n">
        <v/>
      </c>
      <c r="Q917" t="n">
        <v>78.5</v>
      </c>
      <c r="R917" t="n">
        <v>93.48</v>
      </c>
      <c r="S917" t="n">
        <v>81.130368086</v>
      </c>
      <c r="T917" t="n">
        <v>86.14447033499999</v>
      </c>
      <c r="U917" t="n">
        <v/>
      </c>
      <c r="V917" t="n">
        <v>122.682180377</v>
      </c>
      <c r="W917" t="n">
        <v>35.005498259</v>
      </c>
      <c r="X917" t="n">
        <v>31.194686542</v>
      </c>
      <c r="Y917" t="n">
        <v/>
      </c>
      <c r="Z917" t="n">
        <v>21.514626965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31.516</v>
      </c>
      <c r="AF917" t="n">
        <v>74.79926314799999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72.42082232</v>
      </c>
      <c r="AM917" t="n">
        <v>32.284414611</v>
      </c>
      <c r="AN917" t="n">
        <v>110.040935217</v>
      </c>
      <c r="AO917" t="n">
        <v>56.964794572</v>
      </c>
      <c r="AP917" t="n">
        <v>36.322459543</v>
      </c>
      <c r="AQ917" t="n">
        <v>69.46600823999999</v>
      </c>
      <c r="AR917" t="n">
        <v>84.194136993</v>
      </c>
      <c r="AS917" t="n">
        <v>36.296975252</v>
      </c>
      <c r="AT917" t="n">
        <v>70.728637839</v>
      </c>
      <c r="AU917" t="n">
        <v/>
      </c>
    </row>
    <row r="918">
      <c r="A918" s="107" t="n">
        <v>34820</v>
      </c>
      <c r="B918" t="n">
        <v>54.479564948</v>
      </c>
      <c r="C918" t="n">
        <v>65.793216073</v>
      </c>
      <c r="D918" t="n">
        <v>71.599504821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70.794100492</v>
      </c>
      <c r="L918" t="n">
        <v>94.379823902</v>
      </c>
      <c r="M918" t="n">
        <v>82.40000000000001</v>
      </c>
      <c r="N918" t="n">
        <v>104.895087413</v>
      </c>
      <c r="O918" t="n">
        <v/>
      </c>
      <c r="P918" t="n">
        <v/>
      </c>
      <c r="Q918" t="n">
        <v>77.3</v>
      </c>
      <c r="R918" t="n">
        <v>93.03</v>
      </c>
      <c r="S918" t="n">
        <v>81.042297574</v>
      </c>
      <c r="T918" t="n">
        <v>86.03692418</v>
      </c>
      <c r="U918" t="n">
        <v/>
      </c>
      <c r="V918" t="n">
        <v>121.943482053</v>
      </c>
      <c r="W918" t="n">
        <v>36.118643811</v>
      </c>
      <c r="X918" t="n">
        <v>30.962541485</v>
      </c>
      <c r="Y918" t="n">
        <v/>
      </c>
      <c r="Z918" t="n">
        <v>22.168386347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31.054</v>
      </c>
      <c r="AF918" t="n">
        <v>73.977459513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72.38120164999999</v>
      </c>
      <c r="AM918" t="n">
        <v>33.31549651</v>
      </c>
      <c r="AN918" t="n">
        <v>106.662245915</v>
      </c>
      <c r="AO918" t="n">
        <v>59.553289952</v>
      </c>
      <c r="AP918" t="n">
        <v>36.858502333</v>
      </c>
      <c r="AQ918" t="n">
        <v>70.012984683</v>
      </c>
      <c r="AR918" t="n">
        <v>84.194136993</v>
      </c>
      <c r="AS918" t="n">
        <v>35.99700025</v>
      </c>
      <c r="AT918" t="n">
        <v>71.05695149500001</v>
      </c>
      <c r="AU918" t="n">
        <v/>
      </c>
    </row>
    <row r="919">
      <c r="A919" s="107" t="n">
        <v>34851</v>
      </c>
      <c r="B919" t="n">
        <v>55.169439132</v>
      </c>
      <c r="C919" t="n">
        <v>65.192242482</v>
      </c>
      <c r="D919" t="n">
        <v>76.496247521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69.99416715300001</v>
      </c>
      <c r="L919" t="n">
        <v>93.18238669</v>
      </c>
      <c r="M919" t="n">
        <v>82.09999999999999</v>
      </c>
      <c r="N919" t="n">
        <v>104.166086805</v>
      </c>
      <c r="O919" t="n">
        <v/>
      </c>
      <c r="P919" t="n">
        <v/>
      </c>
      <c r="Q919" t="n">
        <v>76.7</v>
      </c>
      <c r="R919" t="n">
        <v>93.67</v>
      </c>
      <c r="S919" t="n">
        <v>81.000187254</v>
      </c>
      <c r="T919" t="n">
        <v>85.499193404</v>
      </c>
      <c r="U919" t="n">
        <v/>
      </c>
      <c r="V919" t="n">
        <v>120.978456861</v>
      </c>
      <c r="W919" t="n">
        <v>34.683271916</v>
      </c>
      <c r="X919" t="n">
        <v>31.238693273</v>
      </c>
      <c r="Y919" t="n">
        <v/>
      </c>
      <c r="Z919" t="n">
        <v>21.633492307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32.163</v>
      </c>
      <c r="AF919" t="n">
        <v>74.962380381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72.415835961</v>
      </c>
      <c r="AM919" t="n">
        <v>33.291987231</v>
      </c>
      <c r="AN919" t="n">
        <v>103.319929591</v>
      </c>
      <c r="AO919" t="n">
        <v>59.735765179</v>
      </c>
      <c r="AP919" t="n">
        <v>36.899265043</v>
      </c>
      <c r="AQ919" t="n">
        <v>74.466935717</v>
      </c>
      <c r="AR919" t="n">
        <v>84.497721622</v>
      </c>
      <c r="AS919" t="n">
        <v>37.196900258</v>
      </c>
      <c r="AT919" t="n">
        <v>71.291659567</v>
      </c>
      <c r="AU919" t="n">
        <v/>
      </c>
    </row>
    <row r="920">
      <c r="A920" s="107" t="n">
        <v>34881</v>
      </c>
      <c r="B920" t="n">
        <v>54.023640129</v>
      </c>
      <c r="C920" t="n">
        <v>63.147700516</v>
      </c>
      <c r="D920" t="n">
        <v>74.600734218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69.79418381799999</v>
      </c>
      <c r="L920" t="n">
        <v>88.71921162700001</v>
      </c>
      <c r="M920" t="n">
        <v>82</v>
      </c>
      <c r="N920" t="n">
        <v>103.708086423</v>
      </c>
      <c r="O920" t="n">
        <v/>
      </c>
      <c r="P920" t="n">
        <v/>
      </c>
      <c r="Q920" t="n">
        <v>78</v>
      </c>
      <c r="R920" t="n">
        <v>94.09</v>
      </c>
      <c r="S920" t="n">
        <v>80.62857282100001</v>
      </c>
      <c r="T920" t="n">
        <v>86.14447033499999</v>
      </c>
      <c r="U920" t="n">
        <v/>
      </c>
      <c r="V920" t="n">
        <v>121.217598841</v>
      </c>
      <c r="W920" t="n">
        <v>35.210551387</v>
      </c>
      <c r="X920" t="n">
        <v>31.968566407</v>
      </c>
      <c r="Y920" t="n">
        <v/>
      </c>
      <c r="Z920" t="n">
        <v>22.643847717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32.163</v>
      </c>
      <c r="AF920" t="n">
        <v>70.851843465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72.193804904</v>
      </c>
      <c r="AM920" t="n">
        <v>33.911132035</v>
      </c>
      <c r="AN920" t="n">
        <v>109.884599797</v>
      </c>
      <c r="AO920" t="n">
        <v>59.961764947</v>
      </c>
      <c r="AP920" t="n">
        <v>36.951010235</v>
      </c>
      <c r="AQ920" t="n">
        <v>70.012984683</v>
      </c>
      <c r="AR920" t="n">
        <v>84.497721622</v>
      </c>
      <c r="AS920" t="n">
        <v>37.196900258</v>
      </c>
      <c r="AT920" t="n">
        <v>70.989920377</v>
      </c>
      <c r="AU920" t="n">
        <v/>
      </c>
    </row>
    <row r="921">
      <c r="A921" s="107" t="n">
        <v>34912</v>
      </c>
      <c r="B921" t="n">
        <v>53.641844949</v>
      </c>
      <c r="C921" t="n">
        <v>64.27627413899999</v>
      </c>
      <c r="D921" t="n">
        <v>72.898282455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68.994250479</v>
      </c>
      <c r="L921" t="n">
        <v>91.22294397899999</v>
      </c>
      <c r="M921" t="n">
        <v>82</v>
      </c>
      <c r="N921" t="n">
        <v>103.234086028</v>
      </c>
      <c r="O921" t="n">
        <v/>
      </c>
      <c r="P921" t="n">
        <v/>
      </c>
      <c r="Q921" t="n">
        <v>78.5</v>
      </c>
      <c r="R921" t="n">
        <v>93.51000000000001</v>
      </c>
      <c r="S921" t="n">
        <v>81.309265095</v>
      </c>
      <c r="T921" t="n">
        <v>86.25201649</v>
      </c>
      <c r="U921" t="n">
        <v/>
      </c>
      <c r="V921" t="n">
        <v>122.021130556</v>
      </c>
      <c r="W921" t="n">
        <v>35.474191123</v>
      </c>
      <c r="X921" t="n">
        <v>32.075046867</v>
      </c>
      <c r="Y921" t="n">
        <v/>
      </c>
      <c r="Z921" t="n">
        <v>23.178741757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32.348</v>
      </c>
      <c r="AF921" t="n">
        <v>78.226757311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72.756598467</v>
      </c>
      <c r="AM921" t="n">
        <v>33.499898099</v>
      </c>
      <c r="AN921" t="n">
        <v>110.318352822</v>
      </c>
      <c r="AO921" t="n">
        <v>59.462383879</v>
      </c>
      <c r="AP921" t="n">
        <v>37.443990466</v>
      </c>
      <c r="AQ921" t="n">
        <v>67.668799928</v>
      </c>
      <c r="AR921" t="n">
        <v>84.59891649799999</v>
      </c>
      <c r="AS921" t="n">
        <v>37.796850262</v>
      </c>
      <c r="AT921" t="n">
        <v>71.923497266</v>
      </c>
      <c r="AU921" t="n">
        <v/>
      </c>
    </row>
    <row r="922">
      <c r="A922" s="107" t="n">
        <v>34943</v>
      </c>
      <c r="B922" t="n">
        <v>53.229576162</v>
      </c>
      <c r="C922" t="n">
        <v>63.321689266</v>
      </c>
      <c r="D922" t="n">
        <v>73.556446796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70.394133822</v>
      </c>
      <c r="L922" t="n">
        <v>91.767233621</v>
      </c>
      <c r="M922" t="n">
        <v>82.5</v>
      </c>
      <c r="N922" t="n">
        <v>103.743086453</v>
      </c>
      <c r="O922" t="n">
        <v/>
      </c>
      <c r="P922" t="n">
        <v/>
      </c>
      <c r="Q922" t="n">
        <v>76.3</v>
      </c>
      <c r="R922" t="n">
        <v>93.64</v>
      </c>
      <c r="S922" t="n">
        <v>81.34015337</v>
      </c>
      <c r="T922" t="n">
        <v>86.574654956</v>
      </c>
      <c r="U922" t="n">
        <v/>
      </c>
      <c r="V922" t="n">
        <v>122.732078406</v>
      </c>
      <c r="W922" t="n">
        <v>35.357017907</v>
      </c>
      <c r="X922" t="n">
        <v>33.356320544</v>
      </c>
      <c r="Y922" t="n">
        <v/>
      </c>
      <c r="Z922" t="n">
        <v>23.059876415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32.07</v>
      </c>
      <c r="AF922" t="n">
        <v>76.26069389200001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72.72148894199999</v>
      </c>
      <c r="AM922" t="n">
        <v>34.023829051</v>
      </c>
      <c r="AN922" t="n">
        <v>107.693450527</v>
      </c>
      <c r="AO922" t="n">
        <v>58.993782187</v>
      </c>
      <c r="AP922" t="n">
        <v>37.198333456</v>
      </c>
      <c r="AQ922" t="n">
        <v>69.075310781</v>
      </c>
      <c r="AR922" t="n">
        <v>84.194136993</v>
      </c>
      <c r="AS922" t="n">
        <v>36.096991917</v>
      </c>
      <c r="AT922" t="n">
        <v>72.211850064</v>
      </c>
      <c r="AU922" t="n">
        <v/>
      </c>
    </row>
    <row r="923">
      <c r="A923" s="107" t="n">
        <v>34973</v>
      </c>
      <c r="B923" t="n">
        <v>52.328262939</v>
      </c>
      <c r="C923" t="n">
        <v>64.39092318599999</v>
      </c>
      <c r="D923" t="n">
        <v>74.49542792299999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68.59428380999999</v>
      </c>
      <c r="L923" t="n">
        <v>93.50896047499999</v>
      </c>
      <c r="M923" t="n">
        <v>81.40000000000001</v>
      </c>
      <c r="N923" t="n">
        <v>103.015085846</v>
      </c>
      <c r="O923" t="n">
        <v/>
      </c>
      <c r="P923" t="n">
        <v/>
      </c>
      <c r="Q923" t="n">
        <v>75.59999999999999</v>
      </c>
      <c r="R923" t="n">
        <v>91.83</v>
      </c>
      <c r="S923" t="n">
        <v>81.219815934</v>
      </c>
      <c r="T923" t="n">
        <v>86.25201649</v>
      </c>
      <c r="U923" t="n">
        <v/>
      </c>
      <c r="V923" t="n">
        <v>123.864657292</v>
      </c>
      <c r="W923" t="n">
        <v>35.298431299</v>
      </c>
      <c r="X923" t="n">
        <v>32.393630642</v>
      </c>
      <c r="Y923" t="n">
        <v/>
      </c>
      <c r="Z923" t="n">
        <v>23.713635798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32.255</v>
      </c>
      <c r="AF923" t="n">
        <v>76.457452434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72.506015961</v>
      </c>
      <c r="AM923" t="n">
        <v>33.74654897</v>
      </c>
      <c r="AN923" t="n">
        <v>114.264395016</v>
      </c>
      <c r="AO923" t="n">
        <v>58.345470194</v>
      </c>
      <c r="AP923" t="n">
        <v>37.402714032</v>
      </c>
      <c r="AQ923" t="n">
        <v>66.574847042</v>
      </c>
      <c r="AR923" t="n">
        <v>84.902501126</v>
      </c>
      <c r="AS923" t="n">
        <v>35.097075244</v>
      </c>
      <c r="AT923" t="n">
        <v>72.10109006499999</v>
      </c>
      <c r="AU923" t="n">
        <v/>
      </c>
    </row>
    <row r="924">
      <c r="A924" s="107" t="n">
        <v>35004</v>
      </c>
      <c r="B924" t="n">
        <v>53.941419308</v>
      </c>
      <c r="C924" t="n">
        <v>64.071509514</v>
      </c>
      <c r="D924" t="n">
        <v>74.978081774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68.994250479</v>
      </c>
      <c r="L924" t="n">
        <v>95.90383490000001</v>
      </c>
      <c r="M924" t="n">
        <v>81.8</v>
      </c>
      <c r="N924" t="n">
        <v>103.522086268</v>
      </c>
      <c r="O924" t="n">
        <v/>
      </c>
      <c r="P924" t="n">
        <v/>
      </c>
      <c r="Q924" t="n">
        <v>75.7</v>
      </c>
      <c r="R924" t="n">
        <v>91.84</v>
      </c>
      <c r="S924" t="n">
        <v>81.538835263</v>
      </c>
      <c r="T924" t="n">
        <v>86.682201111</v>
      </c>
      <c r="U924" t="n">
        <v/>
      </c>
      <c r="V924" t="n">
        <v>122.769058196</v>
      </c>
      <c r="W924" t="n">
        <v>34.41963218</v>
      </c>
      <c r="X924" t="n">
        <v>33.184100752</v>
      </c>
      <c r="Y924" t="n">
        <v/>
      </c>
      <c r="Z924" t="n">
        <v>23.594770456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32.44</v>
      </c>
      <c r="AF924" t="n">
        <v>74.77481436799999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73.152924695</v>
      </c>
      <c r="AM924" t="n">
        <v>34.995412575</v>
      </c>
      <c r="AN924" t="n">
        <v>110.178191372</v>
      </c>
      <c r="AO924" t="n">
        <v>56.759541712</v>
      </c>
      <c r="AP924" t="n">
        <v>37.259086483</v>
      </c>
      <c r="AQ924" t="n">
        <v>68.76275281300001</v>
      </c>
      <c r="AR924" t="n">
        <v>85.003696003</v>
      </c>
      <c r="AS924" t="n">
        <v>38.596783601</v>
      </c>
      <c r="AT924" t="n">
        <v>72.27501400200001</v>
      </c>
      <c r="AU924" t="n">
        <v/>
      </c>
    </row>
    <row r="925">
      <c r="A925" s="107" t="n">
        <v>35034</v>
      </c>
      <c r="B925" t="n">
        <v>53.727631778</v>
      </c>
      <c r="C925" t="n">
        <v>64.028077143</v>
      </c>
      <c r="D925" t="n">
        <v>75.811756606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68.994250479</v>
      </c>
      <c r="L925" t="n">
        <v>99.278430679</v>
      </c>
      <c r="M925" t="n">
        <v>82.7</v>
      </c>
      <c r="N925" t="n">
        <v>104.386086988</v>
      </c>
      <c r="O925" t="n">
        <v/>
      </c>
      <c r="P925" t="n">
        <v/>
      </c>
      <c r="Q925" t="n">
        <v>76.5</v>
      </c>
      <c r="R925" t="n">
        <v>93.77</v>
      </c>
      <c r="S925" t="n">
        <v>82.093709025</v>
      </c>
      <c r="T925" t="n">
        <v>87.004839577</v>
      </c>
      <c r="U925" t="n">
        <v/>
      </c>
      <c r="V925" t="n">
        <v>124.887870827</v>
      </c>
      <c r="W925" t="n">
        <v>35.444897819</v>
      </c>
      <c r="X925" t="n">
        <v>33.737570336</v>
      </c>
      <c r="Y925" t="n">
        <v/>
      </c>
      <c r="Z925" t="n">
        <v>24.367395181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33.179</v>
      </c>
      <c r="AF925" t="n">
        <v>74.67116763999999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73.91076810200001</v>
      </c>
      <c r="AM925" t="n">
        <v>34.6743558</v>
      </c>
      <c r="AN925" t="n">
        <v>116.865435118</v>
      </c>
      <c r="AO925" t="n">
        <v>56.370704154</v>
      </c>
      <c r="AP925" t="n">
        <v>37.361449911</v>
      </c>
      <c r="AQ925" t="n">
        <v>67.434381452</v>
      </c>
      <c r="AR925" t="n">
        <v>83.991747241</v>
      </c>
      <c r="AS925" t="n">
        <v>40.196650279</v>
      </c>
      <c r="AT925" t="n">
        <v>72.52737227900001</v>
      </c>
      <c r="AU925" t="n">
        <v/>
      </c>
    </row>
    <row r="926">
      <c r="A926" s="107" t="n">
        <v>35065</v>
      </c>
      <c r="B926" t="n">
        <v>52.78645441</v>
      </c>
      <c r="C926" t="n">
        <v>63.955808596</v>
      </c>
      <c r="D926" t="n">
        <v>74.934204151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69.294225481</v>
      </c>
      <c r="L926" t="n">
        <v>89.698932982</v>
      </c>
      <c r="M926" t="n">
        <v>81.90000000000001</v>
      </c>
      <c r="N926" t="n">
        <v>101.067084223</v>
      </c>
      <c r="O926" t="n">
        <v/>
      </c>
      <c r="P926" t="n">
        <v/>
      </c>
      <c r="Q926" t="n">
        <v>76.8</v>
      </c>
      <c r="R926" t="n">
        <v>92.94</v>
      </c>
      <c r="S926" t="n">
        <v>81.56298608900001</v>
      </c>
      <c r="T926" t="n">
        <v>86.682201111</v>
      </c>
      <c r="U926" t="n">
        <v/>
      </c>
      <c r="V926" t="n">
        <v>123.27274765</v>
      </c>
      <c r="W926" t="n">
        <v>35.151964779</v>
      </c>
      <c r="X926" t="n">
        <v>34.137267037</v>
      </c>
      <c r="Y926" t="n">
        <v/>
      </c>
      <c r="Z926" t="n">
        <v>23.891933811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33.087</v>
      </c>
      <c r="AF926" t="n">
        <v>75.063131955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73.34741764</v>
      </c>
      <c r="AM926" t="n">
        <v>35.072563827</v>
      </c>
      <c r="AN926" t="n">
        <v>112.532259116</v>
      </c>
      <c r="AO926" t="n">
        <v>56.462678538</v>
      </c>
      <c r="AP926" t="n">
        <v>36.704614099</v>
      </c>
      <c r="AQ926" t="n">
        <v>68.76275281300001</v>
      </c>
      <c r="AR926" t="n">
        <v>84.194136993</v>
      </c>
      <c r="AS926" t="n">
        <v>38.896758603</v>
      </c>
      <c r="AT926" t="n">
        <v>72.1349031</v>
      </c>
      <c r="AU926" t="n">
        <v/>
      </c>
    </row>
    <row r="927">
      <c r="A927" s="107" t="n">
        <v>35096</v>
      </c>
      <c r="B927" t="n">
        <v>53.71549601</v>
      </c>
      <c r="C927" t="n">
        <v>63.037444793</v>
      </c>
      <c r="D927" t="n">
        <v>74.53930554599999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68.69427547700001</v>
      </c>
      <c r="L927" t="n">
        <v>94.70639768700001</v>
      </c>
      <c r="M927" t="n">
        <v>81.59999999999999</v>
      </c>
      <c r="N927" t="n">
        <v>101.158084298</v>
      </c>
      <c r="O927" t="n">
        <v/>
      </c>
      <c r="P927" t="n">
        <v/>
      </c>
      <c r="Q927" t="n">
        <v>78</v>
      </c>
      <c r="R927" t="n">
        <v>93.19</v>
      </c>
      <c r="S927" t="n">
        <v>81.930203202</v>
      </c>
      <c r="T927" t="n">
        <v>87.327478043</v>
      </c>
      <c r="U927" t="n">
        <v/>
      </c>
      <c r="V927" t="n">
        <v>122.652345493</v>
      </c>
      <c r="W927" t="n">
        <v>35.532777731</v>
      </c>
      <c r="X927" t="n">
        <v>33.472686988</v>
      </c>
      <c r="Y927" t="n">
        <v/>
      </c>
      <c r="Z927" t="n">
        <v>22.941011073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33.826</v>
      </c>
      <c r="AF927" t="n">
        <v>73.35034998499999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73.647812438</v>
      </c>
      <c r="AM927" t="n">
        <v>34.606778678</v>
      </c>
      <c r="AN927" t="n">
        <v>112.442334464</v>
      </c>
      <c r="AO927" t="n">
        <v>55.584212187</v>
      </c>
      <c r="AP927" t="n">
        <v>36.514131087</v>
      </c>
      <c r="AQ927" t="n">
        <v>67.434381452</v>
      </c>
      <c r="AR927" t="n">
        <v>84.902501126</v>
      </c>
      <c r="AS927" t="n">
        <v>36.196983585</v>
      </c>
      <c r="AT927" t="n">
        <v>73.16615107</v>
      </c>
      <c r="AU927" t="n">
        <v/>
      </c>
    </row>
    <row r="928">
      <c r="A928" s="107" t="n">
        <v>35125</v>
      </c>
      <c r="B928" t="n">
        <v>53.20874604</v>
      </c>
      <c r="C928" t="n">
        <v>63.046283134</v>
      </c>
      <c r="D928" t="n">
        <v>74.416448202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68.794267144</v>
      </c>
      <c r="L928" t="n">
        <v>96.121550756</v>
      </c>
      <c r="M928" t="n">
        <v>81.7</v>
      </c>
      <c r="N928" t="n">
        <v>101.394084495</v>
      </c>
      <c r="O928" t="n">
        <v/>
      </c>
      <c r="P928" t="n">
        <v/>
      </c>
      <c r="Q928" t="n">
        <v>76.8</v>
      </c>
      <c r="R928" t="n">
        <v>93.86</v>
      </c>
      <c r="S928" t="n">
        <v>81.832847242</v>
      </c>
      <c r="T928" t="n">
        <v>87.43502419799999</v>
      </c>
      <c r="U928" t="n">
        <v/>
      </c>
      <c r="V928" t="n">
        <v>123.121759138</v>
      </c>
      <c r="W928" t="n">
        <v>36.089350507</v>
      </c>
      <c r="X928" t="n">
        <v>34.92424668</v>
      </c>
      <c r="Y928" t="n">
        <v/>
      </c>
      <c r="Z928" t="n">
        <v>23.238174429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33.826</v>
      </c>
      <c r="AF928" t="n">
        <v>78.83257800200001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73.61037352300001</v>
      </c>
      <c r="AM928" t="n">
        <v>35.930636196</v>
      </c>
      <c r="AN928" t="n">
        <v>113.179739138</v>
      </c>
      <c r="AO928" t="n">
        <v>56.280133954</v>
      </c>
      <c r="AP928" t="n">
        <v>36.314184196</v>
      </c>
      <c r="AQ928" t="n">
        <v>68.60647383</v>
      </c>
      <c r="AR928" t="n">
        <v>83.384577984</v>
      </c>
      <c r="AS928" t="n">
        <v>36.296975252</v>
      </c>
      <c r="AT928" t="n">
        <v>73.05489528</v>
      </c>
      <c r="AU928" t="n">
        <v/>
      </c>
    </row>
    <row r="929">
      <c r="A929" s="107" t="n">
        <v>35156</v>
      </c>
      <c r="B929" t="n">
        <v>53.12428771</v>
      </c>
      <c r="C929" t="n">
        <v>64.601729331</v>
      </c>
      <c r="D929" t="n">
        <v>76.355839128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68.794267144</v>
      </c>
      <c r="L929" t="n">
        <v>98.298709324</v>
      </c>
      <c r="M929" t="n">
        <v>81</v>
      </c>
      <c r="N929" t="n">
        <v>100.712083927</v>
      </c>
      <c r="O929" t="n">
        <v/>
      </c>
      <c r="P929" t="n">
        <v/>
      </c>
      <c r="Q929" t="n">
        <v>75.7</v>
      </c>
      <c r="R929" t="n">
        <v>92.91</v>
      </c>
      <c r="S929" t="n">
        <v>82.075384286</v>
      </c>
      <c r="T929" t="n">
        <v>86.46710880099999</v>
      </c>
      <c r="U929" t="n">
        <v/>
      </c>
      <c r="V929" t="n">
        <v>122.473778558</v>
      </c>
      <c r="W929" t="n">
        <v>35.239844691</v>
      </c>
      <c r="X929" t="n">
        <v>34.584132852</v>
      </c>
      <c r="Y929" t="n">
        <v/>
      </c>
      <c r="Z929" t="n">
        <v>23.357039771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34.843</v>
      </c>
      <c r="AF929" t="n">
        <v>73.906720273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73.89762469199999</v>
      </c>
      <c r="AM929" t="n">
        <v>35.901238998</v>
      </c>
      <c r="AN929" t="n">
        <v>113.238941883</v>
      </c>
      <c r="AO929" t="n">
        <v>56.609720829</v>
      </c>
      <c r="AP929" t="n">
        <v>36.032325279</v>
      </c>
      <c r="AQ929" t="n">
        <v>75.01391216</v>
      </c>
      <c r="AR929" t="n">
        <v>83.384577984</v>
      </c>
      <c r="AS929" t="n">
        <v>37.89684193</v>
      </c>
      <c r="AT929" t="n">
        <v>73.789064508</v>
      </c>
      <c r="AU929" t="n">
        <v/>
      </c>
    </row>
    <row r="930">
      <c r="A930" s="107" t="n">
        <v>35186</v>
      </c>
      <c r="B930" t="n">
        <v>53.79995433</v>
      </c>
      <c r="C930" t="n">
        <v>64.538489747</v>
      </c>
      <c r="D930" t="n">
        <v>76.373390177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69.394217149</v>
      </c>
      <c r="L930" t="n">
        <v>95.141829401</v>
      </c>
      <c r="M930" t="n">
        <v>81.90000000000001</v>
      </c>
      <c r="N930" t="n">
        <v>101.973084978</v>
      </c>
      <c r="O930" t="n">
        <v/>
      </c>
      <c r="P930" t="n">
        <v/>
      </c>
      <c r="Q930" t="n">
        <v>78.09999999999999</v>
      </c>
      <c r="R930" t="n">
        <v>94.76000000000001</v>
      </c>
      <c r="S930" t="n">
        <v>82.663671408</v>
      </c>
      <c r="T930" t="n">
        <v>86.897293422</v>
      </c>
      <c r="U930" t="n">
        <v/>
      </c>
      <c r="V930" t="n">
        <v>124.145145121</v>
      </c>
      <c r="W930" t="n">
        <v>36.323696939</v>
      </c>
      <c r="X930" t="n">
        <v>34.956088766</v>
      </c>
      <c r="Y930" t="n">
        <v/>
      </c>
      <c r="Z930" t="n">
        <v>24.545693194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34.935</v>
      </c>
      <c r="AF930" t="n">
        <v>73.398861246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74.34750332900001</v>
      </c>
      <c r="AM930" t="n">
        <v>36.098325565</v>
      </c>
      <c r="AN930" t="n">
        <v>114.873806767</v>
      </c>
      <c r="AO930" t="n">
        <v>56.674443412</v>
      </c>
      <c r="AP930" t="n">
        <v>36.868417457</v>
      </c>
      <c r="AQ930" t="n">
        <v>69.46600823999999</v>
      </c>
      <c r="AR930" t="n">
        <v>84.902501126</v>
      </c>
      <c r="AS930" t="n">
        <v>37.596866928</v>
      </c>
      <c r="AT930" t="n">
        <v>74.34088133</v>
      </c>
      <c r="AU930" t="n">
        <v/>
      </c>
    </row>
    <row r="931">
      <c r="A931" s="107" t="n">
        <v>35217</v>
      </c>
      <c r="B931" t="n">
        <v>54.30670429</v>
      </c>
      <c r="C931" t="n">
        <v>63.311529949</v>
      </c>
      <c r="D931" t="n">
        <v>76.162777588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69.79418381799999</v>
      </c>
      <c r="L931" t="n">
        <v>96.230408685</v>
      </c>
      <c r="M931" t="n">
        <v>81.90000000000001</v>
      </c>
      <c r="N931" t="n">
        <v>103.26008605</v>
      </c>
      <c r="O931" t="n">
        <v/>
      </c>
      <c r="P931" t="n">
        <v/>
      </c>
      <c r="Q931" t="n">
        <v>78.8</v>
      </c>
      <c r="R931" t="n">
        <v>94.03</v>
      </c>
      <c r="S931" t="n">
        <v>82.980140027</v>
      </c>
      <c r="T931" t="n">
        <v>86.574654956</v>
      </c>
      <c r="U931" t="n">
        <v/>
      </c>
      <c r="V931" t="n">
        <v>125.011598396</v>
      </c>
      <c r="W931" t="n">
        <v>35.649950947</v>
      </c>
      <c r="X931" t="n">
        <v>34.513567425</v>
      </c>
      <c r="Y931" t="n">
        <v/>
      </c>
      <c r="Z931" t="n">
        <v>24.545693194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33.919</v>
      </c>
      <c r="AF931" t="n">
        <v>74.910367588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74.593329267</v>
      </c>
      <c r="AM931" t="n">
        <v>35.745353717</v>
      </c>
      <c r="AN931" t="n">
        <v>117.985692113</v>
      </c>
      <c r="AO931" t="n">
        <v>56.528089703</v>
      </c>
      <c r="AP931" t="n">
        <v>36.983880411</v>
      </c>
      <c r="AQ931" t="n">
        <v>68.60647383</v>
      </c>
      <c r="AR931" t="n">
        <v>85.104890879</v>
      </c>
      <c r="AS931" t="n">
        <v>38.596783601</v>
      </c>
      <c r="AT931" t="n">
        <v>74.89606954</v>
      </c>
      <c r="AU931" t="n">
        <v/>
      </c>
    </row>
    <row r="932">
      <c r="A932" s="107" t="n">
        <v>35247</v>
      </c>
      <c r="B932" t="n">
        <v>54.39116262</v>
      </c>
      <c r="C932" t="n">
        <v>64.73222445</v>
      </c>
      <c r="D932" t="n">
        <v>80.410131471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68.994250479</v>
      </c>
      <c r="L932" t="n">
        <v>95.794976971</v>
      </c>
      <c r="M932" t="n">
        <v>81.2</v>
      </c>
      <c r="N932" t="n">
        <v>102.101085084</v>
      </c>
      <c r="O932" t="n">
        <v/>
      </c>
      <c r="P932" t="n">
        <v/>
      </c>
      <c r="Q932" t="n">
        <v>76</v>
      </c>
      <c r="R932" t="n">
        <v>92.34</v>
      </c>
      <c r="S932" t="n">
        <v>82.90668571099999</v>
      </c>
      <c r="T932" t="n">
        <v>86.46710880099999</v>
      </c>
      <c r="U932" t="n">
        <v/>
      </c>
      <c r="V932" t="n">
        <v>124.914041876</v>
      </c>
      <c r="W932" t="n">
        <v>36.060057203</v>
      </c>
      <c r="X932" t="n">
        <v>34.114211471</v>
      </c>
      <c r="Y932" t="n">
        <v/>
      </c>
      <c r="Z932" t="n">
        <v>24.486260523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34.658</v>
      </c>
      <c r="AF932" t="n">
        <v>74.28824937100001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74.604553833</v>
      </c>
      <c r="AM932" t="n">
        <v>36.696888904</v>
      </c>
      <c r="AN932" t="n">
        <v>114.65208724</v>
      </c>
      <c r="AO932" t="n">
        <v>56.289448058</v>
      </c>
      <c r="AP932" t="n">
        <v>37.427649769</v>
      </c>
      <c r="AQ932" t="n">
        <v>71.57577451900001</v>
      </c>
      <c r="AR932" t="n">
        <v>85.91444988799999</v>
      </c>
      <c r="AS932" t="n">
        <v>38.196816932</v>
      </c>
      <c r="AT932" t="n">
        <v>74.896664491</v>
      </c>
      <c r="AU932" t="n">
        <v/>
      </c>
    </row>
    <row r="933">
      <c r="A933" s="107" t="n">
        <v>35278</v>
      </c>
      <c r="B933" t="n">
        <v>54.56007927</v>
      </c>
      <c r="C933" t="n">
        <v>63.500106011</v>
      </c>
      <c r="D933" t="n">
        <v>78.734006282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69.89417548500001</v>
      </c>
      <c r="L933" t="n">
        <v>98.298709324</v>
      </c>
      <c r="M933" t="n">
        <v>82.2</v>
      </c>
      <c r="N933" t="n">
        <v>102.775085646</v>
      </c>
      <c r="O933" t="n">
        <v/>
      </c>
      <c r="P933" t="n">
        <v/>
      </c>
      <c r="Q933" t="n">
        <v>79.09999999999999</v>
      </c>
      <c r="R933" t="n">
        <v>94.34999999999999</v>
      </c>
      <c r="S933" t="n">
        <v>83.419361098</v>
      </c>
      <c r="T933" t="n">
        <v>87.11238573200001</v>
      </c>
      <c r="U933" t="n">
        <v/>
      </c>
      <c r="V933" t="n">
        <v>122.433581665</v>
      </c>
      <c r="W933" t="n">
        <v>35.942883987</v>
      </c>
      <c r="X933" t="n">
        <v>34.9205628</v>
      </c>
      <c r="Y933" t="n">
        <v/>
      </c>
      <c r="Z933" t="n">
        <v>23.535337784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34.473</v>
      </c>
      <c r="AF933" t="n">
        <v>72.867074117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74.926606142</v>
      </c>
      <c r="AM933" t="n">
        <v>36.844299162</v>
      </c>
      <c r="AN933" t="n">
        <v>116.062908087</v>
      </c>
      <c r="AO933" t="n">
        <v>56.215106096</v>
      </c>
      <c r="AP933" t="n">
        <v>37.335788369</v>
      </c>
      <c r="AQ933" t="n">
        <v>68.137636879</v>
      </c>
      <c r="AR933" t="n">
        <v>86.42042426899999</v>
      </c>
      <c r="AS933" t="n">
        <v>38.096825265</v>
      </c>
      <c r="AT933" t="n">
        <v>75.274061585</v>
      </c>
      <c r="AU933" t="n">
        <v/>
      </c>
    </row>
    <row r="934">
      <c r="A934" s="107" t="n">
        <v>35309</v>
      </c>
      <c r="B934" t="n">
        <v>55.40466254</v>
      </c>
      <c r="C934" t="n">
        <v>65.552645916</v>
      </c>
      <c r="D934" t="n">
        <v>79.68176293400001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70.49412549</v>
      </c>
      <c r="L934" t="n">
        <v>97.427845897</v>
      </c>
      <c r="M934" t="n">
        <v>82.2</v>
      </c>
      <c r="N934" t="n">
        <v>103.171085976</v>
      </c>
      <c r="O934" t="n">
        <v/>
      </c>
      <c r="P934" t="n">
        <v/>
      </c>
      <c r="Q934" t="n">
        <v>81</v>
      </c>
      <c r="R934" t="n">
        <v>94.5</v>
      </c>
      <c r="S934" t="n">
        <v>83.888473073</v>
      </c>
      <c r="T934" t="n">
        <v>87.650116508</v>
      </c>
      <c r="U934" t="n">
        <v/>
      </c>
      <c r="V934" t="n">
        <v>123.901290367</v>
      </c>
      <c r="W934" t="n">
        <v>36.118643811</v>
      </c>
      <c r="X934" t="n">
        <v>34.590071575</v>
      </c>
      <c r="Y934" t="n">
        <v/>
      </c>
      <c r="Z934" t="n">
        <v>23.059876415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34.935</v>
      </c>
      <c r="AF934" t="n">
        <v>75.141394492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75.30150365999999</v>
      </c>
      <c r="AM934" t="n">
        <v>36.805034098</v>
      </c>
      <c r="AN934" t="n">
        <v>115.544725251</v>
      </c>
      <c r="AO934" t="n">
        <v>56.50074111</v>
      </c>
      <c r="AP934" t="n">
        <v>38.515606955</v>
      </c>
      <c r="AQ934" t="n">
        <v>71.653914011</v>
      </c>
      <c r="AR934" t="n">
        <v>85.104890879</v>
      </c>
      <c r="AS934" t="n">
        <v>37.696858595</v>
      </c>
      <c r="AT934" t="n">
        <v>75.76023550799999</v>
      </c>
      <c r="AU934" t="n">
        <v/>
      </c>
    </row>
    <row r="935">
      <c r="A935" s="107" t="n">
        <v>35339</v>
      </c>
      <c r="B935" t="n">
        <v>54.6445376</v>
      </c>
      <c r="C935" t="n">
        <v>65.805648635</v>
      </c>
      <c r="D935" t="n">
        <v>80.225845456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69.494208816</v>
      </c>
      <c r="L935" t="n">
        <v>94.92411354399999</v>
      </c>
      <c r="M935" t="n">
        <v>81.8</v>
      </c>
      <c r="N935" t="n">
        <v>103.277086064</v>
      </c>
      <c r="O935" t="n">
        <v/>
      </c>
      <c r="P935" t="n">
        <v/>
      </c>
      <c r="Q935" t="n">
        <v>81.09999999999999</v>
      </c>
      <c r="R935" t="n">
        <v>93.53</v>
      </c>
      <c r="S935" t="n">
        <v>83.795370607</v>
      </c>
      <c r="T935" t="n">
        <v>87.43502419799999</v>
      </c>
      <c r="U935" t="n">
        <v/>
      </c>
      <c r="V935" t="n">
        <v>122.771159889</v>
      </c>
      <c r="W935" t="n">
        <v>36.470163459</v>
      </c>
      <c r="X935" t="n">
        <v>35.122800899</v>
      </c>
      <c r="Y935" t="n">
        <v/>
      </c>
      <c r="Z935" t="n">
        <v>24.248529838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34.473</v>
      </c>
      <c r="AF935" t="n">
        <v>75.085550031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75.358697384</v>
      </c>
      <c r="AM935" t="n">
        <v>37.673570197</v>
      </c>
      <c r="AN935" t="n">
        <v>113.389589239</v>
      </c>
      <c r="AO935" t="n">
        <v>56.269764155</v>
      </c>
      <c r="AP935" t="n">
        <v>38.24749548</v>
      </c>
      <c r="AQ935" t="n">
        <v>72.122750962</v>
      </c>
      <c r="AR935" t="n">
        <v>84.700111374</v>
      </c>
      <c r="AS935" t="n">
        <v>40.696608616</v>
      </c>
      <c r="AT935" t="n">
        <v>75.750220504</v>
      </c>
      <c r="AU935" t="n">
        <v/>
      </c>
    </row>
    <row r="936">
      <c r="A936" s="107" t="n">
        <v>35370</v>
      </c>
      <c r="B936" t="n">
        <v>55.23574589</v>
      </c>
      <c r="C936" t="n">
        <v>65.899722568</v>
      </c>
      <c r="D936" t="n">
        <v>80.726050355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70.49412549</v>
      </c>
      <c r="L936" t="n">
        <v>93.18238669</v>
      </c>
      <c r="M936" t="n">
        <v>82.5</v>
      </c>
      <c r="N936" t="n">
        <v>104.71208726</v>
      </c>
      <c r="O936" t="n">
        <v/>
      </c>
      <c r="P936" t="n">
        <v/>
      </c>
      <c r="Q936" t="n">
        <v>81</v>
      </c>
      <c r="R936" t="n">
        <v>94.67</v>
      </c>
      <c r="S936" t="n">
        <v>84.459745224</v>
      </c>
      <c r="T936" t="n">
        <v>87.865208819</v>
      </c>
      <c r="U936" t="n">
        <v/>
      </c>
      <c r="V936" t="n">
        <v>125.020008735</v>
      </c>
      <c r="W936" t="n">
        <v>37.173202754</v>
      </c>
      <c r="X936" t="n">
        <v>33.959303131</v>
      </c>
      <c r="Y936" t="n">
        <v/>
      </c>
      <c r="Z936" t="n">
        <v>25.912644631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34.935</v>
      </c>
      <c r="AF936" t="n">
        <v>75.71505377299999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75.91831936</v>
      </c>
      <c r="AM936" t="n">
        <v>37.344419912</v>
      </c>
      <c r="AN936" t="n">
        <v>115.188251419</v>
      </c>
      <c r="AO936" t="n">
        <v>55.798469741</v>
      </c>
      <c r="AP936" t="n">
        <v>37.699257112</v>
      </c>
      <c r="AQ936" t="n">
        <v>72.122750962</v>
      </c>
      <c r="AR936" t="n">
        <v>85.813255012</v>
      </c>
      <c r="AS936" t="n">
        <v>40.896591951</v>
      </c>
      <c r="AT936" t="n">
        <v>76.418647674</v>
      </c>
      <c r="AU936" t="n">
        <v/>
      </c>
    </row>
    <row r="937">
      <c r="A937" s="107" t="n">
        <v>35400</v>
      </c>
      <c r="B937" t="n">
        <v>56.16478749</v>
      </c>
      <c r="C937" t="n">
        <v>66.30711049200001</v>
      </c>
      <c r="D937" t="n">
        <v>80.006457342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70.49412549</v>
      </c>
      <c r="L937" t="n">
        <v>95.250687329</v>
      </c>
      <c r="M937" t="n">
        <v>82.40000000000001</v>
      </c>
      <c r="N937" t="n">
        <v>103.178085982</v>
      </c>
      <c r="O937" t="n">
        <v/>
      </c>
      <c r="P937" t="n">
        <v/>
      </c>
      <c r="Q937" t="n">
        <v>78.40000000000001</v>
      </c>
      <c r="R937" t="n">
        <v>94.83</v>
      </c>
      <c r="S937" t="n">
        <v>84.82338137399999</v>
      </c>
      <c r="T937" t="n">
        <v>88.29539344</v>
      </c>
      <c r="U937" t="n">
        <v/>
      </c>
      <c r="V937" t="n">
        <v>124.117090413</v>
      </c>
      <c r="W937" t="n">
        <v>37.319669274</v>
      </c>
      <c r="X937" t="n">
        <v>34.996567975</v>
      </c>
      <c r="Y937" t="n">
        <v/>
      </c>
      <c r="Z937" t="n">
        <v>25.140019906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35.86</v>
      </c>
      <c r="AF937" t="n">
        <v>74.791568672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76.27841107099999</v>
      </c>
      <c r="AM937" t="n">
        <v>37.694462662</v>
      </c>
      <c r="AN937" t="n">
        <v>109.82854363</v>
      </c>
      <c r="AO937" t="n">
        <v>54.90018824</v>
      </c>
      <c r="AP937" t="n">
        <v>37.593706647</v>
      </c>
      <c r="AQ937" t="n">
        <v>71.888332487</v>
      </c>
      <c r="AR937" t="n">
        <v>88.140737165</v>
      </c>
      <c r="AS937" t="n">
        <v>40.296641947</v>
      </c>
      <c r="AT937" t="n">
        <v>76.901648526</v>
      </c>
      <c r="AU937" t="n">
        <v/>
      </c>
    </row>
    <row r="938">
      <c r="A938" s="107" t="n">
        <v>35431</v>
      </c>
      <c r="B938" t="n">
        <v>57.68503737</v>
      </c>
      <c r="C938" t="n">
        <v>65.072093826</v>
      </c>
      <c r="D938" t="n">
        <v>80.067886014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69.59420048299999</v>
      </c>
      <c r="L938" t="n">
        <v>98.080993467</v>
      </c>
      <c r="M938" t="n">
        <v>82.59999999999999</v>
      </c>
      <c r="N938" t="n">
        <v>105.949088291</v>
      </c>
      <c r="O938" t="n">
        <v/>
      </c>
      <c r="P938" t="n">
        <v/>
      </c>
      <c r="Q938" t="n">
        <v>80.59999999999999</v>
      </c>
      <c r="R938" t="n">
        <v>93.98</v>
      </c>
      <c r="S938" t="n">
        <v>85.12354170099999</v>
      </c>
      <c r="T938" t="n">
        <v>88.187847284</v>
      </c>
      <c r="U938" t="n">
        <v/>
      </c>
      <c r="V938" t="n">
        <v>126.175195455</v>
      </c>
      <c r="W938" t="n">
        <v>37.934828658</v>
      </c>
      <c r="X938" t="n">
        <v>34.689358105</v>
      </c>
      <c r="Y938" t="n">
        <v/>
      </c>
      <c r="Z938" t="n">
        <v>27.220163397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33.919</v>
      </c>
      <c r="AF938" t="n">
        <v>72.967932217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76.41249584000001</v>
      </c>
      <c r="AM938" t="n">
        <v>38.481657375</v>
      </c>
      <c r="AN938" t="n">
        <v>113.703119701</v>
      </c>
      <c r="AO938" t="n">
        <v>55.918929646</v>
      </c>
      <c r="AP938" t="n">
        <v>36.238948735</v>
      </c>
      <c r="AQ938" t="n">
        <v>66.106010091</v>
      </c>
      <c r="AR938" t="n">
        <v>88.444321793</v>
      </c>
      <c r="AS938" t="n">
        <v>38.896758603</v>
      </c>
      <c r="AT938" t="n">
        <v>77.040668685</v>
      </c>
      <c r="AU938" t="n">
        <v/>
      </c>
    </row>
    <row r="939">
      <c r="A939" s="107" t="n">
        <v>35462</v>
      </c>
      <c r="B939" t="n">
        <v>56.92491243</v>
      </c>
      <c r="C939" t="n">
        <v>66.50744813599999</v>
      </c>
      <c r="D939" t="n">
        <v>80.43645804499999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70.594117157</v>
      </c>
      <c r="L939" t="n">
        <v>98.18985139500001</v>
      </c>
      <c r="M939" t="n">
        <v>83.09999999999999</v>
      </c>
      <c r="N939" t="n">
        <v>105.110087592</v>
      </c>
      <c r="O939" t="n">
        <v/>
      </c>
      <c r="P939" t="n">
        <v/>
      </c>
      <c r="Q939" t="n">
        <v>80.3</v>
      </c>
      <c r="R939" t="n">
        <v>94.81</v>
      </c>
      <c r="S939" t="n">
        <v>85.895405266</v>
      </c>
      <c r="T939" t="n">
        <v>88.40293959500001</v>
      </c>
      <c r="U939" t="n">
        <v/>
      </c>
      <c r="V939" t="n">
        <v>126.745924685</v>
      </c>
      <c r="W939" t="n">
        <v>38.637867953</v>
      </c>
      <c r="X939" t="n">
        <v>35.479948798</v>
      </c>
      <c r="Y939" t="n">
        <v/>
      </c>
      <c r="Z939" t="n">
        <v>25.793779289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35.397</v>
      </c>
      <c r="AF939" t="n">
        <v>80.45784250299999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77.101544105</v>
      </c>
      <c r="AM939" t="n">
        <v>39.312288342</v>
      </c>
      <c r="AN939" t="n">
        <v>116.648450641</v>
      </c>
      <c r="AO939" t="n">
        <v>58.441180712</v>
      </c>
      <c r="AP939" t="n">
        <v>38.065927178</v>
      </c>
      <c r="AQ939" t="n">
        <v>70.091124175</v>
      </c>
      <c r="AR939" t="n">
        <v>87.53356790799999</v>
      </c>
      <c r="AS939" t="n">
        <v>39.696691942</v>
      </c>
      <c r="AT939" t="n">
        <v>77.950447543</v>
      </c>
      <c r="AU939" t="n">
        <v/>
      </c>
    </row>
    <row r="940">
      <c r="A940" s="107" t="n">
        <v>35490</v>
      </c>
      <c r="B940" t="n">
        <v>56.92491243</v>
      </c>
      <c r="C940" t="n">
        <v>66.46368796500001</v>
      </c>
      <c r="D940" t="n">
        <v>81.43686784400001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71.39405049600001</v>
      </c>
      <c r="L940" t="n">
        <v>97.536703825</v>
      </c>
      <c r="M940" t="n">
        <v>84</v>
      </c>
      <c r="N940" t="n">
        <v>109.293091078</v>
      </c>
      <c r="O940" t="n">
        <v/>
      </c>
      <c r="P940" t="n">
        <v/>
      </c>
      <c r="Q940" t="n">
        <v>80.90000000000001</v>
      </c>
      <c r="R940" t="n">
        <v>95.14</v>
      </c>
      <c r="S940" t="n">
        <v>86.292181042</v>
      </c>
      <c r="T940" t="n">
        <v>87.75766266399999</v>
      </c>
      <c r="U940" t="n">
        <v/>
      </c>
      <c r="V940" t="n">
        <v>127.034600797</v>
      </c>
      <c r="W940" t="n">
        <v>37.671188922</v>
      </c>
      <c r="X940" t="n">
        <v>36.05665757</v>
      </c>
      <c r="Y940" t="n">
        <v/>
      </c>
      <c r="Z940" t="n">
        <v>27.279596068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35.952</v>
      </c>
      <c r="AF940" t="n">
        <v>75.784821737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77.55789677200001</v>
      </c>
      <c r="AM940" t="n">
        <v>38.047916531</v>
      </c>
      <c r="AN940" t="n">
        <v>116.417297262</v>
      </c>
      <c r="AO940" t="n">
        <v>56.352621097</v>
      </c>
      <c r="AP940" t="n">
        <v>37.157686766</v>
      </c>
      <c r="AQ940" t="n">
        <v>69.778566207</v>
      </c>
      <c r="AR940" t="n">
        <v>87.634762784</v>
      </c>
      <c r="AS940" t="n">
        <v>41.396550287</v>
      </c>
      <c r="AT940" t="n">
        <v>78.43642314900001</v>
      </c>
      <c r="AU940" t="n">
        <v/>
      </c>
    </row>
    <row r="941">
      <c r="A941" s="107" t="n">
        <v>35521</v>
      </c>
      <c r="B941" t="n">
        <v>57.7694957</v>
      </c>
      <c r="C941" t="n">
        <v>66.90256442899999</v>
      </c>
      <c r="D941" t="n">
        <v>79.857273425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71.09407549399999</v>
      </c>
      <c r="L941" t="n">
        <v>98.62528310899999</v>
      </c>
      <c r="M941" t="n">
        <v>85</v>
      </c>
      <c r="N941" t="n">
        <v>108.694090578</v>
      </c>
      <c r="O941" t="n">
        <v/>
      </c>
      <c r="P941" t="n">
        <v/>
      </c>
      <c r="Q941" t="n">
        <v>83.40000000000001</v>
      </c>
      <c r="R941" t="n">
        <v>98.47</v>
      </c>
      <c r="S941" t="n">
        <v>86.171306816</v>
      </c>
      <c r="T941" t="n">
        <v>88.187847284</v>
      </c>
      <c r="U941" t="n">
        <v/>
      </c>
      <c r="V941" t="n">
        <v>126.055317962</v>
      </c>
      <c r="W941" t="n">
        <v>38.930800993</v>
      </c>
      <c r="X941" t="n">
        <v>36.085259547</v>
      </c>
      <c r="Y941" t="n">
        <v/>
      </c>
      <c r="Z941" t="n">
        <v>27.398461411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36.599</v>
      </c>
      <c r="AF941" t="n">
        <v>77.83653039799999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77.84805113</v>
      </c>
      <c r="AM941" t="n">
        <v>41.304470173</v>
      </c>
      <c r="AN941" t="n">
        <v>117.034727582</v>
      </c>
      <c r="AO941" t="n">
        <v>56.221265982</v>
      </c>
      <c r="AP941" t="n">
        <v>37.227790821</v>
      </c>
      <c r="AQ941" t="n">
        <v>76.967399456</v>
      </c>
      <c r="AR941" t="n">
        <v>89.355075679</v>
      </c>
      <c r="AS941" t="n">
        <v>41.796516957</v>
      </c>
      <c r="AT941" t="n">
        <v>78.50206604900001</v>
      </c>
      <c r="AU941" t="n">
        <v/>
      </c>
    </row>
    <row r="942">
      <c r="A942" s="107" t="n">
        <v>35551</v>
      </c>
      <c r="B942" t="n">
        <v>55.99587083</v>
      </c>
      <c r="C942" t="n">
        <v>66.80454606799999</v>
      </c>
      <c r="D942" t="n">
        <v>79.392170623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70.194150487</v>
      </c>
      <c r="L942" t="n">
        <v>99.605004464</v>
      </c>
      <c r="M942" t="n">
        <v>84.2</v>
      </c>
      <c r="N942" t="n">
        <v>108.044090037</v>
      </c>
      <c r="O942" t="n">
        <v/>
      </c>
      <c r="P942" t="n">
        <v/>
      </c>
      <c r="Q942" t="n">
        <v>81.59999999999999</v>
      </c>
      <c r="R942" t="n">
        <v>96.65000000000001</v>
      </c>
      <c r="S942" t="n">
        <v>86.679415229</v>
      </c>
      <c r="T942" t="n">
        <v>88.187847284</v>
      </c>
      <c r="U942" t="n">
        <v/>
      </c>
      <c r="V942" t="n">
        <v>127.345602503</v>
      </c>
      <c r="W942" t="n">
        <v>38.110588482</v>
      </c>
      <c r="X942" t="n">
        <v>36.334921308</v>
      </c>
      <c r="Y942" t="n">
        <v/>
      </c>
      <c r="Z942" t="n">
        <v>27.041865384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36.322</v>
      </c>
      <c r="AF942" t="n">
        <v>77.036816926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78.06472929</v>
      </c>
      <c r="AM942" t="n">
        <v>39.438778501</v>
      </c>
      <c r="AN942" t="n">
        <v>115.085160898</v>
      </c>
      <c r="AO942" t="n">
        <v>57.308600082</v>
      </c>
      <c r="AP942" t="n">
        <v>36.992348927</v>
      </c>
      <c r="AQ942" t="n">
        <v>70.40368214199999</v>
      </c>
      <c r="AR942" t="n">
        <v>88.950296174</v>
      </c>
      <c r="AS942" t="n">
        <v>41.69652529</v>
      </c>
      <c r="AT942" t="n">
        <v>78.938462426</v>
      </c>
      <c r="AU942" t="n">
        <v/>
      </c>
    </row>
    <row r="943">
      <c r="A943" s="107" t="n">
        <v>35582</v>
      </c>
      <c r="B943" t="n">
        <v>57.34720406</v>
      </c>
      <c r="C943" t="n">
        <v>67.154852613</v>
      </c>
      <c r="D943" t="n">
        <v>82.29686925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72.993917174</v>
      </c>
      <c r="L943" t="n">
        <v>100.475867891</v>
      </c>
      <c r="M943" t="n">
        <v>85.59999999999999</v>
      </c>
      <c r="N943" t="n">
        <v>109.081090901</v>
      </c>
      <c r="O943" t="n">
        <v/>
      </c>
      <c r="P943" t="n">
        <v/>
      </c>
      <c r="Q943" t="n">
        <v>85.2</v>
      </c>
      <c r="R943" t="n">
        <v>97.36</v>
      </c>
      <c r="S943" t="n">
        <v>87.235071617</v>
      </c>
      <c r="T943" t="n">
        <v>88.51048575</v>
      </c>
      <c r="U943" t="n">
        <v/>
      </c>
      <c r="V943" t="n">
        <v>126.257126924</v>
      </c>
      <c r="W943" t="n">
        <v>40.219706368</v>
      </c>
      <c r="X943" t="n">
        <v>36.654279832</v>
      </c>
      <c r="Y943" t="n">
        <v/>
      </c>
      <c r="Z943" t="n">
        <v>28.289951478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37.153</v>
      </c>
      <c r="AF943" t="n">
        <v>76.98127166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78.75212751700001</v>
      </c>
      <c r="AM943" t="n">
        <v>42.042958314</v>
      </c>
      <c r="AN943" t="n">
        <v>118.764937299</v>
      </c>
      <c r="AO943" t="n">
        <v>57.760360667</v>
      </c>
      <c r="AP943" t="n">
        <v>38.838194631</v>
      </c>
      <c r="AQ943" t="n">
        <v>70.87251909299999</v>
      </c>
      <c r="AR943" t="n">
        <v>88.34312691700001</v>
      </c>
      <c r="AS943" t="n">
        <v>42.196483626</v>
      </c>
      <c r="AT943" t="n">
        <v>79.30713357499999</v>
      </c>
      <c r="AU943" t="n">
        <v/>
      </c>
    </row>
    <row r="944">
      <c r="A944" s="107" t="n">
        <v>35612</v>
      </c>
      <c r="B944" t="n">
        <v>57.7694957</v>
      </c>
      <c r="C944" t="n">
        <v>69.423138232</v>
      </c>
      <c r="D944" t="n">
        <v>81.26135735299999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73.79385051200001</v>
      </c>
      <c r="L944" t="n">
        <v>99.169572751</v>
      </c>
      <c r="M944" t="n">
        <v>86.3</v>
      </c>
      <c r="N944" t="n">
        <v>110.202091835</v>
      </c>
      <c r="O944" t="n">
        <v/>
      </c>
      <c r="P944" t="n">
        <v/>
      </c>
      <c r="Q944" t="n">
        <v>85</v>
      </c>
      <c r="R944" t="n">
        <v>97.56</v>
      </c>
      <c r="S944" t="n">
        <v>87.934017779</v>
      </c>
      <c r="T944" t="n">
        <v>89.69349345800001</v>
      </c>
      <c r="U944" t="n">
        <v/>
      </c>
      <c r="V944" t="n">
        <v>124.926368092</v>
      </c>
      <c r="W944" t="n">
        <v>39.487373769</v>
      </c>
      <c r="X944" t="n">
        <v>36.927031722</v>
      </c>
      <c r="Y944" t="n">
        <v/>
      </c>
      <c r="Z944" t="n">
        <v>28.765412848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36.322</v>
      </c>
      <c r="AF944" t="n">
        <v>81.148133918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79.178782996</v>
      </c>
      <c r="AM944" t="n">
        <v>40.273092018</v>
      </c>
      <c r="AN944" t="n">
        <v>116.503269956</v>
      </c>
      <c r="AO944" t="n">
        <v>58.148404929</v>
      </c>
      <c r="AP944" t="n">
        <v>37.817392749</v>
      </c>
      <c r="AQ944" t="n">
        <v>72.669727405</v>
      </c>
      <c r="AR944" t="n">
        <v>90.063439812</v>
      </c>
      <c r="AS944" t="n">
        <v>41.996500292</v>
      </c>
      <c r="AT944" t="n">
        <v>79.97050366400001</v>
      </c>
      <c r="AU944" t="n">
        <v/>
      </c>
    </row>
    <row r="945">
      <c r="A945" s="107" t="n">
        <v>35643</v>
      </c>
      <c r="B945" t="n">
        <v>59.28974558</v>
      </c>
      <c r="C945" t="n">
        <v>68.60762074100001</v>
      </c>
      <c r="D945" t="n">
        <v>81.928297219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71.39405049600001</v>
      </c>
      <c r="L945" t="n">
        <v>96.665840398</v>
      </c>
      <c r="M945" t="n">
        <v>86.40000000000001</v>
      </c>
      <c r="N945" t="n">
        <v>112.143093453</v>
      </c>
      <c r="O945" t="n">
        <v/>
      </c>
      <c r="P945" t="n">
        <v/>
      </c>
      <c r="Q945" t="n">
        <v>83.90000000000001</v>
      </c>
      <c r="R945" t="n">
        <v>101.29</v>
      </c>
      <c r="S945" t="n">
        <v>88.038240466</v>
      </c>
      <c r="T945" t="n">
        <v>88.940670371</v>
      </c>
      <c r="U945" t="n">
        <v/>
      </c>
      <c r="V945" t="n">
        <v>120.324243833</v>
      </c>
      <c r="W945" t="n">
        <v>40.922745664</v>
      </c>
      <c r="X945" t="n">
        <v>36.814905975</v>
      </c>
      <c r="Y945" t="n">
        <v/>
      </c>
      <c r="Z945" t="n">
        <v>29.122008875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37.431</v>
      </c>
      <c r="AF945" t="n">
        <v>78.738165232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79.38324559500001</v>
      </c>
      <c r="AM945" t="n">
        <v>40.325313432</v>
      </c>
      <c r="AN945" t="n">
        <v>116.288685324</v>
      </c>
      <c r="AO945" t="n">
        <v>58.647171077</v>
      </c>
      <c r="AP945" t="n">
        <v>36.768011068</v>
      </c>
      <c r="AQ945" t="n">
        <v>69.153450273</v>
      </c>
      <c r="AR945" t="n">
        <v>89.557465431</v>
      </c>
      <c r="AS945" t="n">
        <v>43.396383635</v>
      </c>
      <c r="AT945" t="n">
        <v>80.769324207</v>
      </c>
      <c r="AU945" t="n">
        <v/>
      </c>
    </row>
    <row r="946">
      <c r="A946" s="107" t="n">
        <v>35674</v>
      </c>
      <c r="B946" t="n">
        <v>58.36070399</v>
      </c>
      <c r="C946" t="n">
        <v>68.699972303</v>
      </c>
      <c r="D946" t="n">
        <v>83.93789234099999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71.9940005</v>
      </c>
      <c r="L946" t="n">
        <v>99.169572751</v>
      </c>
      <c r="M946" t="n">
        <v>86.2</v>
      </c>
      <c r="N946" t="n">
        <v>111.757093131</v>
      </c>
      <c r="O946" t="n">
        <v/>
      </c>
      <c r="P946" t="n">
        <v/>
      </c>
      <c r="Q946" t="n">
        <v>83.90000000000001</v>
      </c>
      <c r="R946" t="n">
        <v>98.93000000000001</v>
      </c>
      <c r="S946" t="n">
        <v>88.28316165699999</v>
      </c>
      <c r="T946" t="n">
        <v>90.016131923</v>
      </c>
      <c r="U946" t="n">
        <v/>
      </c>
      <c r="V946" t="n">
        <v>126.000450726</v>
      </c>
      <c r="W946" t="n">
        <v>41.127798792</v>
      </c>
      <c r="X946" t="n">
        <v>37.372970148</v>
      </c>
      <c r="Y946" t="n">
        <v/>
      </c>
      <c r="Z946" t="n">
        <v>29.240874217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37.616</v>
      </c>
      <c r="AF946" t="n">
        <v>81.179320995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79.70623074700001</v>
      </c>
      <c r="AM946" t="n">
        <v>41.713990684</v>
      </c>
      <c r="AN946" t="n">
        <v>115.847620482</v>
      </c>
      <c r="AO946" t="n">
        <v>58.015414183</v>
      </c>
      <c r="AP946" t="n">
        <v>37.405716574</v>
      </c>
      <c r="AQ946" t="n">
        <v>71.653914011</v>
      </c>
      <c r="AR946" t="n">
        <v>89.86105006</v>
      </c>
      <c r="AS946" t="n">
        <v>43.296391967</v>
      </c>
      <c r="AT946" t="n">
        <v>81.520152056</v>
      </c>
      <c r="AU946" t="n">
        <v/>
      </c>
    </row>
    <row r="947">
      <c r="A947" s="107" t="n">
        <v>35704</v>
      </c>
      <c r="B947" t="n">
        <v>58.6985373</v>
      </c>
      <c r="C947" t="n">
        <v>68.435183366</v>
      </c>
      <c r="D947" t="n">
        <v>84.376668569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72.993917174</v>
      </c>
      <c r="L947" t="n">
        <v>103.088458172</v>
      </c>
      <c r="M947" t="n">
        <v>87.40000000000001</v>
      </c>
      <c r="N947" t="n">
        <v>112.670093892</v>
      </c>
      <c r="O947" t="n">
        <v/>
      </c>
      <c r="P947" t="n">
        <v/>
      </c>
      <c r="Q947" t="n">
        <v>85.3</v>
      </c>
      <c r="R947" t="n">
        <v>101.37</v>
      </c>
      <c r="S947" t="n">
        <v>88.959072949</v>
      </c>
      <c r="T947" t="n">
        <v>91.091593476</v>
      </c>
      <c r="U947" t="n">
        <v/>
      </c>
      <c r="V947" t="n">
        <v>126.884777976</v>
      </c>
      <c r="W947" t="n">
        <v>41.655078263</v>
      </c>
      <c r="X947" t="n">
        <v>37.550275959</v>
      </c>
      <c r="Y947" t="n">
        <v/>
      </c>
      <c r="Z947" t="n">
        <v>29.181441546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36.784</v>
      </c>
      <c r="AF947" t="n">
        <v>81.713654026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80.21929665499999</v>
      </c>
      <c r="AM947" t="n">
        <v>41.442289671</v>
      </c>
      <c r="AN947" t="n">
        <v>119.016554814</v>
      </c>
      <c r="AO947" t="n">
        <v>57.541597137</v>
      </c>
      <c r="AP947" t="n">
        <v>38.802411781</v>
      </c>
      <c r="AQ947" t="n">
        <v>72.122750962</v>
      </c>
      <c r="AR947" t="n">
        <v>91.27777832699999</v>
      </c>
      <c r="AS947" t="n">
        <v>42.896425298</v>
      </c>
      <c r="AT947" t="n">
        <v>82.233002216</v>
      </c>
      <c r="AU947" t="n">
        <v/>
      </c>
    </row>
    <row r="948">
      <c r="A948" s="107" t="n">
        <v>35735</v>
      </c>
      <c r="B948" t="n">
        <v>59.28974558</v>
      </c>
      <c r="C948" t="n">
        <v>66.80760224399999</v>
      </c>
      <c r="D948" t="n">
        <v>80.60319301200001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73.393883843</v>
      </c>
      <c r="L948" t="n">
        <v>105.701048453</v>
      </c>
      <c r="M948" t="n">
        <v>87.09999999999999</v>
      </c>
      <c r="N948" t="n">
        <v>111.61209301</v>
      </c>
      <c r="O948" t="n">
        <v/>
      </c>
      <c r="P948" t="n">
        <v/>
      </c>
      <c r="Q948" t="n">
        <v>87.2</v>
      </c>
      <c r="R948" t="n">
        <v>99.06999999999999</v>
      </c>
      <c r="S948" t="n">
        <v>88.978782646</v>
      </c>
      <c r="T948" t="n">
        <v>91.736870407</v>
      </c>
      <c r="U948" t="n">
        <v/>
      </c>
      <c r="V948" t="n">
        <v>128.061316185</v>
      </c>
      <c r="W948" t="n">
        <v>43.031863551</v>
      </c>
      <c r="X948" t="n">
        <v>37.583575709</v>
      </c>
      <c r="Y948" t="n">
        <v/>
      </c>
      <c r="Z948" t="n">
        <v>30.310662298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36.322</v>
      </c>
      <c r="AF948" t="n">
        <v>83.598559873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80.260803213</v>
      </c>
      <c r="AM948" t="n">
        <v>42.402655887</v>
      </c>
      <c r="AN948" t="n">
        <v>119.83683888</v>
      </c>
      <c r="AO948" t="n">
        <v>58.163992846</v>
      </c>
      <c r="AP948" t="n">
        <v>39.071461614</v>
      </c>
      <c r="AQ948" t="n">
        <v>73.060424864</v>
      </c>
      <c r="AR948" t="n">
        <v>90.97419369799999</v>
      </c>
      <c r="AS948" t="n">
        <v>42.296475294</v>
      </c>
      <c r="AT948" t="n">
        <v>82.888439628</v>
      </c>
      <c r="AU948" t="n">
        <v/>
      </c>
    </row>
    <row r="949">
      <c r="A949" s="107" t="n">
        <v>35765</v>
      </c>
      <c r="B949" t="n">
        <v>60.97891213</v>
      </c>
      <c r="C949" t="n">
        <v>70.141204945</v>
      </c>
      <c r="D949" t="n">
        <v>77.075432142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74.09382551500001</v>
      </c>
      <c r="L949" t="n">
        <v>105.156758812</v>
      </c>
      <c r="M949" t="n">
        <v>88</v>
      </c>
      <c r="N949" t="n">
        <v>111.839093199</v>
      </c>
      <c r="O949" t="n">
        <v/>
      </c>
      <c r="P949" t="n">
        <v/>
      </c>
      <c r="Q949" t="n">
        <v>88.40000000000001</v>
      </c>
      <c r="R949" t="n">
        <v>101.01</v>
      </c>
      <c r="S949" t="n">
        <v>89.26936512499999</v>
      </c>
      <c r="T949" t="n">
        <v>92.16705502799999</v>
      </c>
      <c r="U949" t="n">
        <v/>
      </c>
      <c r="V949" t="n">
        <v>128.843235761</v>
      </c>
      <c r="W949" t="n">
        <v>42.065184519</v>
      </c>
      <c r="X949" t="n">
        <v>37.427395263</v>
      </c>
      <c r="Y949" t="n">
        <v/>
      </c>
      <c r="Z949" t="n">
        <v>29.835200929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35.767</v>
      </c>
      <c r="AF949" t="n">
        <v>82.562550981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80.35945834899999</v>
      </c>
      <c r="AM949" t="n">
        <v>42.224690379</v>
      </c>
      <c r="AN949" t="n">
        <v>118.375391913</v>
      </c>
      <c r="AO949" t="n">
        <v>56.010993662</v>
      </c>
      <c r="AP949" t="n">
        <v>38.931865679</v>
      </c>
      <c r="AQ949" t="n">
        <v>73.138564356</v>
      </c>
      <c r="AR949" t="n">
        <v>92.59331171700001</v>
      </c>
      <c r="AS949" t="n">
        <v>42.896425298</v>
      </c>
      <c r="AT949" t="n">
        <v>83.26296112599999</v>
      </c>
      <c r="AU949" t="n">
        <v/>
      </c>
    </row>
    <row r="950">
      <c r="A950" s="107" t="n">
        <v>35796</v>
      </c>
      <c r="B950" t="n">
        <v>61.8234954</v>
      </c>
      <c r="C950" t="n">
        <v>69.437356967</v>
      </c>
      <c r="D950" t="n">
        <v>78.488291594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74.89375885299999</v>
      </c>
      <c r="L950" t="n">
        <v>102.435310602</v>
      </c>
      <c r="M950" t="n">
        <v>88.3</v>
      </c>
      <c r="N950" t="n">
        <v>113.38809449</v>
      </c>
      <c r="O950" t="n">
        <v>44.409918415</v>
      </c>
      <c r="P950" t="n">
        <v/>
      </c>
      <c r="Q950" t="n">
        <v>86.59999999999999</v>
      </c>
      <c r="R950" t="n">
        <v>101.03</v>
      </c>
      <c r="S950" t="n">
        <v>89.812841147</v>
      </c>
      <c r="T950" t="n">
        <v>93.13497042500001</v>
      </c>
      <c r="U950" t="n">
        <v/>
      </c>
      <c r="V950" t="n">
        <v>132.154629232</v>
      </c>
      <c r="W950" t="n">
        <v>41.90142905</v>
      </c>
      <c r="X950" t="n">
        <v>37.61059894</v>
      </c>
      <c r="Y950" t="n">
        <v/>
      </c>
      <c r="Z950" t="n">
        <v>31.677613735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33.734</v>
      </c>
      <c r="AF950" t="n">
        <v>82.03896963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80.717265364</v>
      </c>
      <c r="AM950" t="n">
        <v>43.034645865</v>
      </c>
      <c r="AN950" t="n">
        <v>118.833028187</v>
      </c>
      <c r="AO950" t="n">
        <v>53.752983146</v>
      </c>
      <c r="AP950" t="n">
        <v>40.611441156</v>
      </c>
      <c r="AQ950" t="n">
        <v>73.743091155</v>
      </c>
      <c r="AR950" t="n">
        <v>91.378973203</v>
      </c>
      <c r="AS950" t="n">
        <v>43.396383635</v>
      </c>
      <c r="AT950" t="n">
        <v>83.63688767399999</v>
      </c>
      <c r="AU950" t="n">
        <v/>
      </c>
    </row>
    <row r="951">
      <c r="A951" s="107" t="n">
        <v>35827</v>
      </c>
      <c r="B951" t="n">
        <v>62.752537</v>
      </c>
      <c r="C951" t="n">
        <v>70.23293243400001</v>
      </c>
      <c r="D951" t="n">
        <v>79.953804195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74.693775519</v>
      </c>
      <c r="L951" t="n">
        <v>101.455589247</v>
      </c>
      <c r="M951" t="n">
        <v>88.7</v>
      </c>
      <c r="N951" t="n">
        <v>115.838096532</v>
      </c>
      <c r="O951" t="n">
        <v>43.725905253</v>
      </c>
      <c r="P951" t="n">
        <v/>
      </c>
      <c r="Q951" t="n">
        <v>88.09999999999999</v>
      </c>
      <c r="R951" t="n">
        <v>101.73</v>
      </c>
      <c r="S951" t="n">
        <v>89.46035266600001</v>
      </c>
      <c r="T951" t="n">
        <v>93.887793511</v>
      </c>
      <c r="U951" t="n">
        <v/>
      </c>
      <c r="V951" t="n">
        <v>134.063225297</v>
      </c>
      <c r="W951" t="n">
        <v>43.368565921</v>
      </c>
      <c r="X951" t="n">
        <v>37.982966829</v>
      </c>
      <c r="Y951" t="n">
        <v/>
      </c>
      <c r="Z951" t="n">
        <v>32.985132501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34.011</v>
      </c>
      <c r="AF951" t="n">
        <v>85.488768666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80.758754294</v>
      </c>
      <c r="AM951" t="n">
        <v>43.610115215</v>
      </c>
      <c r="AN951" t="n">
        <v>124.427500166</v>
      </c>
      <c r="AO951" t="n">
        <v>56.253887304</v>
      </c>
      <c r="AP951" t="n">
        <v>40.330057895</v>
      </c>
      <c r="AQ951" t="n">
        <v>74.58320232</v>
      </c>
      <c r="AR951" t="n">
        <v>91.27777832699999</v>
      </c>
      <c r="AS951" t="n">
        <v>43.496375302</v>
      </c>
      <c r="AT951" t="n">
        <v>83.77551119899999</v>
      </c>
      <c r="AU951" t="n">
        <v/>
      </c>
    </row>
    <row r="952">
      <c r="A952" s="107" t="n">
        <v>35855</v>
      </c>
      <c r="B952" t="n">
        <v>63.17482863</v>
      </c>
      <c r="C952" t="n">
        <v>69.698798555</v>
      </c>
      <c r="D952" t="n">
        <v>79.620334262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75.693692192</v>
      </c>
      <c r="L952" t="n">
        <v>103.415031957</v>
      </c>
      <c r="M952" t="n">
        <v>88.7</v>
      </c>
      <c r="N952" t="n">
        <v>114.654095545</v>
      </c>
      <c r="O952" t="n">
        <v>43.543986859</v>
      </c>
      <c r="P952" t="n">
        <v/>
      </c>
      <c r="Q952" t="n">
        <v>89.3</v>
      </c>
      <c r="R952" t="n">
        <v>100.55</v>
      </c>
      <c r="S952" t="n">
        <v>89.18314549500001</v>
      </c>
      <c r="T952" t="n">
        <v>94.42552428800001</v>
      </c>
      <c r="U952" t="n">
        <v/>
      </c>
      <c r="V952" t="n">
        <v>143.658950615</v>
      </c>
      <c r="W952" t="n">
        <v>43.485936871</v>
      </c>
      <c r="X952" t="n">
        <v>37.465762986</v>
      </c>
      <c r="Y952" t="n">
        <v/>
      </c>
      <c r="Z952" t="n">
        <v>33.282295857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32.625</v>
      </c>
      <c r="AF952" t="n">
        <v>82.74624774199999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80.556070701</v>
      </c>
      <c r="AM952" t="n">
        <v>42.465262105</v>
      </c>
      <c r="AN952" t="n">
        <v>123.649369863</v>
      </c>
      <c r="AO952" t="n">
        <v>55.465830375</v>
      </c>
      <c r="AP952" t="n">
        <v>41.822922922</v>
      </c>
      <c r="AQ952" t="n">
        <v>73.92978252499999</v>
      </c>
      <c r="AR952" t="n">
        <v>91.98614246</v>
      </c>
      <c r="AS952" t="n">
        <v>44.196316974</v>
      </c>
      <c r="AT952" t="n">
        <v>83.80991918399999</v>
      </c>
      <c r="AU952" t="n">
        <v/>
      </c>
    </row>
    <row r="953">
      <c r="A953" s="107" t="n">
        <v>35886</v>
      </c>
      <c r="B953" t="n">
        <v>62.66807867</v>
      </c>
      <c r="C953" t="n">
        <v>69.87501136500001</v>
      </c>
      <c r="D953" t="n">
        <v>80.278498603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74.993750521</v>
      </c>
      <c r="L953" t="n">
        <v>97.86327761</v>
      </c>
      <c r="M953" t="n">
        <v>89</v>
      </c>
      <c r="N953" t="n">
        <v>115.360096133</v>
      </c>
      <c r="O953" t="n">
        <v>42.859973696</v>
      </c>
      <c r="P953" t="n">
        <v/>
      </c>
      <c r="Q953" t="n">
        <v>90</v>
      </c>
      <c r="R953" t="n">
        <v>101.83</v>
      </c>
      <c r="S953" t="n">
        <v>89.262275847</v>
      </c>
      <c r="T953" t="n">
        <v>94.102885822</v>
      </c>
      <c r="U953" t="n">
        <v/>
      </c>
      <c r="V953" t="n">
        <v>138.496729869</v>
      </c>
      <c r="W953" t="n">
        <v>43.95542067</v>
      </c>
      <c r="X953" t="n">
        <v>37.934927155</v>
      </c>
      <c r="Y953" t="n">
        <v/>
      </c>
      <c r="Z953" t="n">
        <v>32.45023846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32.255</v>
      </c>
      <c r="AF953" t="n">
        <v>81.154774772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80.511485226</v>
      </c>
      <c r="AM953" t="n">
        <v>43.194680865</v>
      </c>
      <c r="AN953" t="n">
        <v>124.861020711</v>
      </c>
      <c r="AO953" t="n">
        <v>54.761041419</v>
      </c>
      <c r="AP953" t="n">
        <v>41.643218006</v>
      </c>
      <c r="AQ953" t="n">
        <v>74.39651095000001</v>
      </c>
      <c r="AR953" t="n">
        <v>93.09928609799999</v>
      </c>
      <c r="AS953" t="n">
        <v>43.296391967</v>
      </c>
      <c r="AT953" t="n">
        <v>84.113641543</v>
      </c>
      <c r="AU953" t="n">
        <v/>
      </c>
    </row>
    <row r="954">
      <c r="A954" s="107" t="n">
        <v>35916</v>
      </c>
      <c r="B954" t="n">
        <v>63.25928696</v>
      </c>
      <c r="C954" t="n">
        <v>69.847766619</v>
      </c>
      <c r="D954" t="n">
        <v>81.85809302200001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75.39371719</v>
      </c>
      <c r="L954" t="n">
        <v>98.298709324</v>
      </c>
      <c r="M954" t="n">
        <v>89.40000000000001</v>
      </c>
      <c r="N954" t="n">
        <v>115.784096487</v>
      </c>
      <c r="O954" t="n">
        <v>41.90672131</v>
      </c>
      <c r="P954" t="n">
        <v/>
      </c>
      <c r="Q954" t="n">
        <v>89.59999999999999</v>
      </c>
      <c r="R954" t="n">
        <v>103.13</v>
      </c>
      <c r="S954" t="n">
        <v>89.354383787</v>
      </c>
      <c r="T954" t="n">
        <v>92.704785804</v>
      </c>
      <c r="U954" t="n">
        <v/>
      </c>
      <c r="V954" t="n">
        <v>134.317650427</v>
      </c>
      <c r="W954" t="n">
        <v>45.070444692</v>
      </c>
      <c r="X954" t="n">
        <v>37.959184867</v>
      </c>
      <c r="Y954" t="n">
        <v/>
      </c>
      <c r="Z954" t="n">
        <v>32.806834487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32.625</v>
      </c>
      <c r="AF954" t="n">
        <v>82.122396522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80.63230318799999</v>
      </c>
      <c r="AM954" t="n">
        <v>43.474401709</v>
      </c>
      <c r="AN954" t="n">
        <v>125.566798374</v>
      </c>
      <c r="AO954" t="n">
        <v>52.36624045</v>
      </c>
      <c r="AP954" t="n">
        <v>39.948105675</v>
      </c>
      <c r="AQ954" t="n">
        <v>74.20981958</v>
      </c>
      <c r="AR954" t="n">
        <v>91.581362955</v>
      </c>
      <c r="AS954" t="n">
        <v>44.296308641</v>
      </c>
      <c r="AT954" t="n">
        <v>84.641263702</v>
      </c>
      <c r="AU954" t="n">
        <v/>
      </c>
    </row>
    <row r="955">
      <c r="A955" s="107" t="n">
        <v>35947</v>
      </c>
      <c r="B955" t="n">
        <v>63.76603692</v>
      </c>
      <c r="C955" t="n">
        <v>71.10547954099999</v>
      </c>
      <c r="D955" t="n">
        <v>80.690948257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74.793767186</v>
      </c>
      <c r="L955" t="n">
        <v>110.381939374</v>
      </c>
      <c r="M955" t="n">
        <v>88.90000000000001</v>
      </c>
      <c r="N955" t="n">
        <v>115.605096338</v>
      </c>
      <c r="O955" t="n">
        <v>41.404626542</v>
      </c>
      <c r="P955" t="n">
        <v/>
      </c>
      <c r="Q955" t="n">
        <v>88.40000000000001</v>
      </c>
      <c r="R955" t="n">
        <v>102.46</v>
      </c>
      <c r="S955" t="n">
        <v>88.94356891699999</v>
      </c>
      <c r="T955" t="n">
        <v>91.951962717</v>
      </c>
      <c r="U955" t="n">
        <v/>
      </c>
      <c r="V955" t="n">
        <v>135.925169019</v>
      </c>
      <c r="W955" t="n">
        <v>45.363872067</v>
      </c>
      <c r="X955" t="n">
        <v>38.540717982</v>
      </c>
      <c r="Y955" t="n">
        <v/>
      </c>
      <c r="Z955" t="n">
        <v>32.866267158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32.163</v>
      </c>
      <c r="AF955" t="n">
        <v>85.026428228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80.179689201</v>
      </c>
      <c r="AM955" t="n">
        <v>43.144676799</v>
      </c>
      <c r="AN955" t="n">
        <v>122.290961938</v>
      </c>
      <c r="AO955" t="n">
        <v>51.205833991</v>
      </c>
      <c r="AP955" t="n">
        <v>39.321503876</v>
      </c>
      <c r="AQ955" t="n">
        <v>72.249560195</v>
      </c>
      <c r="AR955" t="n">
        <v>93.706455355</v>
      </c>
      <c r="AS955" t="n">
        <v>42.296475294</v>
      </c>
      <c r="AT955" t="n">
        <v>84.132580809</v>
      </c>
      <c r="AU955" t="n">
        <v/>
      </c>
    </row>
    <row r="956">
      <c r="A956" s="107" t="n">
        <v>35977</v>
      </c>
      <c r="B956" t="n">
        <v>63.85049525</v>
      </c>
      <c r="C956" t="n">
        <v>70.694713194</v>
      </c>
      <c r="D956" t="n">
        <v>81.384214697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76.39363386399999</v>
      </c>
      <c r="L956" t="n">
        <v>115.062830294</v>
      </c>
      <c r="M956" t="n">
        <v>89.90000000000001</v>
      </c>
      <c r="N956" t="n">
        <v>115.411096176</v>
      </c>
      <c r="O956" t="n">
        <v>40.218518611</v>
      </c>
      <c r="P956" t="n">
        <v/>
      </c>
      <c r="Q956" t="n">
        <v>89.3</v>
      </c>
      <c r="R956" t="n">
        <v>103.07</v>
      </c>
      <c r="S956" t="n">
        <v>88.904619599</v>
      </c>
      <c r="T956" t="n">
        <v>91.414231941</v>
      </c>
      <c r="U956" t="n">
        <v/>
      </c>
      <c r="V956" t="n">
        <v>136.90325911</v>
      </c>
      <c r="W956" t="n">
        <v>45.539928491</v>
      </c>
      <c r="X956" t="n">
        <v>38.330911008</v>
      </c>
      <c r="Y956" t="n">
        <v/>
      </c>
      <c r="Z956" t="n">
        <v>34.054920582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31.516</v>
      </c>
      <c r="AF956" t="n">
        <v>70.640914721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80.194876515</v>
      </c>
      <c r="AM956" t="n">
        <v>42.556857324</v>
      </c>
      <c r="AN956" t="n">
        <v>124.252449179</v>
      </c>
      <c r="AO956" t="n">
        <v>49.786380968</v>
      </c>
      <c r="AP956" t="n">
        <v>39.981368351</v>
      </c>
      <c r="AQ956" t="n">
        <v>73.08967136</v>
      </c>
      <c r="AR956" t="n">
        <v>94.414819489</v>
      </c>
      <c r="AS956" t="n">
        <v>42.696441963</v>
      </c>
      <c r="AT956" t="n">
        <v>83.79494625700001</v>
      </c>
      <c r="AU956" t="n">
        <v/>
      </c>
    </row>
    <row r="957">
      <c r="A957" s="107" t="n">
        <v>36008</v>
      </c>
      <c r="B957" t="n">
        <v>63.25928696</v>
      </c>
      <c r="C957" t="n">
        <v>69.564049889</v>
      </c>
      <c r="D957" t="n">
        <v>80.032783916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74.693775519</v>
      </c>
      <c r="L957" t="n">
        <v>109.837649732</v>
      </c>
      <c r="M957" t="n">
        <v>88.5</v>
      </c>
      <c r="N957" t="n">
        <v>115.469096224</v>
      </c>
      <c r="O957" t="n">
        <v>40.720613379</v>
      </c>
      <c r="P957" t="n">
        <v/>
      </c>
      <c r="Q957" t="n">
        <v>88.8</v>
      </c>
      <c r="R957" t="n">
        <v>100.46</v>
      </c>
      <c r="S957" t="n">
        <v>88.99180862599999</v>
      </c>
      <c r="T957" t="n">
        <v>91.629324252</v>
      </c>
      <c r="U957" t="n">
        <v/>
      </c>
      <c r="V957" t="n">
        <v>139.9093367</v>
      </c>
      <c r="W957" t="n">
        <v>45.833355865</v>
      </c>
      <c r="X957" t="n">
        <v>38.48765743</v>
      </c>
      <c r="Y957" t="n">
        <v/>
      </c>
      <c r="Z957" t="n">
        <v>35.659602704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32.81</v>
      </c>
      <c r="AF957" t="n">
        <v>77.24389060599999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80.28274330000001</v>
      </c>
      <c r="AM957" t="n">
        <v>43.099738833</v>
      </c>
      <c r="AN957" t="n">
        <v>122.063509899</v>
      </c>
      <c r="AO957" t="n">
        <v>49.291151096</v>
      </c>
      <c r="AP957" t="n">
        <v>39.760248889</v>
      </c>
      <c r="AQ957" t="n">
        <v>74.116473895</v>
      </c>
      <c r="AR957" t="n">
        <v>95.52796312700001</v>
      </c>
      <c r="AS957" t="n">
        <v>42.996416965</v>
      </c>
      <c r="AT957" t="n">
        <v>85.520600913</v>
      </c>
      <c r="AU957" t="n">
        <v/>
      </c>
    </row>
    <row r="958">
      <c r="A958" s="107" t="n">
        <v>36039</v>
      </c>
      <c r="B958" t="n">
        <v>65.20182848</v>
      </c>
      <c r="C958" t="n">
        <v>69.524042153</v>
      </c>
      <c r="D958" t="n">
        <v>79.68176293400001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74.193817182</v>
      </c>
      <c r="L958" t="n">
        <v>108.857928376</v>
      </c>
      <c r="M958" t="n">
        <v>88.90000000000001</v>
      </c>
      <c r="N958" t="n">
        <v>115.706096422</v>
      </c>
      <c r="O958" t="n">
        <v>38.442995083</v>
      </c>
      <c r="P958" t="n">
        <v/>
      </c>
      <c r="Q958" t="n">
        <v>88.3</v>
      </c>
      <c r="R958" t="n">
        <v>102.28</v>
      </c>
      <c r="S958" t="n">
        <v>89.27067301</v>
      </c>
      <c r="T958" t="n">
        <v>90.76895501</v>
      </c>
      <c r="U958" t="n">
        <v/>
      </c>
      <c r="V958" t="n">
        <v>135.377587659</v>
      </c>
      <c r="W958" t="n">
        <v>45.89204134</v>
      </c>
      <c r="X958" t="n">
        <v>38.415714569</v>
      </c>
      <c r="Y958" t="n">
        <v/>
      </c>
      <c r="Z958" t="n">
        <v>35.243574005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34.658</v>
      </c>
      <c r="AF958" t="n">
        <v>76.333352897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80.61081740500001</v>
      </c>
      <c r="AM958" t="n">
        <v>41.747515997</v>
      </c>
      <c r="AN958" t="n">
        <v>124.66823266</v>
      </c>
      <c r="AO958" t="n">
        <v>46.867131447</v>
      </c>
      <c r="AP958" t="n">
        <v>39.199341553</v>
      </c>
      <c r="AQ958" t="n">
        <v>73.183017045</v>
      </c>
      <c r="AR958" t="n">
        <v>94.212429736</v>
      </c>
      <c r="AS958" t="n">
        <v>43.496375302</v>
      </c>
      <c r="AT958" t="n">
        <v>85.44553796</v>
      </c>
      <c r="AU958" t="n">
        <v/>
      </c>
    </row>
    <row r="959">
      <c r="A959" s="107" t="n">
        <v>36069</v>
      </c>
      <c r="B959" t="n">
        <v>64.9484535</v>
      </c>
      <c r="C959" t="n">
        <v>69.74336603899999</v>
      </c>
      <c r="D959" t="n">
        <v>77.30359577999999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74.693775519</v>
      </c>
      <c r="L959" t="n">
        <v>97.21013004</v>
      </c>
      <c r="M959" t="n">
        <v>89.09999999999999</v>
      </c>
      <c r="N959" t="n">
        <v>116.997097498</v>
      </c>
      <c r="O959" t="n">
        <v>37.8972399</v>
      </c>
      <c r="P959" t="n">
        <v/>
      </c>
      <c r="Q959" t="n">
        <v>89</v>
      </c>
      <c r="R959" t="n">
        <v>102.32</v>
      </c>
      <c r="S959" t="n">
        <v>89.484207758</v>
      </c>
      <c r="T959" t="n">
        <v>90.87650116499999</v>
      </c>
      <c r="U959" t="n">
        <v/>
      </c>
      <c r="V959" t="n">
        <v>139.468254219</v>
      </c>
      <c r="W959" t="n">
        <v>45.715984916</v>
      </c>
      <c r="X959" t="n">
        <v>37.607612594</v>
      </c>
      <c r="Y959" t="n">
        <v/>
      </c>
      <c r="Z959" t="n">
        <v>35.659602704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35.49</v>
      </c>
      <c r="AF959" t="n">
        <v>76.566069003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80.754551005</v>
      </c>
      <c r="AM959" t="n">
        <v>41.945615478</v>
      </c>
      <c r="AN959" t="n">
        <v>124.70256955</v>
      </c>
      <c r="AO959" t="n">
        <v>49.628611799</v>
      </c>
      <c r="AP959" t="n">
        <v>38.718976265</v>
      </c>
      <c r="AQ959" t="n">
        <v>72.71628862</v>
      </c>
      <c r="AR959" t="n">
        <v>94.212429736</v>
      </c>
      <c r="AS959" t="n">
        <v>41.996500292</v>
      </c>
      <c r="AT959" t="n">
        <v>86.036919008</v>
      </c>
      <c r="AU959" t="n">
        <v/>
      </c>
    </row>
    <row r="960">
      <c r="A960" s="107" t="n">
        <v>36100</v>
      </c>
      <c r="B960" t="n">
        <v>64.35724521</v>
      </c>
      <c r="C960" t="n">
        <v>69.446246198</v>
      </c>
      <c r="D960" t="n">
        <v>77.97931117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73.69385884499999</v>
      </c>
      <c r="L960" t="n">
        <v>96.55698246999999</v>
      </c>
      <c r="M960" t="n">
        <v>88.59999999999999</v>
      </c>
      <c r="N960" t="n">
        <v>116.499097083</v>
      </c>
      <c r="O960" t="n">
        <v>40.262179025</v>
      </c>
      <c r="P960" t="n">
        <v/>
      </c>
      <c r="Q960" t="n">
        <v>88.5</v>
      </c>
      <c r="R960" t="n">
        <v>102.93</v>
      </c>
      <c r="S960" t="n">
        <v>89.23861204400001</v>
      </c>
      <c r="T960" t="n">
        <v>90.98404732</v>
      </c>
      <c r="U960" t="n">
        <v/>
      </c>
      <c r="V960" t="n">
        <v>140.044578499</v>
      </c>
      <c r="W960" t="n">
        <v>45.833355865</v>
      </c>
      <c r="X960" t="n">
        <v>39.407883735</v>
      </c>
      <c r="Y960" t="n">
        <v/>
      </c>
      <c r="Z960" t="n">
        <v>34.94641065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36.876</v>
      </c>
      <c r="AF960" t="n">
        <v>74.95030239800001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80.58813381100001</v>
      </c>
      <c r="AM960" t="n">
        <v>40.88150504</v>
      </c>
      <c r="AN960" t="n">
        <v>122.908863326</v>
      </c>
      <c r="AO960" t="n">
        <v>50.417691198</v>
      </c>
      <c r="AP960" t="n">
        <v>38.517538983</v>
      </c>
      <c r="AQ960" t="n">
        <v>74.303165265</v>
      </c>
      <c r="AR960" t="n">
        <v>94.71840411700001</v>
      </c>
      <c r="AS960" t="n">
        <v>41.396550287</v>
      </c>
      <c r="AT960" t="n">
        <v>85.963343432</v>
      </c>
      <c r="AU960" t="n">
        <v/>
      </c>
    </row>
    <row r="961">
      <c r="A961" s="107" t="n">
        <v>36130</v>
      </c>
      <c r="B961" t="n">
        <v>63.17482863</v>
      </c>
      <c r="C961" t="n">
        <v>68.979961023</v>
      </c>
      <c r="D961" t="n">
        <v>75.329102756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73.993833847</v>
      </c>
      <c r="L961" t="n">
        <v>95.577261114</v>
      </c>
      <c r="M961" t="n">
        <v>88.09999999999999</v>
      </c>
      <c r="N961" t="n">
        <v>117.363097803</v>
      </c>
      <c r="O961" t="n">
        <v>39.811021408</v>
      </c>
      <c r="P961" t="n">
        <v/>
      </c>
      <c r="Q961" t="n">
        <v>88.2</v>
      </c>
      <c r="R961" t="n">
        <v>102.18</v>
      </c>
      <c r="S961" t="n">
        <v>89.32573248</v>
      </c>
      <c r="T961" t="n">
        <v>91.414231941</v>
      </c>
      <c r="U961" t="n">
        <v/>
      </c>
      <c r="V961" t="n">
        <v>139.736477907</v>
      </c>
      <c r="W961" t="n">
        <v>47.065750837</v>
      </c>
      <c r="X961" t="n">
        <v>39.01620866</v>
      </c>
      <c r="Y961" t="n">
        <v/>
      </c>
      <c r="Z961" t="n">
        <v>35.184141334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37.431</v>
      </c>
      <c r="AF961" t="n">
        <v>73.694801416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80.423307424</v>
      </c>
      <c r="AM961" t="n">
        <v>41.332746145</v>
      </c>
      <c r="AN961" t="n">
        <v>124.264642785</v>
      </c>
      <c r="AO961" t="n">
        <v>51.799362922</v>
      </c>
      <c r="AP961" t="n">
        <v>38.167163151</v>
      </c>
      <c r="AQ961" t="n">
        <v>71.5961404</v>
      </c>
      <c r="AR961" t="n">
        <v>93.706455355</v>
      </c>
      <c r="AS961" t="n">
        <v>39.096741938</v>
      </c>
      <c r="AT961" t="n">
        <v>86.330626362</v>
      </c>
      <c r="AU961" t="n">
        <v/>
      </c>
    </row>
    <row r="962">
      <c r="A962" s="107" t="n">
        <v>36161</v>
      </c>
      <c r="B962" t="n">
        <v>63.59712027</v>
      </c>
      <c r="C962" t="n">
        <v>69.054257245</v>
      </c>
      <c r="D962" t="n">
        <v>77.654616762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75.19373385599999</v>
      </c>
      <c r="L962" t="n">
        <v>104.285895385</v>
      </c>
      <c r="M962" t="n">
        <v>89.5</v>
      </c>
      <c r="N962" t="n">
        <v>118.266098555</v>
      </c>
      <c r="O962" t="n">
        <v>38.304737103</v>
      </c>
      <c r="P962" t="n">
        <v/>
      </c>
      <c r="Q962" t="n">
        <v>89.59999999999999</v>
      </c>
      <c r="R962" t="n">
        <v>102.48</v>
      </c>
      <c r="S962" t="n">
        <v>90.126909807</v>
      </c>
      <c r="T962" t="n">
        <v>92.16705502799999</v>
      </c>
      <c r="U962" t="n">
        <v/>
      </c>
      <c r="V962" t="n">
        <v>139.168337298</v>
      </c>
      <c r="W962" t="n">
        <v>47.535234636</v>
      </c>
      <c r="X962" t="n">
        <v>39.700189631</v>
      </c>
      <c r="Y962" t="n">
        <v/>
      </c>
      <c r="Z962" t="n">
        <v>39.344428316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37.153</v>
      </c>
      <c r="AF962" t="n">
        <v>80.378694143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81.240400546</v>
      </c>
      <c r="AM962" t="n">
        <v>41.260112894</v>
      </c>
      <c r="AN962" t="n">
        <v>125.278829506</v>
      </c>
      <c r="AO962" t="n">
        <v>52.546812152</v>
      </c>
      <c r="AP962" t="n">
        <v>38.511210522</v>
      </c>
      <c r="AQ962" t="n">
        <v>73.46305409999999</v>
      </c>
      <c r="AR962" t="n">
        <v>93.09928609799999</v>
      </c>
      <c r="AS962" t="n">
        <v>40.796600283</v>
      </c>
      <c r="AT962" t="n">
        <v>86.689480824</v>
      </c>
      <c r="AU962" t="n">
        <v/>
      </c>
    </row>
    <row r="963">
      <c r="A963" s="107" t="n">
        <v>36192</v>
      </c>
      <c r="B963" t="n">
        <v>62.83699532</v>
      </c>
      <c r="C963" t="n">
        <v>68.351708421</v>
      </c>
      <c r="D963" t="n">
        <v>76.443594374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73.79385051200001</v>
      </c>
      <c r="L963" t="n">
        <v>102.326452674</v>
      </c>
      <c r="M963" t="n">
        <v>88.40000000000001</v>
      </c>
      <c r="N963" t="n">
        <v>116.408097007</v>
      </c>
      <c r="O963" t="n">
        <v>38.079158294</v>
      </c>
      <c r="P963" t="n">
        <v/>
      </c>
      <c r="Q963" t="n">
        <v>90.09999999999999</v>
      </c>
      <c r="R963" t="n">
        <v>102.15</v>
      </c>
      <c r="S963" t="n">
        <v>90.08548568000001</v>
      </c>
      <c r="T963" t="n">
        <v>92.16705502799999</v>
      </c>
      <c r="U963" t="n">
        <v/>
      </c>
      <c r="V963" t="n">
        <v>137.578676256</v>
      </c>
      <c r="W963" t="n">
        <v>45.774670391</v>
      </c>
      <c r="X963" t="n">
        <v>39.336942107</v>
      </c>
      <c r="Y963" t="n">
        <v/>
      </c>
      <c r="Z963" t="n">
        <v>36.967121469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38.632</v>
      </c>
      <c r="AF963" t="n">
        <v>82.87810256900001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81.231054786</v>
      </c>
      <c r="AM963" t="n">
        <v>41.355358246</v>
      </c>
      <c r="AN963" t="n">
        <v>128.233952614</v>
      </c>
      <c r="AO963" t="n">
        <v>50.988406409</v>
      </c>
      <c r="AP963" t="n">
        <v>38.227273503</v>
      </c>
      <c r="AQ963" t="n">
        <v>71.316103345</v>
      </c>
      <c r="AR963" t="n">
        <v>94.516014365</v>
      </c>
      <c r="AS963" t="n">
        <v>41.096575285</v>
      </c>
      <c r="AT963" t="n">
        <v>87.18606638599999</v>
      </c>
      <c r="AU963" t="n">
        <v/>
      </c>
    </row>
    <row r="964">
      <c r="A964" s="107" t="n">
        <v>36220</v>
      </c>
      <c r="B964" t="n">
        <v>64.86399517</v>
      </c>
      <c r="C964" t="n">
        <v>69.483243964</v>
      </c>
      <c r="D964" t="n">
        <v>76.548900668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74.293808849</v>
      </c>
      <c r="L964" t="n">
        <v>104.503611241</v>
      </c>
      <c r="M964" t="n">
        <v>88.5</v>
      </c>
      <c r="N964" t="n">
        <v>115.15209596</v>
      </c>
      <c r="O964" t="n">
        <v>38.035497879</v>
      </c>
      <c r="P964" t="n">
        <v/>
      </c>
      <c r="Q964" t="n">
        <v>90.90000000000001</v>
      </c>
      <c r="R964" t="n">
        <v>102.08</v>
      </c>
      <c r="S964" t="n">
        <v>90.60241609099999</v>
      </c>
      <c r="T964" t="n">
        <v>93.995339667</v>
      </c>
      <c r="U964" t="n">
        <v/>
      </c>
      <c r="V964" t="n">
        <v>135.644835397</v>
      </c>
      <c r="W964" t="n">
        <v>47.183121787</v>
      </c>
      <c r="X964" t="n">
        <v>39.213977673</v>
      </c>
      <c r="Y964" t="n">
        <v/>
      </c>
      <c r="Z964" t="n">
        <v>35.421872019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39.279</v>
      </c>
      <c r="AF964" t="n">
        <v>84.242831893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81.684283335</v>
      </c>
      <c r="AM964" t="n">
        <v>43.243332181</v>
      </c>
      <c r="AN964" t="n">
        <v>125.243786954</v>
      </c>
      <c r="AO964" t="n">
        <v>52.21482159</v>
      </c>
      <c r="AP964" t="n">
        <v>38.569907224</v>
      </c>
      <c r="AQ964" t="n">
        <v>71.96952314000001</v>
      </c>
      <c r="AR964" t="n">
        <v>95.426768251</v>
      </c>
      <c r="AS964" t="n">
        <v>41.996500292</v>
      </c>
      <c r="AT964" t="n">
        <v>87.368617108</v>
      </c>
      <c r="AU964" t="n">
        <v/>
      </c>
    </row>
    <row r="965">
      <c r="A965" s="107" t="n">
        <v>36251</v>
      </c>
      <c r="B965" t="n">
        <v>65.37074513</v>
      </c>
      <c r="C965" t="n">
        <v>69.59957882499999</v>
      </c>
      <c r="D965" t="n">
        <v>77.874004876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74.793767186</v>
      </c>
      <c r="L965" t="n">
        <v>98.18985139500001</v>
      </c>
      <c r="M965" t="n">
        <v>89.09999999999999</v>
      </c>
      <c r="N965" t="n">
        <v>117.069097558</v>
      </c>
      <c r="O965" t="n">
        <v>38.668573891</v>
      </c>
      <c r="P965" t="n">
        <v/>
      </c>
      <c r="Q965" t="n">
        <v>91.7</v>
      </c>
      <c r="R965" t="n">
        <v>102.91</v>
      </c>
      <c r="S965" t="n">
        <v>90.53339018600001</v>
      </c>
      <c r="T965" t="n">
        <v>95.28589352900001</v>
      </c>
      <c r="U965" t="n">
        <v/>
      </c>
      <c r="V965" t="n">
        <v>135.502516597</v>
      </c>
      <c r="W965" t="n">
        <v>47.476549162</v>
      </c>
      <c r="X965" t="n">
        <v>39.832340466</v>
      </c>
      <c r="Y965" t="n">
        <v/>
      </c>
      <c r="Z965" t="n">
        <v>36.313362086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38.909</v>
      </c>
      <c r="AF965" t="n">
        <v>85.977632589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81.655126697</v>
      </c>
      <c r="AM965" t="n">
        <v>43.178701754</v>
      </c>
      <c r="AN965" t="n">
        <v>128.012888298</v>
      </c>
      <c r="AO965" t="n">
        <v>51.600683614</v>
      </c>
      <c r="AP965" t="n">
        <v>38.850018418</v>
      </c>
      <c r="AQ965" t="n">
        <v>70.00926375500001</v>
      </c>
      <c r="AR965" t="n">
        <v>93.807650232</v>
      </c>
      <c r="AS965" t="n">
        <v>41.396550287</v>
      </c>
      <c r="AT965" t="n">
        <v>87.56742981799999</v>
      </c>
      <c r="AU965" t="n">
        <v/>
      </c>
    </row>
    <row r="966">
      <c r="A966" s="107" t="n">
        <v>36281</v>
      </c>
      <c r="B966" t="n">
        <v>66.29978672999999</v>
      </c>
      <c r="C966" t="n">
        <v>69.607146998</v>
      </c>
      <c r="D966" t="n">
        <v>79.286864329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75.29372552300001</v>
      </c>
      <c r="L966" t="n">
        <v>101.782163032</v>
      </c>
      <c r="M966" t="n">
        <v>89.2</v>
      </c>
      <c r="N966" t="n">
        <v>117.013097511</v>
      </c>
      <c r="O966" t="n">
        <v>38.122818709</v>
      </c>
      <c r="P966" t="n">
        <v/>
      </c>
      <c r="Q966" t="n">
        <v>91.5</v>
      </c>
      <c r="R966" t="n">
        <v>103.34</v>
      </c>
      <c r="S966" t="n">
        <v>91.234258071</v>
      </c>
      <c r="T966" t="n">
        <v>97.221724323</v>
      </c>
      <c r="U966" t="n">
        <v/>
      </c>
      <c r="V966" t="n">
        <v>139.108458873</v>
      </c>
      <c r="W966" t="n">
        <v>47.065750837</v>
      </c>
      <c r="X966" t="n">
        <v>40.783732711</v>
      </c>
      <c r="Y966" t="n">
        <v/>
      </c>
      <c r="Z966" t="n">
        <v>36.729390785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41.035</v>
      </c>
      <c r="AF966" t="n">
        <v>87.63679385099999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82.420292299</v>
      </c>
      <c r="AM966" t="n">
        <v>44.874423775</v>
      </c>
      <c r="AN966" t="n">
        <v>125.528123196</v>
      </c>
      <c r="AO966" t="n">
        <v>51.770654298</v>
      </c>
      <c r="AP966" t="n">
        <v>39.893924598</v>
      </c>
      <c r="AQ966" t="n">
        <v>72.062868825</v>
      </c>
      <c r="AR966" t="n">
        <v>94.819598993</v>
      </c>
      <c r="AS966" t="n">
        <v>42.796433631</v>
      </c>
      <c r="AT966" t="n">
        <v>88.10100148399999</v>
      </c>
      <c r="AU966" t="n">
        <v/>
      </c>
    </row>
    <row r="967">
      <c r="A967" s="107" t="n">
        <v>36312</v>
      </c>
      <c r="B967" t="n">
        <v>66.72207836</v>
      </c>
      <c r="C967" t="n">
        <v>69.693647845</v>
      </c>
      <c r="D967" t="n">
        <v>78.72523075700001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75.29372552300001</v>
      </c>
      <c r="L967" t="n">
        <v>101.23787339</v>
      </c>
      <c r="M967" t="n">
        <v>89.90000000000001</v>
      </c>
      <c r="N967" t="n">
        <v>118.167098473</v>
      </c>
      <c r="O967" t="n">
        <v>40.080260631</v>
      </c>
      <c r="P967" t="n">
        <v/>
      </c>
      <c r="Q967" t="n">
        <v>92.09999999999999</v>
      </c>
      <c r="R967" t="n">
        <v>104.75</v>
      </c>
      <c r="S967" t="n">
        <v>91.297513928</v>
      </c>
      <c r="T967" t="n">
        <v>97.114178168</v>
      </c>
      <c r="U967" t="n">
        <v/>
      </c>
      <c r="V967" t="n">
        <v>139.158310074</v>
      </c>
      <c r="W967" t="n">
        <v>48.474202234</v>
      </c>
      <c r="X967" t="n">
        <v>40.363606831</v>
      </c>
      <c r="Y967" t="n">
        <v/>
      </c>
      <c r="Z967" t="n">
        <v>37.561448181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41.312</v>
      </c>
      <c r="AF967" t="n">
        <v>86.76567470800001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82.552169678</v>
      </c>
      <c r="AM967" t="n">
        <v>43.19713607</v>
      </c>
      <c r="AN967" t="n">
        <v>129.506101128</v>
      </c>
      <c r="AO967" t="n">
        <v>51.412136376</v>
      </c>
      <c r="AP967" t="n">
        <v>38.491527679</v>
      </c>
      <c r="AQ967" t="n">
        <v>73.556399785</v>
      </c>
      <c r="AR967" t="n">
        <v>95.325573374</v>
      </c>
      <c r="AS967" t="n">
        <v>42.796433631</v>
      </c>
      <c r="AT967" t="n">
        <v>88.05052982799999</v>
      </c>
      <c r="AU967" t="n">
        <v/>
      </c>
    </row>
    <row r="968">
      <c r="A968" s="107" t="n">
        <v>36342</v>
      </c>
      <c r="B968" t="n">
        <v>65.8774951</v>
      </c>
      <c r="C968" t="n">
        <v>70.649339036</v>
      </c>
      <c r="D968" t="n">
        <v>77.742372008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75.893675527</v>
      </c>
      <c r="L968" t="n">
        <v>99.713862393</v>
      </c>
      <c r="M968" t="n">
        <v>90.59999999999999</v>
      </c>
      <c r="N968" t="n">
        <v>119.762099802</v>
      </c>
      <c r="O968" t="n">
        <v>40.080260631</v>
      </c>
      <c r="P968" t="n">
        <v/>
      </c>
      <c r="Q968" t="n">
        <v>91.59999999999999</v>
      </c>
      <c r="R968" t="n">
        <v>104.99</v>
      </c>
      <c r="S968" t="n">
        <v>91.89057637499999</v>
      </c>
      <c r="T968" t="n">
        <v>98.619824341</v>
      </c>
      <c r="U968" t="n">
        <v/>
      </c>
      <c r="V968" t="n">
        <v>142.520826916</v>
      </c>
      <c r="W968" t="n">
        <v>49.061056983</v>
      </c>
      <c r="X968" t="n">
        <v>40.792419488</v>
      </c>
      <c r="Y968" t="n">
        <v/>
      </c>
      <c r="Z968" t="n">
        <v>39.938755028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42.606</v>
      </c>
      <c r="AF968" t="n">
        <v>87.22055905800001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83.109820623</v>
      </c>
      <c r="AM968" t="n">
        <v>44.27631692</v>
      </c>
      <c r="AN968" t="n">
        <v>126.503024963</v>
      </c>
      <c r="AO968" t="n">
        <v>52.822745303</v>
      </c>
      <c r="AP968" t="n">
        <v>38.594507695</v>
      </c>
      <c r="AQ968" t="n">
        <v>72.249560195</v>
      </c>
      <c r="AR968" t="n">
        <v>95.02198874600001</v>
      </c>
      <c r="AS968" t="n">
        <v>42.096491959</v>
      </c>
      <c r="AT968" t="n">
        <v>88.560303465</v>
      </c>
      <c r="AU968" t="n">
        <v/>
      </c>
    </row>
    <row r="969">
      <c r="A969" s="107" t="n">
        <v>36373</v>
      </c>
      <c r="B969" t="n">
        <v>66.89099502000001</v>
      </c>
      <c r="C969" t="n">
        <v>71.088705133</v>
      </c>
      <c r="D969" t="n">
        <v>79.041149641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76.59361719899999</v>
      </c>
      <c r="L969" t="n">
        <v>97.86327761</v>
      </c>
      <c r="M969" t="n">
        <v>90.5</v>
      </c>
      <c r="N969" t="n">
        <v>118.568098807</v>
      </c>
      <c r="O969" t="n">
        <v>40.080260631</v>
      </c>
      <c r="P969" t="n">
        <v/>
      </c>
      <c r="Q969" t="n">
        <v>90.5</v>
      </c>
      <c r="R969" t="n">
        <v>103.04</v>
      </c>
      <c r="S969" t="n">
        <v>92.37561270899999</v>
      </c>
      <c r="T969" t="n">
        <v>99.37264742799999</v>
      </c>
      <c r="U969" t="n">
        <v/>
      </c>
      <c r="V969" t="n">
        <v>140.941050381</v>
      </c>
      <c r="W969" t="n">
        <v>50.704250279</v>
      </c>
      <c r="X969" t="n">
        <v>41.1175818</v>
      </c>
      <c r="Y969" t="n">
        <v/>
      </c>
      <c r="Z969" t="n">
        <v>38.571803591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42.606</v>
      </c>
      <c r="AF969" t="n">
        <v>93.127531937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83.30903496000001</v>
      </c>
      <c r="AM969" t="n">
        <v>44.710392589</v>
      </c>
      <c r="AN969" t="n">
        <v>128.29043375</v>
      </c>
      <c r="AO969" t="n">
        <v>52.930558767</v>
      </c>
      <c r="AP969" t="n">
        <v>39.475270408</v>
      </c>
      <c r="AQ969" t="n">
        <v>73.183017045</v>
      </c>
      <c r="AR969" t="n">
        <v>93.504065603</v>
      </c>
      <c r="AS969" t="n">
        <v>39.596700275</v>
      </c>
      <c r="AT969" t="n">
        <v>88.955945715</v>
      </c>
      <c r="AU969" t="n">
        <v/>
      </c>
    </row>
    <row r="970">
      <c r="A970" s="107" t="n">
        <v>36404</v>
      </c>
      <c r="B970" t="n">
        <v>67.56666164000001</v>
      </c>
      <c r="C970" t="n">
        <v>71.11072477099999</v>
      </c>
      <c r="D970" t="n">
        <v>80.067886014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76.29364219599999</v>
      </c>
      <c r="L970" t="n">
        <v>103.741605743</v>
      </c>
      <c r="M970" t="n">
        <v>91.3</v>
      </c>
      <c r="N970" t="n">
        <v>119.911099926</v>
      </c>
      <c r="O970" t="n">
        <v>39.898342237</v>
      </c>
      <c r="P970" t="n">
        <v/>
      </c>
      <c r="Q970" t="n">
        <v>92.8</v>
      </c>
      <c r="R970" t="n">
        <v>105.85</v>
      </c>
      <c r="S970" t="n">
        <v>92.54430949100001</v>
      </c>
      <c r="T970" t="n">
        <v>99.37264742799999</v>
      </c>
      <c r="U970" t="n">
        <v/>
      </c>
      <c r="V970" t="n">
        <v>141.068344692</v>
      </c>
      <c r="W970" t="n">
        <v>51.760588826</v>
      </c>
      <c r="X970" t="n">
        <v>41.099661293</v>
      </c>
      <c r="Y970" t="n">
        <v/>
      </c>
      <c r="Z970" t="n">
        <v>41.186841123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44.732</v>
      </c>
      <c r="AF970" t="n">
        <v>93.985595621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83.790622383</v>
      </c>
      <c r="AM970" t="n">
        <v>45.569434271</v>
      </c>
      <c r="AN970" t="n">
        <v>125.714692426</v>
      </c>
      <c r="AO970" t="n">
        <v>53.557379967</v>
      </c>
      <c r="AP970" t="n">
        <v>38.863220056</v>
      </c>
      <c r="AQ970" t="n">
        <v>74.116473895</v>
      </c>
      <c r="AR970" t="n">
        <v>96.742301641</v>
      </c>
      <c r="AS970" t="n">
        <v>40.696608616</v>
      </c>
      <c r="AT970" t="n">
        <v>88.581325058</v>
      </c>
      <c r="AU970" t="n">
        <v/>
      </c>
    </row>
    <row r="971">
      <c r="A971" s="107" t="n">
        <v>36434</v>
      </c>
      <c r="B971" t="n">
        <v>68.24232825999999</v>
      </c>
      <c r="C971" t="n">
        <v>71.571746795</v>
      </c>
      <c r="D971" t="n">
        <v>81.366663648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77.093575535</v>
      </c>
      <c r="L971" t="n">
        <v>106.680769809</v>
      </c>
      <c r="M971" t="n">
        <v>92.3</v>
      </c>
      <c r="N971" t="n">
        <v>120.416100347</v>
      </c>
      <c r="O971" t="n">
        <v>41.76846333</v>
      </c>
      <c r="P971" t="n">
        <v/>
      </c>
      <c r="Q971" t="n">
        <v>91.8</v>
      </c>
      <c r="R971" t="n">
        <v>107.18</v>
      </c>
      <c r="S971" t="n">
        <v>93.198709913</v>
      </c>
      <c r="T971" t="n">
        <v>98.40473203099999</v>
      </c>
      <c r="U971" t="n">
        <v/>
      </c>
      <c r="V971" t="n">
        <v>143.442934341</v>
      </c>
      <c r="W971" t="n">
        <v>52.40612905</v>
      </c>
      <c r="X971" t="n">
        <v>40.789719106</v>
      </c>
      <c r="Y971" t="n">
        <v/>
      </c>
      <c r="Z971" t="n">
        <v>42.434927217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44.824</v>
      </c>
      <c r="AF971" t="n">
        <v>93.07949194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84.321929579</v>
      </c>
      <c r="AM971" t="n">
        <v>45.972554454</v>
      </c>
      <c r="AN971" t="n">
        <v>127.538312901</v>
      </c>
      <c r="AO971" t="n">
        <v>51.90335586</v>
      </c>
      <c r="AP971" t="n">
        <v>39.160665317</v>
      </c>
      <c r="AQ971" t="n">
        <v>75.51665917</v>
      </c>
      <c r="AR971" t="n">
        <v>96.742301641</v>
      </c>
      <c r="AS971" t="n">
        <v>40.396633614</v>
      </c>
      <c r="AT971" t="n">
        <v>89.73086906899999</v>
      </c>
      <c r="AU971" t="n">
        <v/>
      </c>
    </row>
    <row r="972">
      <c r="A972" s="107" t="n">
        <v>36465</v>
      </c>
      <c r="B972" t="n">
        <v>72.21186963</v>
      </c>
      <c r="C972" t="n">
        <v>73.557604313</v>
      </c>
      <c r="D972" t="n">
        <v>80.743601404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76.993583868</v>
      </c>
      <c r="L972" t="n">
        <v>108.422496663</v>
      </c>
      <c r="M972" t="n">
        <v>92.7</v>
      </c>
      <c r="N972" t="n">
        <v>121.169100974</v>
      </c>
      <c r="O972" t="n">
        <v>41.179047733</v>
      </c>
      <c r="P972" t="n">
        <v/>
      </c>
      <c r="Q972" t="n">
        <v>91.7</v>
      </c>
      <c r="R972" t="n">
        <v>107.27</v>
      </c>
      <c r="S972" t="n">
        <v>93.70302707800001</v>
      </c>
      <c r="T972" t="n">
        <v>98.512278186</v>
      </c>
      <c r="U972" t="n">
        <v/>
      </c>
      <c r="V972" t="n">
        <v>142.602860734</v>
      </c>
      <c r="W972" t="n">
        <v>53.169040223</v>
      </c>
      <c r="X972" t="n">
        <v>40.780961533</v>
      </c>
      <c r="Y972" t="n">
        <v/>
      </c>
      <c r="Z972" t="n">
        <v>41.127408451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46.858</v>
      </c>
      <c r="AF972" t="n">
        <v>91.411158908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85.029798559</v>
      </c>
      <c r="AM972" t="n">
        <v>46.423355103</v>
      </c>
      <c r="AN972" t="n">
        <v>129.377620238</v>
      </c>
      <c r="AO972" t="n">
        <v>53.394090728</v>
      </c>
      <c r="AP972" t="n">
        <v>39.718091354</v>
      </c>
      <c r="AQ972" t="n">
        <v>74.58320232</v>
      </c>
      <c r="AR972" t="n">
        <v>97.04588627</v>
      </c>
      <c r="AS972" t="n">
        <v>40.996583618</v>
      </c>
      <c r="AT972" t="n">
        <v>90.19949194500001</v>
      </c>
      <c r="AU972" t="n">
        <v/>
      </c>
    </row>
    <row r="973">
      <c r="A973" s="107" t="n">
        <v>36495</v>
      </c>
      <c r="B973" t="n">
        <v>68.74907822</v>
      </c>
      <c r="C973" t="n">
        <v>72.166079422</v>
      </c>
      <c r="D973" t="n">
        <v>81.454418893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77.093575535</v>
      </c>
      <c r="L973" t="n">
        <v>110.926229015</v>
      </c>
      <c r="M973" t="n">
        <v>92.40000000000001</v>
      </c>
      <c r="N973" t="n">
        <v>121.994101662</v>
      </c>
      <c r="O973" t="n">
        <v>41.310028977</v>
      </c>
      <c r="P973" t="n">
        <v/>
      </c>
      <c r="Q973" t="n">
        <v>98.90000000000001</v>
      </c>
      <c r="R973" t="n">
        <v>106.36</v>
      </c>
      <c r="S973" t="n">
        <v>93.79109299</v>
      </c>
      <c r="T973" t="n">
        <v>96.038716616</v>
      </c>
      <c r="U973" t="n">
        <v/>
      </c>
      <c r="V973" t="n">
        <v>145.200383662</v>
      </c>
      <c r="W973" t="n">
        <v>51.115048603</v>
      </c>
      <c r="X973" t="n">
        <v>42.106048651</v>
      </c>
      <c r="Y973" t="n">
        <v/>
      </c>
      <c r="Z973" t="n">
        <v>41.365139136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46.673</v>
      </c>
      <c r="AF973" t="n">
        <v>93.37352439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85.244645904</v>
      </c>
      <c r="AM973" t="n">
        <v>49.153775446</v>
      </c>
      <c r="AN973" t="n">
        <v>129.295579174</v>
      </c>
      <c r="AO973" t="n">
        <v>62.033878106</v>
      </c>
      <c r="AP973" t="n">
        <v>39.22380064</v>
      </c>
      <c r="AQ973" t="n">
        <v>75.89004190999999</v>
      </c>
      <c r="AR973" t="n">
        <v>96.641106765</v>
      </c>
      <c r="AS973" t="n">
        <v>41.196566953</v>
      </c>
      <c r="AT973" t="n">
        <v>90.908871559</v>
      </c>
      <c r="AU973" t="n">
        <v/>
      </c>
    </row>
    <row r="974">
      <c r="A974" s="107" t="n">
        <v>36526</v>
      </c>
      <c r="B974" t="n">
        <v>66.55316171</v>
      </c>
      <c r="C974" t="n">
        <v>64.894592117</v>
      </c>
      <c r="D974" t="n">
        <v>80.682172732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76.49362553100001</v>
      </c>
      <c r="L974" t="n">
        <v>107</v>
      </c>
      <c r="M974" t="n">
        <v>92.09999999999999</v>
      </c>
      <c r="N974" t="n">
        <v>122.477102064</v>
      </c>
      <c r="O974" t="n">
        <v>44.303691974</v>
      </c>
      <c r="P974" t="n">
        <v/>
      </c>
      <c r="Q974" t="n">
        <v>96</v>
      </c>
      <c r="R974" t="n">
        <v>107.1</v>
      </c>
      <c r="S974" t="n">
        <v>93.718727978</v>
      </c>
      <c r="T974" t="n">
        <v>95.823624305</v>
      </c>
      <c r="U974" t="n">
        <v/>
      </c>
      <c r="V974" t="n">
        <v>149.03854158</v>
      </c>
      <c r="W974" t="n">
        <v>53.704475373</v>
      </c>
      <c r="X974" t="n">
        <v>41.64200364</v>
      </c>
      <c r="Y974" t="n">
        <v/>
      </c>
      <c r="Z974" t="n">
        <v>38.809534276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47.733</v>
      </c>
      <c r="AF974" t="n">
        <v>87.00725060400001</v>
      </c>
      <c r="AG974" t="n">
        <v>57.2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85.069646269</v>
      </c>
      <c r="AM974" t="n">
        <v>44.8</v>
      </c>
      <c r="AN974" t="n">
        <v>127.85472502</v>
      </c>
      <c r="AO974" t="n">
        <v>58.041024162</v>
      </c>
      <c r="AP974" t="n">
        <v>39.9</v>
      </c>
      <c r="AQ974" t="n">
        <v>74.116473895</v>
      </c>
      <c r="AR974" t="n">
        <v>92.992250646</v>
      </c>
      <c r="AS974" t="n">
        <v>41.496541955</v>
      </c>
      <c r="AT974" t="n">
        <v>90.855028515</v>
      </c>
      <c r="AU974" t="n">
        <v/>
      </c>
    </row>
    <row r="975">
      <c r="A975" s="107" t="n">
        <v>36557</v>
      </c>
      <c r="B975" t="n">
        <v>69.67811982000001</v>
      </c>
      <c r="C975" t="n">
        <v>67.594367136</v>
      </c>
      <c r="D975" t="n">
        <v>80.787479027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78.393467211</v>
      </c>
      <c r="L975" t="n">
        <v>107</v>
      </c>
      <c r="M975" t="n">
        <v>93.2</v>
      </c>
      <c r="N975" t="n">
        <v>122.978102482</v>
      </c>
      <c r="O975" t="n">
        <v>44.803733644</v>
      </c>
      <c r="P975" t="n">
        <v/>
      </c>
      <c r="Q975" t="n">
        <v>96.3</v>
      </c>
      <c r="R975" t="n">
        <v>107.42</v>
      </c>
      <c r="S975" t="n">
        <v>94.17161107299999</v>
      </c>
      <c r="T975" t="n">
        <v>96.038716616</v>
      </c>
      <c r="U975" t="n">
        <v/>
      </c>
      <c r="V975" t="n">
        <v>149.538000499</v>
      </c>
      <c r="W975" t="n">
        <v>53.904492041</v>
      </c>
      <c r="X975" t="n">
        <v>41.09041638</v>
      </c>
      <c r="Y975" t="n">
        <v/>
      </c>
      <c r="Z975" t="n">
        <v>38.809534276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47.833</v>
      </c>
      <c r="AF975" t="n">
        <v>89.70747562299999</v>
      </c>
      <c r="AG975" t="n">
        <v>57.3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85.676857767</v>
      </c>
      <c r="AM975" t="n">
        <v>46</v>
      </c>
      <c r="AN975" t="n">
        <v>128.878586682</v>
      </c>
      <c r="AO975" t="n">
        <v>56.078170637</v>
      </c>
      <c r="AP975" t="n">
        <v>40.7</v>
      </c>
      <c r="AQ975" t="n">
        <v>76.35677033499999</v>
      </c>
      <c r="AR975" t="n">
        <v>97.69185901199999</v>
      </c>
      <c r="AS975" t="n">
        <v>42.996416965</v>
      </c>
      <c r="AT975" t="n">
        <v>91.188696729</v>
      </c>
      <c r="AU975" t="n">
        <v/>
      </c>
    </row>
    <row r="976">
      <c r="A976" s="107" t="n">
        <v>36586</v>
      </c>
      <c r="B976" t="n">
        <v>69.42474482999999</v>
      </c>
      <c r="C976" t="n">
        <v>68.69427547700001</v>
      </c>
      <c r="D976" t="n">
        <v>82.112583234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78.493458878</v>
      </c>
      <c r="L976" t="n">
        <v>108.6</v>
      </c>
      <c r="M976" t="n">
        <v>93.59999999999999</v>
      </c>
      <c r="N976" t="n">
        <v>124.108103423</v>
      </c>
      <c r="O976" t="n">
        <v>44.303691974</v>
      </c>
      <c r="P976" t="n">
        <v/>
      </c>
      <c r="Q976" t="n">
        <v>95.5</v>
      </c>
      <c r="R976" t="n">
        <v>108.13</v>
      </c>
      <c r="S976" t="n">
        <v>94.756456282</v>
      </c>
      <c r="T976" t="n">
        <v>95.823624305</v>
      </c>
      <c r="U976" t="n">
        <v/>
      </c>
      <c r="V976" t="n">
        <v>151.735619745</v>
      </c>
      <c r="W976" t="n">
        <v>56.404700392</v>
      </c>
      <c r="X976" t="n">
        <v>42.603802365</v>
      </c>
      <c r="Y976" t="n">
        <v/>
      </c>
      <c r="Z976" t="n">
        <v>39.998187699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48.375</v>
      </c>
      <c r="AF976" t="n">
        <v>87.40728394</v>
      </c>
      <c r="AG976" t="n">
        <v>57.4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86.12620104</v>
      </c>
      <c r="AM976" t="n">
        <v>45.8</v>
      </c>
      <c r="AN976" t="n">
        <v>120.815676095</v>
      </c>
      <c r="AO976" t="n">
        <v>56.08796115</v>
      </c>
      <c r="AP976" t="n">
        <v>40.8</v>
      </c>
      <c r="AQ976" t="n">
        <v>77.38357286999999</v>
      </c>
      <c r="AR976" t="n">
        <v>98.291809016</v>
      </c>
      <c r="AS976" t="n">
        <v>42.196483626</v>
      </c>
      <c r="AT976" t="n">
        <v>91.53495806700001</v>
      </c>
      <c r="AU976" t="n">
        <v/>
      </c>
    </row>
    <row r="977">
      <c r="A977" s="107" t="n">
        <v>36617</v>
      </c>
      <c r="B977" t="n">
        <v>70.10041145</v>
      </c>
      <c r="C977" t="n">
        <v>71.19406716100001</v>
      </c>
      <c r="D977" t="n">
        <v>82.876053871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79.493375552</v>
      </c>
      <c r="L977" t="n">
        <v>108.6</v>
      </c>
      <c r="M977" t="n">
        <v>94.7</v>
      </c>
      <c r="N977" t="n">
        <v>123.693103078</v>
      </c>
      <c r="O977" t="n">
        <v>44.603716976</v>
      </c>
      <c r="P977" t="n">
        <v/>
      </c>
      <c r="Q977" t="n">
        <v>97</v>
      </c>
      <c r="R977" t="n">
        <v>108.77</v>
      </c>
      <c r="S977" t="n">
        <v>95.623626022</v>
      </c>
      <c r="T977" t="n">
        <v>97.329270479</v>
      </c>
      <c r="U977" t="n">
        <v/>
      </c>
      <c r="V977" t="n">
        <v>152.135186881</v>
      </c>
      <c r="W977" t="n">
        <v>55.704642054</v>
      </c>
      <c r="X977" t="n">
        <v>42.775219329</v>
      </c>
      <c r="Y977" t="n">
        <v/>
      </c>
      <c r="Z977" t="n">
        <v>43.148119271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48.096</v>
      </c>
      <c r="AF977" t="n">
        <v>92.70772564400001</v>
      </c>
      <c r="AG977" t="n">
        <v>57.1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86.82248017800001</v>
      </c>
      <c r="AM977" t="n">
        <v>47</v>
      </c>
      <c r="AN977" t="n">
        <v>119.663831726</v>
      </c>
      <c r="AO977" t="n">
        <v>61.558842884</v>
      </c>
      <c r="AP977" t="n">
        <v>41.4</v>
      </c>
      <c r="AQ977" t="n">
        <v>77.38357286999999</v>
      </c>
      <c r="AR977" t="n">
        <v>99.391717357</v>
      </c>
      <c r="AS977" t="n">
        <v>43.296391967</v>
      </c>
      <c r="AT977" t="n">
        <v>92.105515838</v>
      </c>
      <c r="AU977" t="n">
        <v/>
      </c>
    </row>
    <row r="978">
      <c r="A978" s="107" t="n">
        <v>36647</v>
      </c>
      <c r="B978" t="n">
        <v>71.36728635</v>
      </c>
      <c r="C978" t="n">
        <v>71.894008833</v>
      </c>
      <c r="D978" t="n">
        <v>82.63911470799999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81.393217232</v>
      </c>
      <c r="L978" t="n">
        <v>112.8</v>
      </c>
      <c r="M978" t="n">
        <v>96</v>
      </c>
      <c r="N978" t="n">
        <v>124.780103983</v>
      </c>
      <c r="O978" t="n">
        <v>44.903741978</v>
      </c>
      <c r="P978" t="n">
        <v/>
      </c>
      <c r="Q978" t="n">
        <v>101.3</v>
      </c>
      <c r="R978" t="n">
        <v>110.11</v>
      </c>
      <c r="S978" t="n">
        <v>96.12777551000001</v>
      </c>
      <c r="T978" t="n">
        <v>98.08209356499999</v>
      </c>
      <c r="U978" t="n">
        <v/>
      </c>
      <c r="V978" t="n">
        <v>148.239407309</v>
      </c>
      <c r="W978" t="n">
        <v>57.004750396</v>
      </c>
      <c r="X978" t="n">
        <v>43.079916124</v>
      </c>
      <c r="Y978" t="n">
        <v/>
      </c>
      <c r="Z978" t="n">
        <v>43.504715298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49.946</v>
      </c>
      <c r="AF978" t="n">
        <v>93.50779231600001</v>
      </c>
      <c r="AG978" t="n">
        <v>58.7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87.57102356599999</v>
      </c>
      <c r="AM978" t="n">
        <v>48</v>
      </c>
      <c r="AN978" t="n">
        <v>128.622621267</v>
      </c>
      <c r="AO978" t="n">
        <v>56.746772225</v>
      </c>
      <c r="AP978" t="n">
        <v>39.5</v>
      </c>
      <c r="AQ978" t="n">
        <v>79.343832255</v>
      </c>
      <c r="AR978" t="n">
        <v>101.191567369</v>
      </c>
      <c r="AS978" t="n">
        <v>43.896341972</v>
      </c>
      <c r="AT978" t="n">
        <v>92.37800328199999</v>
      </c>
      <c r="AU978" t="n">
        <v/>
      </c>
    </row>
    <row r="979">
      <c r="A979" s="107" t="n">
        <v>36678</v>
      </c>
      <c r="B979" t="n">
        <v>70.77607807</v>
      </c>
      <c r="C979" t="n">
        <v>70.99408382599999</v>
      </c>
      <c r="D979" t="n">
        <v>84.65748535500001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79.593367219</v>
      </c>
      <c r="L979" t="n">
        <v>110.3</v>
      </c>
      <c r="M979" t="n">
        <v>94.7</v>
      </c>
      <c r="N979" t="n">
        <v>123.668103057</v>
      </c>
      <c r="O979" t="n">
        <v>46.803900325</v>
      </c>
      <c r="P979" t="n">
        <v/>
      </c>
      <c r="Q979" t="n">
        <v>97.09999999999999</v>
      </c>
      <c r="R979" t="n">
        <v>108.68</v>
      </c>
      <c r="S979" t="n">
        <v>96.140388714</v>
      </c>
      <c r="T979" t="n">
        <v>99.157555117</v>
      </c>
      <c r="U979" t="n">
        <v/>
      </c>
      <c r="V979" t="n">
        <v>150.237242987</v>
      </c>
      <c r="W979" t="n">
        <v>58.704892074</v>
      </c>
      <c r="X979" t="n">
        <v>42.751140438</v>
      </c>
      <c r="Y979" t="n">
        <v/>
      </c>
      <c r="Z979" t="n">
        <v>43.920743997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49.426</v>
      </c>
      <c r="AF979" t="n">
        <v>91.30760896699999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87.609850051</v>
      </c>
      <c r="AM979" t="n">
        <v>48.1</v>
      </c>
      <c r="AN979" t="n">
        <v>127.726742313</v>
      </c>
      <c r="AO979" t="n">
        <v>57.439453584</v>
      </c>
      <c r="AP979" t="n">
        <v>38.2</v>
      </c>
      <c r="AQ979" t="n">
        <v>79.43717794</v>
      </c>
      <c r="AR979" t="n">
        <v>104.091325723</v>
      </c>
      <c r="AS979" t="n">
        <v>44.496291976</v>
      </c>
      <c r="AT979" t="n">
        <v>92.43234211799999</v>
      </c>
      <c r="AU979" t="n">
        <v/>
      </c>
    </row>
    <row r="980">
      <c r="A980" s="107" t="n">
        <v>36708</v>
      </c>
      <c r="B980" t="n">
        <v>71.70511965999999</v>
      </c>
      <c r="C980" t="n">
        <v>70.99408382599999</v>
      </c>
      <c r="D980" t="n">
        <v>85.254221024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80.893258895</v>
      </c>
      <c r="L980" t="n">
        <v>107.4</v>
      </c>
      <c r="M980" t="n">
        <v>95.90000000000001</v>
      </c>
      <c r="N980" t="n">
        <v>124.640103867</v>
      </c>
      <c r="O980" t="n">
        <v>43.403616968</v>
      </c>
      <c r="P980" t="n">
        <v/>
      </c>
      <c r="Q980" t="n">
        <v>100.4</v>
      </c>
      <c r="R980" t="n">
        <v>109.95</v>
      </c>
      <c r="S980" t="n">
        <v>96.20761503200001</v>
      </c>
      <c r="T980" t="n">
        <v>98.834916652</v>
      </c>
      <c r="U980" t="n">
        <v/>
      </c>
      <c r="V980" t="n">
        <v>147.939731957</v>
      </c>
      <c r="W980" t="n">
        <v>59.004917076</v>
      </c>
      <c r="X980" t="n">
        <v>42.84706712</v>
      </c>
      <c r="Y980" t="n">
        <v/>
      </c>
      <c r="Z980" t="n">
        <v>46.060320159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51.021</v>
      </c>
      <c r="AF980" t="n">
        <v>93.10775898</v>
      </c>
      <c r="AG980" t="n">
        <v>58.4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87.810247608</v>
      </c>
      <c r="AM980" t="n">
        <v>47.7</v>
      </c>
      <c r="AN980" t="n">
        <v>125.551036281</v>
      </c>
      <c r="AO980" t="n">
        <v>57.457497115</v>
      </c>
      <c r="AP980" t="n">
        <v>40.1</v>
      </c>
      <c r="AQ980" t="n">
        <v>79.157140885</v>
      </c>
      <c r="AR980" t="n">
        <v>100.691609033</v>
      </c>
      <c r="AS980" t="n">
        <v>44.69627531</v>
      </c>
      <c r="AT980" t="n">
        <v>92.25702996299999</v>
      </c>
      <c r="AU980" t="n">
        <v/>
      </c>
    </row>
    <row r="981">
      <c r="A981" s="107" t="n">
        <v>36739</v>
      </c>
      <c r="B981" t="n">
        <v>71.95849464</v>
      </c>
      <c r="C981" t="n">
        <v>72.993917174</v>
      </c>
      <c r="D981" t="n">
        <v>85.236669975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81.69319223399999</v>
      </c>
      <c r="L981" t="n">
        <v>111.8</v>
      </c>
      <c r="M981" t="n">
        <v>95.90000000000001</v>
      </c>
      <c r="N981" t="n">
        <v>123.501102918</v>
      </c>
      <c r="O981" t="n">
        <v>45.403783649</v>
      </c>
      <c r="P981" t="n">
        <v/>
      </c>
      <c r="Q981" t="n">
        <v>100.8</v>
      </c>
      <c r="R981" t="n">
        <v>108.97</v>
      </c>
      <c r="S981" t="n">
        <v>96.639775141</v>
      </c>
      <c r="T981" t="n">
        <v>100.23301667</v>
      </c>
      <c r="U981" t="n">
        <v/>
      </c>
      <c r="V981" t="n">
        <v>153.533671855</v>
      </c>
      <c r="W981" t="n">
        <v>59.404950413</v>
      </c>
      <c r="X981" t="n">
        <v>42.928883053</v>
      </c>
      <c r="Y981" t="n">
        <v/>
      </c>
      <c r="Z981" t="n">
        <v>44.693368722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51.81</v>
      </c>
      <c r="AF981" t="n">
        <v>94.10784232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88.378967762</v>
      </c>
      <c r="AM981" t="n">
        <v>48.2</v>
      </c>
      <c r="AN981" t="n">
        <v>131.566223545</v>
      </c>
      <c r="AO981" t="n">
        <v>57.571606521</v>
      </c>
      <c r="AP981" t="n">
        <v>40.6</v>
      </c>
      <c r="AQ981" t="n">
        <v>79.0637952</v>
      </c>
      <c r="AR981" t="n">
        <v>102.791434047</v>
      </c>
      <c r="AS981" t="n">
        <v>45.796183651</v>
      </c>
      <c r="AT981" t="n">
        <v>92.009133816</v>
      </c>
      <c r="AU981" t="n">
        <v/>
      </c>
    </row>
    <row r="982">
      <c r="A982" s="107" t="n">
        <v>36770</v>
      </c>
      <c r="B982" t="n">
        <v>72.12741130000001</v>
      </c>
      <c r="C982" t="n">
        <v>74.193817182</v>
      </c>
      <c r="D982" t="n">
        <v>84.218709127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81.79318390100001</v>
      </c>
      <c r="L982" t="n">
        <v>108.2</v>
      </c>
      <c r="M982" t="n">
        <v>96</v>
      </c>
      <c r="N982" t="n">
        <v>123.670103058</v>
      </c>
      <c r="O982" t="n">
        <v>46.303858655</v>
      </c>
      <c r="P982" t="n">
        <v/>
      </c>
      <c r="Q982" t="n">
        <v>102.6</v>
      </c>
      <c r="R982" t="n">
        <v>109.28</v>
      </c>
      <c r="S982" t="n">
        <v>96.417274042</v>
      </c>
      <c r="T982" t="n">
        <v>100.44810898</v>
      </c>
      <c r="U982" t="n">
        <v/>
      </c>
      <c r="V982" t="n">
        <v>146.641138766</v>
      </c>
      <c r="W982" t="n">
        <v>61.105092091</v>
      </c>
      <c r="X982" t="n">
        <v>43.43837679</v>
      </c>
      <c r="Y982" t="n">
        <v/>
      </c>
      <c r="Z982" t="n">
        <v>45.703724132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50.576</v>
      </c>
      <c r="AF982" t="n">
        <v>91.90765897199999</v>
      </c>
      <c r="AG982" t="n">
        <v>60.5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88.036004609</v>
      </c>
      <c r="AM982" t="n">
        <v>48.3</v>
      </c>
      <c r="AN982" t="n">
        <v>132.462102499</v>
      </c>
      <c r="AO982" t="n">
        <v>57.40942156</v>
      </c>
      <c r="AP982" t="n">
        <v>40.7</v>
      </c>
      <c r="AQ982" t="n">
        <v>79.62386931</v>
      </c>
      <c r="AR982" t="n">
        <v>102.891425715</v>
      </c>
      <c r="AS982" t="n">
        <v>43.996333639</v>
      </c>
      <c r="AT982" t="n">
        <v>92.37076471500001</v>
      </c>
      <c r="AU982" t="n">
        <v/>
      </c>
    </row>
    <row r="983">
      <c r="A983" s="107" t="n">
        <v>36800</v>
      </c>
      <c r="B983" t="n">
        <v>71.87403630999999</v>
      </c>
      <c r="C983" t="n">
        <v>74.393800517</v>
      </c>
      <c r="D983" t="n">
        <v>86.04401823400001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81.493208899</v>
      </c>
      <c r="L983" t="n">
        <v>110.9</v>
      </c>
      <c r="M983" t="n">
        <v>96.2</v>
      </c>
      <c r="N983" t="n">
        <v>122.35210196</v>
      </c>
      <c r="O983" t="n">
        <v>45.203766981</v>
      </c>
      <c r="P983" t="n">
        <v/>
      </c>
      <c r="Q983" t="n">
        <v>103.6</v>
      </c>
      <c r="R983" t="n">
        <v>110.46</v>
      </c>
      <c r="S983" t="n">
        <v>96.724900697</v>
      </c>
      <c r="T983" t="n">
        <v>101.953755153</v>
      </c>
      <c r="U983" t="n">
        <v/>
      </c>
      <c r="V983" t="n">
        <v>149.538000499</v>
      </c>
      <c r="W983" t="n">
        <v>60.105008751</v>
      </c>
      <c r="X983" t="n">
        <v>43.320153249</v>
      </c>
      <c r="Y983" t="n">
        <v/>
      </c>
      <c r="Z983" t="n">
        <v>48.378194335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50.222</v>
      </c>
      <c r="AF983" t="n">
        <v>89.307442287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88.22426147500001</v>
      </c>
      <c r="AM983" t="n">
        <v>48</v>
      </c>
      <c r="AN983" t="n">
        <v>130.030431052</v>
      </c>
      <c r="AO983" t="n">
        <v>57.660253274</v>
      </c>
      <c r="AP983" t="n">
        <v>41.2</v>
      </c>
      <c r="AQ983" t="n">
        <v>78.78375814499999</v>
      </c>
      <c r="AR983" t="n">
        <v>103.391384051</v>
      </c>
      <c r="AS983" t="n">
        <v>44.596283643</v>
      </c>
      <c r="AT983" t="n">
        <v>92.05484586599999</v>
      </c>
      <c r="AU983" t="n">
        <v/>
      </c>
    </row>
    <row r="984">
      <c r="A984" s="107" t="n">
        <v>36831</v>
      </c>
      <c r="B984" t="n">
        <v>74.49224445999999</v>
      </c>
      <c r="C984" t="n">
        <v>75.09374218799999</v>
      </c>
      <c r="D984" t="n">
        <v>85.324425221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82.193150571</v>
      </c>
      <c r="L984" t="n">
        <v>110.2</v>
      </c>
      <c r="M984" t="n">
        <v>97.09999999999999</v>
      </c>
      <c r="N984" t="n">
        <v>125.363104469</v>
      </c>
      <c r="O984" t="n">
        <v>46.503875323</v>
      </c>
      <c r="P984" t="n">
        <v/>
      </c>
      <c r="Q984" t="n">
        <v>103.2</v>
      </c>
      <c r="R984" t="n">
        <v>110.27</v>
      </c>
      <c r="S984" t="n">
        <v>97.012384438</v>
      </c>
      <c r="T984" t="n">
        <v>102.383939774</v>
      </c>
      <c r="U984" t="n">
        <v/>
      </c>
      <c r="V984" t="n">
        <v>148.838758012</v>
      </c>
      <c r="W984" t="n">
        <v>61.105092091</v>
      </c>
      <c r="X984" t="n">
        <v>43.770048804</v>
      </c>
      <c r="Y984" t="n">
        <v/>
      </c>
      <c r="Z984" t="n">
        <v>50.398905154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49.45</v>
      </c>
      <c r="AF984" t="n">
        <v>93.907825652</v>
      </c>
      <c r="AG984" t="n">
        <v>61.5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88.489407245</v>
      </c>
      <c r="AM984" t="n">
        <v>47.7</v>
      </c>
      <c r="AN984" t="n">
        <v>131.438240837</v>
      </c>
      <c r="AO984" t="n">
        <v>57.660572942</v>
      </c>
      <c r="AP984" t="n">
        <v>41.4</v>
      </c>
      <c r="AQ984" t="n">
        <v>80.27728910499999</v>
      </c>
      <c r="AR984" t="n">
        <v>106.591117407</v>
      </c>
      <c r="AS984" t="n">
        <v>45.196233647</v>
      </c>
      <c r="AT984" t="n">
        <v>92.058217253</v>
      </c>
      <c r="AU984" t="n">
        <v/>
      </c>
    </row>
    <row r="985">
      <c r="A985" s="107" t="n">
        <v>36861</v>
      </c>
      <c r="B985" t="n">
        <v>75.67466103</v>
      </c>
      <c r="C985" t="n">
        <v>75.29372552300001</v>
      </c>
      <c r="D985" t="n">
        <v>89.15932945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82.693108908</v>
      </c>
      <c r="L985" t="n">
        <v>115.2</v>
      </c>
      <c r="M985" t="n">
        <v>97.8</v>
      </c>
      <c r="N985" t="n">
        <v>126.399105333</v>
      </c>
      <c r="O985" t="n">
        <v>47.903991999</v>
      </c>
      <c r="P985" t="n">
        <v/>
      </c>
      <c r="Q985" t="n">
        <v>102.6</v>
      </c>
      <c r="R985" t="n">
        <v>111.26</v>
      </c>
      <c r="S985" t="n">
        <v>97.287740626</v>
      </c>
      <c r="T985" t="n">
        <v>102.061301308</v>
      </c>
      <c r="U985" t="n">
        <v/>
      </c>
      <c r="V985" t="n">
        <v>150.83659369</v>
      </c>
      <c r="W985" t="n">
        <v>61.605133761</v>
      </c>
      <c r="X985" t="n">
        <v>43.688704776</v>
      </c>
      <c r="Y985" t="n">
        <v/>
      </c>
      <c r="Z985" t="n">
        <v>49.982876456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48.73</v>
      </c>
      <c r="AF985" t="n">
        <v>100.108342362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88.606304935</v>
      </c>
      <c r="AM985" t="n">
        <v>51.6</v>
      </c>
      <c r="AN985" t="n">
        <v>131.054292714</v>
      </c>
      <c r="AO985" t="n">
        <v>58.723633098</v>
      </c>
      <c r="AP985" t="n">
        <v>42.6</v>
      </c>
      <c r="AQ985" t="n">
        <v>81.397437325</v>
      </c>
      <c r="AR985" t="n">
        <v>100.991584035</v>
      </c>
      <c r="AS985" t="n">
        <v>43.296391967</v>
      </c>
      <c r="AT985" t="n">
        <v>91.754693211</v>
      </c>
      <c r="AU985" t="n">
        <v/>
      </c>
    </row>
    <row r="986">
      <c r="A986" s="107" t="n">
        <v>36892</v>
      </c>
      <c r="B986" t="n">
        <v>73.64766118</v>
      </c>
      <c r="C986" t="n">
        <v>76.793600533</v>
      </c>
      <c r="D986" t="n">
        <v>87.00055041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82.493125573</v>
      </c>
      <c r="L986" t="n">
        <v>110.4</v>
      </c>
      <c r="M986" t="n">
        <v>96.90000000000001</v>
      </c>
      <c r="N986" t="n">
        <v>123.471102893</v>
      </c>
      <c r="O986" t="n">
        <v>49.504125344</v>
      </c>
      <c r="P986" t="n">
        <v/>
      </c>
      <c r="Q986" t="n">
        <v>103.4</v>
      </c>
      <c r="R986" t="n">
        <v>110.78</v>
      </c>
      <c r="S986" t="n">
        <v>95.70791099</v>
      </c>
      <c r="T986" t="n">
        <v>98.297185876</v>
      </c>
      <c r="U986" t="n">
        <v/>
      </c>
      <c r="V986" t="n">
        <v>153.233996504</v>
      </c>
      <c r="W986" t="n">
        <v>62.905242104</v>
      </c>
      <c r="X986" t="n">
        <v>43.247023579</v>
      </c>
      <c r="Y986" t="n">
        <v/>
      </c>
      <c r="Z986" t="n">
        <v>49.864011114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48.23</v>
      </c>
      <c r="AF986" t="n">
        <v>93.707808984</v>
      </c>
      <c r="AG986" t="n">
        <v>63.2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87.177383733</v>
      </c>
      <c r="AM986" t="n">
        <v>48.3</v>
      </c>
      <c r="AN986" t="n">
        <v>129.518500221</v>
      </c>
      <c r="AO986" t="n">
        <v>57.780233427</v>
      </c>
      <c r="AP986" t="n">
        <v>42.6</v>
      </c>
      <c r="AQ986" t="n">
        <v>80.37063479</v>
      </c>
      <c r="AR986" t="n">
        <v>102.091492376</v>
      </c>
      <c r="AS986" t="n">
        <v>41.796516957</v>
      </c>
      <c r="AT986" t="n">
        <v>91.255926164</v>
      </c>
      <c r="AU986" t="n">
        <v/>
      </c>
    </row>
    <row r="987">
      <c r="A987" s="107" t="n">
        <v>36923</v>
      </c>
      <c r="B987" t="n">
        <v>73.9854945</v>
      </c>
      <c r="C987" t="n">
        <v>76.193650529</v>
      </c>
      <c r="D987" t="n">
        <v>87.89565391399999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83.393050579</v>
      </c>
      <c r="L987" t="n">
        <v>115</v>
      </c>
      <c r="M987" t="n">
        <v>97.3</v>
      </c>
      <c r="N987" t="n">
        <v>123.194102662</v>
      </c>
      <c r="O987" t="n">
        <v>48.804067006</v>
      </c>
      <c r="P987" t="n">
        <v/>
      </c>
      <c r="Q987" t="n">
        <v>101.7</v>
      </c>
      <c r="R987" t="n">
        <v>111.5</v>
      </c>
      <c r="S987" t="n">
        <v>95.616328349</v>
      </c>
      <c r="T987" t="n">
        <v>96.57644739200001</v>
      </c>
      <c r="U987" t="n">
        <v/>
      </c>
      <c r="V987" t="n">
        <v>150.536918338</v>
      </c>
      <c r="W987" t="n">
        <v>61.905158763</v>
      </c>
      <c r="X987" t="n">
        <v>43.933428026</v>
      </c>
      <c r="Y987" t="n">
        <v/>
      </c>
      <c r="Z987" t="n">
        <v>53.964865425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48.741</v>
      </c>
      <c r="AF987" t="n">
        <v>96.20801733499999</v>
      </c>
      <c r="AG987" t="n">
        <v>64.7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87.104073009</v>
      </c>
      <c r="AM987" t="n">
        <v>47.8</v>
      </c>
      <c r="AN987" t="n">
        <v>130.414379175</v>
      </c>
      <c r="AO987" t="n">
        <v>58.485847895</v>
      </c>
      <c r="AP987" t="n">
        <v>40.6</v>
      </c>
      <c r="AQ987" t="n">
        <v>80.9307089</v>
      </c>
      <c r="AR987" t="n">
        <v>101.091575702</v>
      </c>
      <c r="AS987" t="n">
        <v>42.196483626</v>
      </c>
      <c r="AT987" t="n">
        <v>90.63866475899999</v>
      </c>
      <c r="AU987" t="n">
        <v/>
      </c>
    </row>
    <row r="988">
      <c r="A988" s="107" t="n">
        <v>36951</v>
      </c>
      <c r="B988" t="n">
        <v>73.39428621</v>
      </c>
      <c r="C988" t="n">
        <v>74.493792184</v>
      </c>
      <c r="D988" t="n">
        <v>86.658304953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81.99316723600001</v>
      </c>
      <c r="L988" t="n">
        <v>114.3</v>
      </c>
      <c r="M988" t="n">
        <v>96.8</v>
      </c>
      <c r="N988" t="n">
        <v>122.571102143</v>
      </c>
      <c r="O988" t="n">
        <v>49.204100342</v>
      </c>
      <c r="P988" t="n">
        <v/>
      </c>
      <c r="Q988" t="n">
        <v>102.7</v>
      </c>
      <c r="R988" t="n">
        <v>111.95</v>
      </c>
      <c r="S988" t="n">
        <v>95.01006307500001</v>
      </c>
      <c r="T988" t="n">
        <v>97.221724323</v>
      </c>
      <c r="U988" t="n">
        <v/>
      </c>
      <c r="V988" t="n">
        <v>142.245900275</v>
      </c>
      <c r="W988" t="n">
        <v>58.904908742</v>
      </c>
      <c r="X988" t="n">
        <v>43.803564158</v>
      </c>
      <c r="Y988" t="n">
        <v/>
      </c>
      <c r="Z988" t="n">
        <v>50.69606851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49.035</v>
      </c>
      <c r="AF988" t="n">
        <v>98.60821735099999</v>
      </c>
      <c r="AG988" t="n">
        <v>65.3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86.636988307</v>
      </c>
      <c r="AM988" t="n">
        <v>48.3</v>
      </c>
      <c r="AN988" t="n">
        <v>133.869912284</v>
      </c>
      <c r="AO988" t="n">
        <v>58.136187367</v>
      </c>
      <c r="AP988" t="n">
        <v>42.2</v>
      </c>
      <c r="AQ988" t="n">
        <v>81.397437325</v>
      </c>
      <c r="AR988" t="n">
        <v>101.391550704</v>
      </c>
      <c r="AS988" t="n">
        <v>39.79668361</v>
      </c>
      <c r="AT988" t="n">
        <v>90.407823867</v>
      </c>
      <c r="AU988" t="n">
        <v/>
      </c>
    </row>
    <row r="989">
      <c r="A989" s="107" t="n">
        <v>36982</v>
      </c>
      <c r="B989" t="n">
        <v>72.12741130000001</v>
      </c>
      <c r="C989" t="n">
        <v>73.093908841</v>
      </c>
      <c r="D989" t="n">
        <v>86.359937118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80.59328389300001</v>
      </c>
      <c r="L989" t="n">
        <v>113.6</v>
      </c>
      <c r="M989" t="n">
        <v>95.90000000000001</v>
      </c>
      <c r="N989" t="n">
        <v>121.465101221</v>
      </c>
      <c r="O989" t="n">
        <v>46.703891991</v>
      </c>
      <c r="P989" t="n">
        <v/>
      </c>
      <c r="Q989" t="n">
        <v>98.3</v>
      </c>
      <c r="R989" t="n">
        <v>110.13</v>
      </c>
      <c r="S989" t="n">
        <v>94.52573564399999</v>
      </c>
      <c r="T989" t="n">
        <v>99.37264742799999</v>
      </c>
      <c r="U989" t="n">
        <v/>
      </c>
      <c r="V989" t="n">
        <v>140.347956381</v>
      </c>
      <c r="W989" t="n">
        <v>61.005083757</v>
      </c>
      <c r="X989" t="n">
        <v>43.933320771</v>
      </c>
      <c r="Y989" t="n">
        <v/>
      </c>
      <c r="Z989" t="n">
        <v>50.814933853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49.407</v>
      </c>
      <c r="AF989" t="n">
        <v>93.407783982</v>
      </c>
      <c r="AG989" t="n">
        <v>65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86.09947474099999</v>
      </c>
      <c r="AM989" t="n">
        <v>47.8</v>
      </c>
      <c r="AN989" t="n">
        <v>129.134552098</v>
      </c>
      <c r="AO989" t="n">
        <v>58.145179811</v>
      </c>
      <c r="AP989" t="n">
        <v>41.2</v>
      </c>
      <c r="AQ989" t="n">
        <v>81.11740027</v>
      </c>
      <c r="AR989" t="n">
        <v>96.49195900300001</v>
      </c>
      <c r="AS989" t="n">
        <v>39.496708608</v>
      </c>
      <c r="AT989" t="n">
        <v>90.111935026</v>
      </c>
      <c r="AU989" t="n">
        <v/>
      </c>
    </row>
    <row r="990">
      <c r="A990" s="107" t="n">
        <v>37012</v>
      </c>
      <c r="B990" t="n">
        <v>72.46524461</v>
      </c>
      <c r="C990" t="n">
        <v>75.79368386</v>
      </c>
      <c r="D990" t="n">
        <v>87.026876984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81.493208899</v>
      </c>
      <c r="L990" t="n">
        <v>108.3</v>
      </c>
      <c r="M990" t="n">
        <v>96.2</v>
      </c>
      <c r="N990" t="n">
        <v>123.073102561</v>
      </c>
      <c r="O990" t="n">
        <v>49.104092008</v>
      </c>
      <c r="P990" t="n">
        <v/>
      </c>
      <c r="Q990" t="n">
        <v>99.09999999999999</v>
      </c>
      <c r="R990" t="n">
        <v>110.98</v>
      </c>
      <c r="S990" t="n">
        <v>94.12014372500001</v>
      </c>
      <c r="T990" t="n">
        <v>99.802832049</v>
      </c>
      <c r="U990" t="n">
        <v/>
      </c>
      <c r="V990" t="n">
        <v>144.343627737</v>
      </c>
      <c r="W990" t="n">
        <v>62.105175431</v>
      </c>
      <c r="X990" t="n">
        <v>43.814418171</v>
      </c>
      <c r="Y990" t="n">
        <v/>
      </c>
      <c r="Z990" t="n">
        <v>45.10939742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49.824</v>
      </c>
      <c r="AF990" t="n">
        <v>96.408034003</v>
      </c>
      <c r="AG990" t="n">
        <v>65.5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85.975246224</v>
      </c>
      <c r="AM990" t="n">
        <v>48</v>
      </c>
      <c r="AN990" t="n">
        <v>133.229998745</v>
      </c>
      <c r="AO990" t="n">
        <v>60.540796114</v>
      </c>
      <c r="AP990" t="n">
        <v>42</v>
      </c>
      <c r="AQ990" t="n">
        <v>80.9307089</v>
      </c>
      <c r="AR990" t="n">
        <v>100.39163403</v>
      </c>
      <c r="AS990" t="n">
        <v>39.39671694</v>
      </c>
      <c r="AT990" t="n">
        <v>89.614457039</v>
      </c>
      <c r="AU990" t="n">
        <v/>
      </c>
    </row>
    <row r="991">
      <c r="A991" s="107" t="n">
        <v>37043</v>
      </c>
      <c r="B991" t="n">
        <v>72.54970294</v>
      </c>
      <c r="C991" t="n">
        <v>76.793600533</v>
      </c>
      <c r="D991" t="n">
        <v>85.94748746400001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81.89317556899999</v>
      </c>
      <c r="L991" t="n">
        <v>108.9</v>
      </c>
      <c r="M991" t="n">
        <v>96.2</v>
      </c>
      <c r="N991" t="n">
        <v>123.459102883</v>
      </c>
      <c r="O991" t="n">
        <v>48.204017001</v>
      </c>
      <c r="P991" t="n">
        <v/>
      </c>
      <c r="Q991" t="n">
        <v>99</v>
      </c>
      <c r="R991" t="n">
        <v>111.01</v>
      </c>
      <c r="S991" t="n">
        <v>93.810725635</v>
      </c>
      <c r="T991" t="n">
        <v>101.416024377</v>
      </c>
      <c r="U991" t="n">
        <v/>
      </c>
      <c r="V991" t="n">
        <v>141.746441355</v>
      </c>
      <c r="W991" t="n">
        <v>59.204933744</v>
      </c>
      <c r="X991" t="n">
        <v>44.039439251</v>
      </c>
      <c r="Y991" t="n">
        <v/>
      </c>
      <c r="Z991" t="n">
        <v>49.626280429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49.925</v>
      </c>
      <c r="AF991" t="n">
        <v>96.50804233700001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85.835822702</v>
      </c>
      <c r="AM991" t="n">
        <v>47.1</v>
      </c>
      <c r="AN991" t="n">
        <v>132.97403333</v>
      </c>
      <c r="AO991" t="n">
        <v>59.945871493</v>
      </c>
      <c r="AP991" t="n">
        <v>43.4</v>
      </c>
      <c r="AQ991" t="n">
        <v>81.024054585</v>
      </c>
      <c r="AR991" t="n">
        <v>99.591700692</v>
      </c>
      <c r="AS991" t="n">
        <v>39.696691942</v>
      </c>
      <c r="AT991" t="n">
        <v>89.106369097</v>
      </c>
      <c r="AU991" t="n">
        <v/>
      </c>
    </row>
    <row r="992">
      <c r="A992" s="107" t="n">
        <v>37073</v>
      </c>
      <c r="B992" t="n">
        <v>73.22536955</v>
      </c>
      <c r="C992" t="n">
        <v>72.49395883699999</v>
      </c>
      <c r="D992" t="n">
        <v>85.736874875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79.39338388500001</v>
      </c>
      <c r="L992" t="n">
        <v>110.6</v>
      </c>
      <c r="M992" t="n">
        <v>94.5</v>
      </c>
      <c r="N992" t="n">
        <v>121.64410137</v>
      </c>
      <c r="O992" t="n">
        <v>49.504125344</v>
      </c>
      <c r="P992" t="n">
        <v/>
      </c>
      <c r="Q992" t="n">
        <v>96.90000000000001</v>
      </c>
      <c r="R992" t="n">
        <v>109.47</v>
      </c>
      <c r="S992" t="n">
        <v>92.68940400699999</v>
      </c>
      <c r="T992" t="n">
        <v>101.416024377</v>
      </c>
      <c r="U992" t="n">
        <v/>
      </c>
      <c r="V992" t="n">
        <v>141.047198868</v>
      </c>
      <c r="W992" t="n">
        <v>59.004917076</v>
      </c>
      <c r="X992" t="n">
        <v>43.743223603</v>
      </c>
      <c r="Y992" t="n">
        <v/>
      </c>
      <c r="Z992" t="n">
        <v>47.011242898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48.934</v>
      </c>
      <c r="AF992" t="n">
        <v>97.80815067899999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84.92494969000001</v>
      </c>
      <c r="AM992" t="n">
        <v>47.3</v>
      </c>
      <c r="AN992" t="n">
        <v>128.622621267</v>
      </c>
      <c r="AO992" t="n">
        <v>59.852908122</v>
      </c>
      <c r="AP992" t="n">
        <v>42.1</v>
      </c>
      <c r="AQ992" t="n">
        <v>81.770820065</v>
      </c>
      <c r="AR992" t="n">
        <v>99.491709024</v>
      </c>
      <c r="AS992" t="n">
        <v>40.196650279</v>
      </c>
      <c r="AT992" t="n">
        <v>88.57706124400001</v>
      </c>
      <c r="AU992" t="n">
        <v/>
      </c>
    </row>
    <row r="993">
      <c r="A993" s="107" t="n">
        <v>37104</v>
      </c>
      <c r="B993" t="n">
        <v>73.47874453</v>
      </c>
      <c r="C993" t="n">
        <v>75.893675527</v>
      </c>
      <c r="D993" t="n">
        <v>85.754425924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81.593200567</v>
      </c>
      <c r="L993" t="n">
        <v>114.6</v>
      </c>
      <c r="M993" t="n">
        <v>96.8</v>
      </c>
      <c r="N993" t="n">
        <v>125.279104399</v>
      </c>
      <c r="O993" t="n">
        <v>49.104092008</v>
      </c>
      <c r="P993" t="n">
        <v/>
      </c>
      <c r="Q993" t="n">
        <v>100.8</v>
      </c>
      <c r="R993" t="n">
        <v>112.17</v>
      </c>
      <c r="S993" t="n">
        <v>93.130760431</v>
      </c>
      <c r="T993" t="n">
        <v>103.997132103</v>
      </c>
      <c r="U993" t="n">
        <v/>
      </c>
      <c r="V993" t="n">
        <v>143.14492633</v>
      </c>
      <c r="W993" t="n">
        <v>62.105175431</v>
      </c>
      <c r="X993" t="n">
        <v>44.149365307</v>
      </c>
      <c r="Y993" t="n">
        <v/>
      </c>
      <c r="Z993" t="n">
        <v>49.626280429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50.073</v>
      </c>
      <c r="AF993" t="n">
        <v>96.20801733499999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85.63828391600001</v>
      </c>
      <c r="AM993" t="n">
        <v>48.7</v>
      </c>
      <c r="AN993" t="n">
        <v>131.82218896</v>
      </c>
      <c r="AO993" t="n">
        <v>59.529936978</v>
      </c>
      <c r="AP993" t="n">
        <v>42.2</v>
      </c>
      <c r="AQ993" t="n">
        <v>81.584128695</v>
      </c>
      <c r="AR993" t="n">
        <v>101.691525706</v>
      </c>
      <c r="AS993" t="n">
        <v>41.396550287</v>
      </c>
      <c r="AT993" t="n">
        <v>88.469275999</v>
      </c>
      <c r="AU993" t="n">
        <v/>
      </c>
    </row>
    <row r="994">
      <c r="A994" s="107" t="n">
        <v>37135</v>
      </c>
      <c r="B994" t="n">
        <v>72.97199457000001</v>
      </c>
      <c r="C994" t="n">
        <v>74.793767186</v>
      </c>
      <c r="D994" t="n">
        <v>84.11340283200001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80.49329222599999</v>
      </c>
      <c r="L994" t="n">
        <v>112.6</v>
      </c>
      <c r="M994" t="n">
        <v>95.40000000000001</v>
      </c>
      <c r="N994" t="n">
        <v>122.859102383</v>
      </c>
      <c r="O994" t="n">
        <v>48.504042004</v>
      </c>
      <c r="P994" t="n">
        <v/>
      </c>
      <c r="Q994" t="n">
        <v>100.1</v>
      </c>
      <c r="R994" t="n">
        <v>110.52</v>
      </c>
      <c r="S994" t="n">
        <v>92.144584311</v>
      </c>
      <c r="T994" t="n">
        <v>103.674493637</v>
      </c>
      <c r="U994" t="n">
        <v/>
      </c>
      <c r="V994" t="n">
        <v>141.246982436</v>
      </c>
      <c r="W994" t="n">
        <v>58.404867072</v>
      </c>
      <c r="X994" t="n">
        <v>44.262537612</v>
      </c>
      <c r="Y994" t="n">
        <v/>
      </c>
      <c r="Z994" t="n">
        <v>48.853655704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50.083</v>
      </c>
      <c r="AF994" t="n">
        <v>95.907992333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84.85604789200001</v>
      </c>
      <c r="AM994" t="n">
        <v>47.6</v>
      </c>
      <c r="AN994" t="n">
        <v>132.462102499</v>
      </c>
      <c r="AO994" t="n">
        <v>60.215301903</v>
      </c>
      <c r="AP994" t="n">
        <v>42.5</v>
      </c>
      <c r="AQ994" t="n">
        <v>80.65067184500001</v>
      </c>
      <c r="AR994" t="n">
        <v>100.491625698</v>
      </c>
      <c r="AS994" t="n">
        <v>41.196566953</v>
      </c>
      <c r="AT994" t="n">
        <v>88.00095059900001</v>
      </c>
      <c r="AU994" t="n">
        <v/>
      </c>
    </row>
    <row r="995">
      <c r="A995" s="107" t="n">
        <v>37165</v>
      </c>
      <c r="B995" t="n">
        <v>73.9854945</v>
      </c>
      <c r="C995" t="n">
        <v>73.193900508</v>
      </c>
      <c r="D995" t="n">
        <v>82.18278743099999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79.093408883</v>
      </c>
      <c r="L995" t="n">
        <v>109.5</v>
      </c>
      <c r="M995" t="n">
        <v>94.09999999999999</v>
      </c>
      <c r="N995" t="n">
        <v>121.921101601</v>
      </c>
      <c r="O995" t="n">
        <v>50.204183682</v>
      </c>
      <c r="P995" t="n">
        <v/>
      </c>
      <c r="Q995" t="n">
        <v>99.2</v>
      </c>
      <c r="R995" t="n">
        <v>109.76</v>
      </c>
      <c r="S995" t="n">
        <v>91.766551519</v>
      </c>
      <c r="T995" t="n">
        <v>103.674493637</v>
      </c>
      <c r="U995" t="n">
        <v/>
      </c>
      <c r="V995" t="n">
        <v>142.64546741</v>
      </c>
      <c r="W995" t="n">
        <v>61.905158763</v>
      </c>
      <c r="X995" t="n">
        <v>44.421507809</v>
      </c>
      <c r="Y995" t="n">
        <v/>
      </c>
      <c r="Z995" t="n">
        <v>46.951810226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50.388</v>
      </c>
      <c r="AF995" t="n">
        <v>96.108009001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84.34561514000001</v>
      </c>
      <c r="AM995" t="n">
        <v>47.8</v>
      </c>
      <c r="AN995" t="n">
        <v>133.229998745</v>
      </c>
      <c r="AO995" t="n">
        <v>60.792603554</v>
      </c>
      <c r="AP995" t="n">
        <v>42.4</v>
      </c>
      <c r="AQ995" t="n">
        <v>82.05085712</v>
      </c>
      <c r="AR995" t="n">
        <v>100.691609033</v>
      </c>
      <c r="AS995" t="n">
        <v>38.896758603</v>
      </c>
      <c r="AT995" t="n">
        <v>87.73094211599999</v>
      </c>
      <c r="AU995" t="n">
        <v/>
      </c>
    </row>
    <row r="996">
      <c r="A996" s="107" t="n">
        <v>37196</v>
      </c>
      <c r="B996" t="n">
        <v>71.95849464</v>
      </c>
      <c r="C996" t="n">
        <v>73.093908841</v>
      </c>
      <c r="D996" t="n">
        <v>83.139319607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78.093492209</v>
      </c>
      <c r="L996" t="n">
        <v>117.8</v>
      </c>
      <c r="M996" t="n">
        <v>93.5</v>
      </c>
      <c r="N996" t="n">
        <v>119.847099873</v>
      </c>
      <c r="O996" t="n">
        <v>51.90432536</v>
      </c>
      <c r="P996" t="n">
        <v/>
      </c>
      <c r="Q996" t="n">
        <v>99.2</v>
      </c>
      <c r="R996" t="n">
        <v>108.54</v>
      </c>
      <c r="S996" t="n">
        <v>91.016421773</v>
      </c>
      <c r="T996" t="n">
        <v>104.534862879</v>
      </c>
      <c r="U996" t="n">
        <v/>
      </c>
      <c r="V996" t="n">
        <v>144.743194872</v>
      </c>
      <c r="W996" t="n">
        <v>59.904992083</v>
      </c>
      <c r="X996" t="n">
        <v>44.878170309</v>
      </c>
      <c r="Y996" t="n">
        <v/>
      </c>
      <c r="Z996" t="n">
        <v>47.843300294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50.715</v>
      </c>
      <c r="AF996" t="n">
        <v>96.708059005</v>
      </c>
      <c r="AG996" t="n">
        <v>65.90000000000001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84.01118352100001</v>
      </c>
      <c r="AM996" t="n">
        <v>47.2</v>
      </c>
      <c r="AN996" t="n">
        <v>134.765791238</v>
      </c>
      <c r="AO996" t="n">
        <v>61.374591285</v>
      </c>
      <c r="AP996" t="n">
        <v>41.4</v>
      </c>
      <c r="AQ996" t="n">
        <v>81.024054585</v>
      </c>
      <c r="AR996" t="n">
        <v>101.191567369</v>
      </c>
      <c r="AS996" t="n">
        <v>39.596700275</v>
      </c>
      <c r="AT996" t="n">
        <v>87.22285417400001</v>
      </c>
      <c r="AU996" t="n">
        <v/>
      </c>
    </row>
    <row r="997">
      <c r="A997" s="107" t="n">
        <v>37226</v>
      </c>
      <c r="B997" t="n">
        <v>72.63416126</v>
      </c>
      <c r="C997" t="n">
        <v>72.293975502</v>
      </c>
      <c r="D997" t="n">
        <v>83.385034295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78.593450546</v>
      </c>
      <c r="L997" t="n">
        <v>113.7</v>
      </c>
      <c r="M997" t="n">
        <v>94.2</v>
      </c>
      <c r="N997" t="n">
        <v>119.853099878</v>
      </c>
      <c r="O997" t="n">
        <v>52.704392033</v>
      </c>
      <c r="P997" t="n">
        <v/>
      </c>
      <c r="Q997" t="n">
        <v>95.40000000000001</v>
      </c>
      <c r="R997" t="n">
        <v>109.21</v>
      </c>
      <c r="S997" t="n">
        <v>91.34538997999999</v>
      </c>
      <c r="T997" t="n">
        <v>105.502778276</v>
      </c>
      <c r="U997" t="n">
        <v/>
      </c>
      <c r="V997" t="n">
        <v>132.65628902</v>
      </c>
      <c r="W997" t="n">
        <v>59.504958747</v>
      </c>
      <c r="X997" t="n">
        <v>44.91917941</v>
      </c>
      <c r="Y997" t="n">
        <v/>
      </c>
      <c r="Z997" t="n">
        <v>52.538481317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49.447</v>
      </c>
      <c r="AF997" t="n">
        <v>98.308192349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84.139214236</v>
      </c>
      <c r="AM997" t="n">
        <v>49</v>
      </c>
      <c r="AN997" t="n">
        <v>132.846050622</v>
      </c>
      <c r="AO997" t="n">
        <v>59.573427917</v>
      </c>
      <c r="AP997" t="n">
        <v>41</v>
      </c>
      <c r="AQ997" t="n">
        <v>81.86416575</v>
      </c>
      <c r="AR997" t="n">
        <v>100.7916007</v>
      </c>
      <c r="AS997" t="n">
        <v>39.496708608</v>
      </c>
      <c r="AT997" t="n">
        <v>87.192908319</v>
      </c>
      <c r="AU997" t="n">
        <v/>
      </c>
    </row>
    <row r="998">
      <c r="A998" s="107" t="n">
        <v>37257</v>
      </c>
      <c r="B998" t="n">
        <v>72.38078628</v>
      </c>
      <c r="C998" t="n">
        <v>73.69385884499999</v>
      </c>
      <c r="D998" t="n">
        <v>85.76933663600001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78.99341721499999</v>
      </c>
      <c r="L998" t="n">
        <v>115.6</v>
      </c>
      <c r="M998" t="n">
        <v>94.2</v>
      </c>
      <c r="N998" t="n">
        <v>121.079100899</v>
      </c>
      <c r="O998" t="n">
        <v>51.204267022</v>
      </c>
      <c r="P998" t="n">
        <v/>
      </c>
      <c r="Q998" t="n">
        <v>98.5</v>
      </c>
      <c r="R998" t="n">
        <v>109.2</v>
      </c>
      <c r="S998" t="n">
        <v>91.762163684</v>
      </c>
      <c r="T998" t="n">
        <v>106.793332138</v>
      </c>
      <c r="U998" t="n">
        <v/>
      </c>
      <c r="V998" t="n">
        <v>141.147090652</v>
      </c>
      <c r="W998" t="n">
        <v>59.704975415</v>
      </c>
      <c r="X998" t="n">
        <v>44.832168041</v>
      </c>
      <c r="Y998" t="n">
        <v/>
      </c>
      <c r="Z998" t="n">
        <v>53.251673371</v>
      </c>
      <c r="AA998" t="n">
        <v>37.217298605</v>
      </c>
      <c r="AB998" t="n">
        <v>64.788193307</v>
      </c>
      <c r="AC998" t="n">
        <v>122.38980085</v>
      </c>
      <c r="AD998" t="n">
        <v>94.50120205899999</v>
      </c>
      <c r="AE998" t="n">
        <v>50.993</v>
      </c>
      <c r="AF998" t="n">
        <v>98.008167347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84.516614004</v>
      </c>
      <c r="AM998" t="n">
        <v>48.1</v>
      </c>
      <c r="AN998" t="n">
        <v>130.15841376</v>
      </c>
      <c r="AO998" t="n">
        <v>60.365356087</v>
      </c>
      <c r="AP998" t="n">
        <v>41.5</v>
      </c>
      <c r="AQ998" t="n">
        <v>82.98431397</v>
      </c>
      <c r="AR998" t="n">
        <v>99.391717357</v>
      </c>
      <c r="AS998" t="n">
        <v>40.796600283</v>
      </c>
      <c r="AT998" t="n">
        <v>87.800055562</v>
      </c>
      <c r="AU998" t="n">
        <v/>
      </c>
    </row>
    <row r="999">
      <c r="A999" s="107" t="n">
        <v>37288</v>
      </c>
      <c r="B999" t="n">
        <v>72.88753624</v>
      </c>
      <c r="C999" t="n">
        <v>73.49387551</v>
      </c>
      <c r="D999" t="n">
        <v>87.861271676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79.19340055000001</v>
      </c>
      <c r="L999" t="n">
        <v>113.4</v>
      </c>
      <c r="M999" t="n">
        <v>94.5</v>
      </c>
      <c r="N999" t="n">
        <v>121.741101451</v>
      </c>
      <c r="O999" t="n">
        <v>50.90424202</v>
      </c>
      <c r="P999" t="n">
        <v/>
      </c>
      <c r="Q999" t="n">
        <v>97.40000000000001</v>
      </c>
      <c r="R999" t="n">
        <v>109.62</v>
      </c>
      <c r="S999" t="n">
        <v>92.223926758</v>
      </c>
      <c r="T999" t="n">
        <v>107.546155225</v>
      </c>
      <c r="U999" t="n">
        <v/>
      </c>
      <c r="V999" t="n">
        <v>145.042870224</v>
      </c>
      <c r="W999" t="n">
        <v>63.205267106</v>
      </c>
      <c r="X999" t="n">
        <v>45.090810784</v>
      </c>
      <c r="Y999" t="n">
        <v/>
      </c>
      <c r="Z999" t="n">
        <v>50.814933853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51.975</v>
      </c>
      <c r="AF999" t="n">
        <v>99.108259022</v>
      </c>
      <c r="AG999" t="n">
        <v>66.8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84.96058956500001</v>
      </c>
      <c r="AM999" t="n">
        <v>47.9</v>
      </c>
      <c r="AN999" t="n">
        <v>128.110690436</v>
      </c>
      <c r="AO999" t="n">
        <v>60.373658223</v>
      </c>
      <c r="AP999" t="n">
        <v>43.3</v>
      </c>
      <c r="AQ999" t="n">
        <v>82.70427691499999</v>
      </c>
      <c r="AR999" t="n">
        <v>101.691525706</v>
      </c>
      <c r="AS999" t="n">
        <v>43.1964003</v>
      </c>
      <c r="AT999" t="n">
        <v>87.79113130099999</v>
      </c>
      <c r="AU999" t="n">
        <v/>
      </c>
    </row>
    <row r="1000">
      <c r="A1000" s="107" t="n">
        <v>37316</v>
      </c>
      <c r="B1000" t="n">
        <v>71.95849464</v>
      </c>
      <c r="C1000" t="n">
        <v>75.693692192</v>
      </c>
      <c r="D1000" t="n">
        <v>87.310762455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79.39338388500001</v>
      </c>
      <c r="L1000" t="n">
        <v>111.7</v>
      </c>
      <c r="M1000" t="n">
        <v>95.3</v>
      </c>
      <c r="N1000" t="n">
        <v>121.439101199</v>
      </c>
      <c r="O1000" t="n">
        <v>50.604217018</v>
      </c>
      <c r="P1000" t="n">
        <v/>
      </c>
      <c r="Q1000" t="n">
        <v>102.5</v>
      </c>
      <c r="R1000" t="n">
        <v>110.12</v>
      </c>
      <c r="S1000" t="n">
        <v>92.82021213</v>
      </c>
      <c r="T1000" t="n">
        <v>109.804624485</v>
      </c>
      <c r="U1000" t="n">
        <v/>
      </c>
      <c r="V1000" t="n">
        <v>142.64546741</v>
      </c>
      <c r="W1000" t="n">
        <v>62.505208767</v>
      </c>
      <c r="X1000" t="n">
        <v>45.362218735</v>
      </c>
      <c r="Y1000" t="n">
        <v/>
      </c>
      <c r="Z1000" t="n">
        <v>55.688412889</v>
      </c>
      <c r="AA1000" t="n">
        <v>37.826260683</v>
      </c>
      <c r="AB1000" t="n">
        <v>66.539225558</v>
      </c>
      <c r="AC1000" t="n">
        <v>124.689609199</v>
      </c>
      <c r="AD1000" t="n">
        <v>96.09571053099999</v>
      </c>
      <c r="AE1000" t="n">
        <v>53.278</v>
      </c>
      <c r="AF1000" t="n">
        <v>97.108092341</v>
      </c>
      <c r="AG1000" t="n">
        <v>67.5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85.55025102499999</v>
      </c>
      <c r="AM1000" t="n">
        <v>48</v>
      </c>
      <c r="AN1000" t="n">
        <v>132.846050622</v>
      </c>
      <c r="AO1000" t="n">
        <v>60.341769246</v>
      </c>
      <c r="AP1000" t="n">
        <v>42.2</v>
      </c>
      <c r="AQ1000" t="n">
        <v>82.330894175</v>
      </c>
      <c r="AR1000" t="n">
        <v>102.091492376</v>
      </c>
      <c r="AS1000" t="n">
        <v>43.696358637</v>
      </c>
      <c r="AT1000" t="n">
        <v>88.45896352</v>
      </c>
      <c r="AU1000" t="n">
        <v/>
      </c>
    </row>
    <row r="1001">
      <c r="A1001" s="107" t="n">
        <v>37347</v>
      </c>
      <c r="B1001" t="n">
        <v>74.91453609</v>
      </c>
      <c r="C1001" t="n">
        <v>75.09374218799999</v>
      </c>
      <c r="D1001" t="n">
        <v>87.420864299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79.493375552</v>
      </c>
      <c r="L1001" t="n">
        <v>115.5</v>
      </c>
      <c r="M1001" t="n">
        <v>95.09999999999999</v>
      </c>
      <c r="N1001" t="n">
        <v>122.476102063</v>
      </c>
      <c r="O1001" t="n">
        <v>52.904408701</v>
      </c>
      <c r="P1001" t="n">
        <v/>
      </c>
      <c r="Q1001" t="n">
        <v>100.4</v>
      </c>
      <c r="R1001" t="n">
        <v>110.8</v>
      </c>
      <c r="S1001" t="n">
        <v>92.61763897100001</v>
      </c>
      <c r="T1001" t="n">
        <v>104.642409034</v>
      </c>
      <c r="U1001" t="n">
        <v/>
      </c>
      <c r="V1001" t="n">
        <v>144.843086656</v>
      </c>
      <c r="W1001" t="n">
        <v>62.305192099</v>
      </c>
      <c r="X1001" t="n">
        <v>45.903366367</v>
      </c>
      <c r="Y1001" t="n">
        <v/>
      </c>
      <c r="Z1001" t="n">
        <v>52.538481317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53.735</v>
      </c>
      <c r="AF1001" t="n">
        <v>100.008334028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85.693312292</v>
      </c>
      <c r="AM1001" t="n">
        <v>46.8</v>
      </c>
      <c r="AN1001" t="n">
        <v>135.277722069</v>
      </c>
      <c r="AO1001" t="n">
        <v>60.407801276</v>
      </c>
      <c r="AP1001" t="n">
        <v>43.6</v>
      </c>
      <c r="AQ1001" t="n">
        <v>84.197807876</v>
      </c>
      <c r="AR1001" t="n">
        <v>100.691609033</v>
      </c>
      <c r="AS1001" t="n">
        <v>44.496291976</v>
      </c>
      <c r="AT1001" t="n">
        <v>88.884551624</v>
      </c>
      <c r="AU1001" t="n">
        <v/>
      </c>
    </row>
    <row r="1002">
      <c r="A1002" s="107" t="n">
        <v>37377</v>
      </c>
      <c r="B1002" t="n">
        <v>74.15441115</v>
      </c>
      <c r="C1002" t="n">
        <v>75.893675527</v>
      </c>
      <c r="D1002" t="n">
        <v>87.420864299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78.693442213</v>
      </c>
      <c r="L1002" t="n">
        <v>113.8</v>
      </c>
      <c r="M1002" t="n">
        <v>95.5</v>
      </c>
      <c r="N1002" t="n">
        <v>121.433101194</v>
      </c>
      <c r="O1002" t="n">
        <v>53.904492041</v>
      </c>
      <c r="P1002" t="n">
        <v/>
      </c>
      <c r="Q1002" t="n">
        <v>100.7</v>
      </c>
      <c r="R1002" t="n">
        <v>109.83</v>
      </c>
      <c r="S1002" t="n">
        <v>93.69078766600001</v>
      </c>
      <c r="T1002" t="n">
        <v>106.148055207</v>
      </c>
      <c r="U1002" t="n">
        <v/>
      </c>
      <c r="V1002" t="n">
        <v>139.149254974</v>
      </c>
      <c r="W1002" t="n">
        <v>61.305108759</v>
      </c>
      <c r="X1002" t="n">
        <v>45.699662326</v>
      </c>
      <c r="Y1002" t="n">
        <v/>
      </c>
      <c r="Z1002" t="n">
        <v>55.272384191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53.147</v>
      </c>
      <c r="AF1002" t="n">
        <v>100.8084007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86.287054842</v>
      </c>
      <c r="AM1002" t="n">
        <v>47.2</v>
      </c>
      <c r="AN1002" t="n">
        <v>131.950171668</v>
      </c>
      <c r="AO1002" t="n">
        <v>59.873650304</v>
      </c>
      <c r="AP1002" t="n">
        <v>44.4</v>
      </c>
      <c r="AQ1002" t="n">
        <v>81.86416575</v>
      </c>
      <c r="AR1002" t="n">
        <v>100.991584035</v>
      </c>
      <c r="AS1002" t="n">
        <v>43.096408633</v>
      </c>
      <c r="AT1002" t="n">
        <v>89.269484761</v>
      </c>
      <c r="AU1002" t="n">
        <v/>
      </c>
    </row>
    <row r="1003">
      <c r="A1003" s="107" t="n">
        <v>37408</v>
      </c>
      <c r="B1003" t="n">
        <v>75.08345274</v>
      </c>
      <c r="C1003" t="n">
        <v>74.593783851</v>
      </c>
      <c r="D1003" t="n">
        <v>87.751169832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80.893258895</v>
      </c>
      <c r="L1003" t="n">
        <v>112.7</v>
      </c>
      <c r="M1003" t="n">
        <v>96</v>
      </c>
      <c r="N1003" t="n">
        <v>121.42810119</v>
      </c>
      <c r="O1003" t="n">
        <v>52.804400367</v>
      </c>
      <c r="P1003" t="n">
        <v/>
      </c>
      <c r="Q1003" t="n">
        <v>103</v>
      </c>
      <c r="R1003" t="n">
        <v>109.67</v>
      </c>
      <c r="S1003" t="n">
        <v>93.667174397</v>
      </c>
      <c r="T1003" t="n">
        <v>100.340562825</v>
      </c>
      <c r="U1003" t="n">
        <v/>
      </c>
      <c r="V1003" t="n">
        <v>141.646549571</v>
      </c>
      <c r="W1003" t="n">
        <v>62.105175431</v>
      </c>
      <c r="X1003" t="n">
        <v>46.105457949</v>
      </c>
      <c r="Y1003" t="n">
        <v/>
      </c>
      <c r="Z1003" t="n">
        <v>56.639335628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52.749</v>
      </c>
      <c r="AF1003" t="n">
        <v>101.508459038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86.277263037</v>
      </c>
      <c r="AM1003" t="n">
        <v>48.2</v>
      </c>
      <c r="AN1003" t="n">
        <v>132.462102499</v>
      </c>
      <c r="AO1003" t="n">
        <v>61.182442424</v>
      </c>
      <c r="AP1003" t="n">
        <v>45.6</v>
      </c>
      <c r="AQ1003" t="n">
        <v>82.05085712</v>
      </c>
      <c r="AR1003" t="n">
        <v>99.391717357</v>
      </c>
      <c r="AS1003" t="n">
        <v>43.496375302</v>
      </c>
      <c r="AT1003" t="n">
        <v>90.00067923500001</v>
      </c>
      <c r="AU1003" t="n">
        <v/>
      </c>
    </row>
    <row r="1004">
      <c r="A1004" s="107" t="n">
        <v>37438</v>
      </c>
      <c r="B1004" t="n">
        <v>73.73211951</v>
      </c>
      <c r="C1004" t="n">
        <v>74.09382551500001</v>
      </c>
      <c r="D1004" t="n">
        <v>88.081475365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79.39338388500001</v>
      </c>
      <c r="L1004" t="n">
        <v>114.1</v>
      </c>
      <c r="M1004" t="n">
        <v>95.2</v>
      </c>
      <c r="N1004" t="n">
        <v>121.997101664</v>
      </c>
      <c r="O1004" t="n">
        <v>53.104425369</v>
      </c>
      <c r="P1004" t="n">
        <v/>
      </c>
      <c r="Q1004" t="n">
        <v>101.5</v>
      </c>
      <c r="R1004" t="n">
        <v>108.55</v>
      </c>
      <c r="S1004" t="n">
        <v>93.649506317</v>
      </c>
      <c r="T1004" t="n">
        <v>102.168847464</v>
      </c>
      <c r="U1004" t="n">
        <v/>
      </c>
      <c r="V1004" t="n">
        <v>141.746441355</v>
      </c>
      <c r="W1004" t="n">
        <v>63.205267106</v>
      </c>
      <c r="X1004" t="n">
        <v>46.658908205</v>
      </c>
      <c r="Y1004" t="n">
        <v/>
      </c>
      <c r="Z1004" t="n">
        <v>53.429971384</v>
      </c>
      <c r="AA1004" t="n">
        <v>35.151780007</v>
      </c>
      <c r="AB1004" t="n">
        <v>65.068358467</v>
      </c>
      <c r="AC1004" t="n">
        <v>123.389717524</v>
      </c>
      <c r="AD1004" t="n">
        <v>99.391028038</v>
      </c>
      <c r="AE1004" t="n">
        <v>54.064</v>
      </c>
      <c r="AF1004" t="n">
        <v>99.108259022</v>
      </c>
      <c r="AG1004" t="n">
        <v>70.3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86.39404961699999</v>
      </c>
      <c r="AM1004" t="n">
        <v>48.8</v>
      </c>
      <c r="AN1004" t="n">
        <v>132.97403333</v>
      </c>
      <c r="AO1004" t="n">
        <v>62.190064172</v>
      </c>
      <c r="AP1004" t="n">
        <v>45.6</v>
      </c>
      <c r="AQ1004" t="n">
        <v>83.264351026</v>
      </c>
      <c r="AR1004" t="n">
        <v>100.091659028</v>
      </c>
      <c r="AS1004" t="n">
        <v>43.996333639</v>
      </c>
      <c r="AT1004" t="n">
        <v>89.980054276</v>
      </c>
      <c r="AU1004" t="n">
        <v/>
      </c>
    </row>
    <row r="1005">
      <c r="A1005" s="107" t="n">
        <v>37469</v>
      </c>
      <c r="B1005" t="n">
        <v>71.78957799</v>
      </c>
      <c r="C1005" t="n">
        <v>75.39371719</v>
      </c>
      <c r="D1005" t="n">
        <v>87.090558767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81.293225565</v>
      </c>
      <c r="L1005" t="n">
        <v>112.9</v>
      </c>
      <c r="M1005" t="n">
        <v>95.59999999999999</v>
      </c>
      <c r="N1005" t="n">
        <v>122.82010235</v>
      </c>
      <c r="O1005" t="n">
        <v>54.904575381</v>
      </c>
      <c r="P1005" t="n">
        <v/>
      </c>
      <c r="Q1005" t="n">
        <v>101.2</v>
      </c>
      <c r="R1005" t="n">
        <v>110.58</v>
      </c>
      <c r="S1005" t="n">
        <v>93.91280188899999</v>
      </c>
      <c r="T1005" t="n">
        <v>100.985839756</v>
      </c>
      <c r="U1005" t="n">
        <v/>
      </c>
      <c r="V1005" t="n">
        <v>139.249146758</v>
      </c>
      <c r="W1005" t="n">
        <v>62.205183765</v>
      </c>
      <c r="X1005" t="n">
        <v>46.956991453</v>
      </c>
      <c r="Y1005" t="n">
        <v/>
      </c>
      <c r="Z1005" t="n">
        <v>52.954510015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54.568</v>
      </c>
      <c r="AF1005" t="n">
        <v>99.608300692</v>
      </c>
      <c r="AG1005" t="n">
        <v>72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86.598537534</v>
      </c>
      <c r="AM1005" t="n">
        <v>49.3</v>
      </c>
      <c r="AN1005" t="n">
        <v>129.646482929</v>
      </c>
      <c r="AO1005" t="n">
        <v>62.894363312</v>
      </c>
      <c r="AP1005" t="n">
        <v>46</v>
      </c>
      <c r="AQ1005" t="n">
        <v>83.171005341</v>
      </c>
      <c r="AR1005" t="n">
        <v>99.791684026</v>
      </c>
      <c r="AS1005" t="n">
        <v>44.096325306</v>
      </c>
      <c r="AT1005" t="n">
        <v>89.86413803799999</v>
      </c>
      <c r="AU1005" t="n">
        <v/>
      </c>
    </row>
    <row r="1006">
      <c r="A1006" s="107" t="n">
        <v>37500</v>
      </c>
      <c r="B1006" t="n">
        <v>74.32332780999999</v>
      </c>
      <c r="C1006" t="n">
        <v>75.29372552300001</v>
      </c>
      <c r="D1006" t="n">
        <v>87.641067988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80.193317224</v>
      </c>
      <c r="L1006" t="n">
        <v>113.8</v>
      </c>
      <c r="M1006" t="n">
        <v>95.90000000000001</v>
      </c>
      <c r="N1006" t="n">
        <v>123.138102615</v>
      </c>
      <c r="O1006" t="n">
        <v>55.204600383</v>
      </c>
      <c r="P1006" t="n">
        <v/>
      </c>
      <c r="Q1006" t="n">
        <v>100.9</v>
      </c>
      <c r="R1006" t="n">
        <v>109.2</v>
      </c>
      <c r="S1006" t="n">
        <v>93.96310525299999</v>
      </c>
      <c r="T1006" t="n">
        <v>101.523570532</v>
      </c>
      <c r="U1006" t="n">
        <v/>
      </c>
      <c r="V1006" t="n">
        <v>139.448930325</v>
      </c>
      <c r="W1006" t="n">
        <v>63.505292108</v>
      </c>
      <c r="X1006" t="n">
        <v>46.82147689</v>
      </c>
      <c r="Y1006" t="n">
        <v/>
      </c>
      <c r="Z1006" t="n">
        <v>54.856355492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53.597</v>
      </c>
      <c r="AF1006" t="n">
        <v>101.008417368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86.644826489</v>
      </c>
      <c r="AM1006" t="n">
        <v>49.6</v>
      </c>
      <c r="AN1006" t="n">
        <v>130.542361883</v>
      </c>
      <c r="AO1006" t="n">
        <v>62.471403167</v>
      </c>
      <c r="AP1006" t="n">
        <v>45.6</v>
      </c>
      <c r="AQ1006" t="n">
        <v>83.54438808099999</v>
      </c>
      <c r="AR1006" t="n">
        <v>99.791684026</v>
      </c>
      <c r="AS1006" t="n">
        <v>45.396216982</v>
      </c>
      <c r="AT1006" t="n">
        <v>89.96061921800001</v>
      </c>
      <c r="AU1006" t="n">
        <v/>
      </c>
    </row>
    <row r="1007">
      <c r="A1007" s="107" t="n">
        <v>37530</v>
      </c>
      <c r="B1007" t="n">
        <v>73.39428621</v>
      </c>
      <c r="C1007" t="n">
        <v>76.39363386399999</v>
      </c>
      <c r="D1007" t="n">
        <v>87.971373521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79.593367219</v>
      </c>
      <c r="L1007" t="n">
        <v>117.6</v>
      </c>
      <c r="M1007" t="n">
        <v>95.3</v>
      </c>
      <c r="N1007" t="n">
        <v>123.865103221</v>
      </c>
      <c r="O1007" t="n">
        <v>56.60471706</v>
      </c>
      <c r="P1007" t="n">
        <v/>
      </c>
      <c r="Q1007" t="n">
        <v>102.6</v>
      </c>
      <c r="R1007" t="n">
        <v>108.34</v>
      </c>
      <c r="S1007" t="n">
        <v>93.502794393</v>
      </c>
      <c r="T1007" t="n">
        <v>98.297185876</v>
      </c>
      <c r="U1007" t="n">
        <v/>
      </c>
      <c r="V1007" t="n">
        <v>143.14492633</v>
      </c>
      <c r="W1007" t="n">
        <v>61.105092091</v>
      </c>
      <c r="X1007" t="n">
        <v>47.312291486</v>
      </c>
      <c r="Y1007" t="n">
        <v/>
      </c>
      <c r="Z1007" t="n">
        <v>52.835644673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54.547</v>
      </c>
      <c r="AF1007" t="n">
        <v>107.308942412</v>
      </c>
      <c r="AG1007" t="n">
        <v>72.40000000000001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86.505264912</v>
      </c>
      <c r="AM1007" t="n">
        <v>49.2</v>
      </c>
      <c r="AN1007" t="n">
        <v>132.718067914</v>
      </c>
      <c r="AO1007" t="n">
        <v>62.818024076</v>
      </c>
      <c r="AP1007" t="n">
        <v>45.7</v>
      </c>
      <c r="AQ1007" t="n">
        <v>82.517585545</v>
      </c>
      <c r="AR1007" t="n">
        <v>100.491625698</v>
      </c>
      <c r="AS1007" t="n">
        <v>44.296308641</v>
      </c>
      <c r="AT1007" t="n">
        <v>89.726406939</v>
      </c>
      <c r="AU1007" t="n">
        <v/>
      </c>
    </row>
    <row r="1008">
      <c r="A1008" s="107" t="n">
        <v>37561</v>
      </c>
      <c r="B1008" t="n">
        <v>73.56320286</v>
      </c>
      <c r="C1008" t="n">
        <v>77.193567203</v>
      </c>
      <c r="D1008" t="n">
        <v>87.971373521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80.993250562</v>
      </c>
      <c r="L1008" t="n">
        <v>114.2</v>
      </c>
      <c r="M1008" t="n">
        <v>95.90000000000001</v>
      </c>
      <c r="N1008" t="n">
        <v>123.447102873</v>
      </c>
      <c r="O1008" t="n">
        <v>56.004667056</v>
      </c>
      <c r="P1008" t="n">
        <v/>
      </c>
      <c r="Q1008" t="n">
        <v>103.7</v>
      </c>
      <c r="R1008" t="n">
        <v>109.37</v>
      </c>
      <c r="S1008" t="n">
        <v>94.05623367</v>
      </c>
      <c r="T1008" t="n">
        <v>98.512278186</v>
      </c>
      <c r="U1008" t="n">
        <v/>
      </c>
      <c r="V1008" t="n">
        <v>143.344709898</v>
      </c>
      <c r="W1008" t="n">
        <v>63.705308776</v>
      </c>
      <c r="X1008" t="n">
        <v>46.971018112</v>
      </c>
      <c r="Y1008" t="n">
        <v/>
      </c>
      <c r="Z1008" t="n">
        <v>53.786567411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55.334</v>
      </c>
      <c r="AF1008" t="n">
        <v>105.308775731</v>
      </c>
      <c r="AG1008" t="n">
        <v>74.5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86.880359052</v>
      </c>
      <c r="AM1008" t="n">
        <v>50.8</v>
      </c>
      <c r="AN1008" t="n">
        <v>128.494638559</v>
      </c>
      <c r="AO1008" t="n">
        <v>62.085272514</v>
      </c>
      <c r="AP1008" t="n">
        <v>47.7</v>
      </c>
      <c r="AQ1008" t="n">
        <v>82.42423986</v>
      </c>
      <c r="AR1008" t="n">
        <v>101.491542371</v>
      </c>
      <c r="AS1008" t="n">
        <v>43.396383635</v>
      </c>
      <c r="AT1008" t="n">
        <v>90.21664635800001</v>
      </c>
      <c r="AU1008" t="n">
        <v/>
      </c>
    </row>
    <row r="1009">
      <c r="A1009" s="107" t="n">
        <v>37591</v>
      </c>
      <c r="B1009" t="n">
        <v>73.47874453</v>
      </c>
      <c r="C1009" t="n">
        <v>73.49387551</v>
      </c>
      <c r="D1009" t="n">
        <v>87.751169832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79.593367219</v>
      </c>
      <c r="L1009" t="n">
        <v>112.7</v>
      </c>
      <c r="M1009" t="n">
        <v>94.40000000000001</v>
      </c>
      <c r="N1009" t="n">
        <v>122.70010225</v>
      </c>
      <c r="O1009" t="n">
        <v>56.10467539</v>
      </c>
      <c r="P1009" t="n">
        <v/>
      </c>
      <c r="Q1009" t="n">
        <v>100.1</v>
      </c>
      <c r="R1009" t="n">
        <v>106.78</v>
      </c>
      <c r="S1009" t="n">
        <v>93.37665818000001</v>
      </c>
      <c r="T1009" t="n">
        <v>98.942462807</v>
      </c>
      <c r="U1009" t="n">
        <v/>
      </c>
      <c r="V1009" t="n">
        <v>143.14492633</v>
      </c>
      <c r="W1009" t="n">
        <v>64.705392116</v>
      </c>
      <c r="X1009" t="n">
        <v>47.510751059</v>
      </c>
      <c r="Y1009" t="n">
        <v/>
      </c>
      <c r="Z1009" t="n">
        <v>48.972521046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55.951</v>
      </c>
      <c r="AF1009" t="n">
        <v>103.108592383</v>
      </c>
      <c r="AG1009" t="n">
        <v>72.5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86.487728051</v>
      </c>
      <c r="AM1009" t="n">
        <v>50.4</v>
      </c>
      <c r="AN1009" t="n">
        <v>130.414379175</v>
      </c>
      <c r="AO1009" t="n">
        <v>62.062065761</v>
      </c>
      <c r="AP1009" t="n">
        <v>47.9</v>
      </c>
      <c r="AQ1009" t="n">
        <v>82.23754848999999</v>
      </c>
      <c r="AR1009" t="n">
        <v>101.891509041</v>
      </c>
      <c r="AS1009" t="n">
        <v>45.996166986</v>
      </c>
      <c r="AT1009" t="n">
        <v>89.730373277</v>
      </c>
      <c r="AU1009" t="n">
        <v/>
      </c>
    </row>
    <row r="1010">
      <c r="A1010" s="107" t="n">
        <v>37622</v>
      </c>
      <c r="B1010" t="n">
        <v>77.53274423000001</v>
      </c>
      <c r="C1010" t="n">
        <v>76.093658862</v>
      </c>
      <c r="D1010" t="n">
        <v>87.861271676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80.193317224</v>
      </c>
      <c r="L1010" t="n">
        <v>113.7</v>
      </c>
      <c r="M1010" t="n">
        <v>96</v>
      </c>
      <c r="N1010" t="n">
        <v>123.625103021</v>
      </c>
      <c r="O1010" t="n">
        <v>57.304775398</v>
      </c>
      <c r="P1010" t="n">
        <v/>
      </c>
      <c r="Q1010" t="n">
        <v>99.90000000000001</v>
      </c>
      <c r="R1010" t="n">
        <v>108.98</v>
      </c>
      <c r="S1010" t="n">
        <v>94.334720262</v>
      </c>
      <c r="T1010" t="n">
        <v>99.480193583</v>
      </c>
      <c r="U1010" t="n">
        <v/>
      </c>
      <c r="V1010" t="n">
        <v>142.146008491</v>
      </c>
      <c r="W1010" t="n">
        <v>63.605300442</v>
      </c>
      <c r="X1010" t="n">
        <v>47.778820344</v>
      </c>
      <c r="Y1010" t="n">
        <v/>
      </c>
      <c r="Z1010" t="n">
        <v>53.132808028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54.641</v>
      </c>
      <c r="AF1010" t="n">
        <v>104.908742395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87.23810108799999</v>
      </c>
      <c r="AM1010" t="n">
        <v>49.5</v>
      </c>
      <c r="AN1010" t="n">
        <v>129.774465636</v>
      </c>
      <c r="AO1010" t="n">
        <v>63.849962158</v>
      </c>
      <c r="AP1010" t="n">
        <v>49.5</v>
      </c>
      <c r="AQ1010" t="n">
        <v>81.86416575</v>
      </c>
      <c r="AR1010" t="n">
        <v>102.391467378</v>
      </c>
      <c r="AS1010" t="n">
        <v>47.296058662</v>
      </c>
      <c r="AT1010" t="n">
        <v>90.471681914</v>
      </c>
      <c r="AU1010" t="n">
        <v/>
      </c>
    </row>
    <row r="1011">
      <c r="A1011" s="107" t="n">
        <v>37653</v>
      </c>
      <c r="B1011" t="n">
        <v>76.68816096</v>
      </c>
      <c r="C1011" t="n">
        <v>75.993667194</v>
      </c>
      <c r="D1011" t="n">
        <v>87.530966144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80.193317224</v>
      </c>
      <c r="L1011" t="n">
        <v>115.9</v>
      </c>
      <c r="M1011" t="n">
        <v>96.09999999999999</v>
      </c>
      <c r="N1011" t="n">
        <v>124.025103354</v>
      </c>
      <c r="O1011" t="n">
        <v>58.404867072</v>
      </c>
      <c r="P1011" t="n">
        <v/>
      </c>
      <c r="Q1011" t="n">
        <v>102.4</v>
      </c>
      <c r="R1011" t="n">
        <v>109.98</v>
      </c>
      <c r="S1011" t="n">
        <v>94.36307993699999</v>
      </c>
      <c r="T1011" t="n">
        <v>101.846208998</v>
      </c>
      <c r="U1011" t="n">
        <v/>
      </c>
      <c r="V1011" t="n">
        <v>139.648713893</v>
      </c>
      <c r="W1011" t="n">
        <v>63.30527544</v>
      </c>
      <c r="X1011" t="n">
        <v>48.392740677</v>
      </c>
      <c r="Y1011" t="n">
        <v/>
      </c>
      <c r="Z1011" t="n">
        <v>55.272384191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54.909</v>
      </c>
      <c r="AF1011" t="n">
        <v>106.108842404</v>
      </c>
      <c r="AG1011" t="n">
        <v>73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87.332197292</v>
      </c>
      <c r="AM1011" t="n">
        <v>49.9</v>
      </c>
      <c r="AN1011" t="n">
        <v>133.869912284</v>
      </c>
      <c r="AO1011" t="n">
        <v>65.454492766</v>
      </c>
      <c r="AP1011" t="n">
        <v>49.7</v>
      </c>
      <c r="AQ1011" t="n">
        <v>83.637733766</v>
      </c>
      <c r="AR1011" t="n">
        <v>99.891675694</v>
      </c>
      <c r="AS1011" t="n">
        <v>45.996166986</v>
      </c>
      <c r="AT1011" t="n">
        <v>90.56974963</v>
      </c>
      <c r="AU1011" t="n">
        <v/>
      </c>
    </row>
    <row r="1012">
      <c r="A1012" s="107" t="n">
        <v>37681</v>
      </c>
      <c r="B1012" t="n">
        <v>76.94153593999999</v>
      </c>
      <c r="C1012" t="n">
        <v>74.993750521</v>
      </c>
      <c r="D1012" t="n">
        <v>87.420864299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79.993333889</v>
      </c>
      <c r="L1012" t="n">
        <v>112.6</v>
      </c>
      <c r="M1012" t="n">
        <v>95.40000000000001</v>
      </c>
      <c r="N1012" t="n">
        <v>123.638103032</v>
      </c>
      <c r="O1012" t="n">
        <v>58.204850404</v>
      </c>
      <c r="P1012" t="n">
        <v/>
      </c>
      <c r="Q1012" t="n">
        <v>99.09999999999999</v>
      </c>
      <c r="R1012" t="n">
        <v>109.13</v>
      </c>
      <c r="S1012" t="n">
        <v>94.439476681</v>
      </c>
      <c r="T1012" t="n">
        <v>104.104678258</v>
      </c>
      <c r="U1012" t="n">
        <v/>
      </c>
      <c r="V1012" t="n">
        <v>140.248064597</v>
      </c>
      <c r="W1012" t="n">
        <v>64.905408784</v>
      </c>
      <c r="X1012" t="n">
        <v>47.99528676</v>
      </c>
      <c r="Y1012" t="n">
        <v/>
      </c>
      <c r="Z1012" t="n">
        <v>54.678057479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56.066</v>
      </c>
      <c r="AF1012" t="n">
        <v>105.608800733</v>
      </c>
      <c r="AG1012" t="n">
        <v>73.09999999999999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87.367488055</v>
      </c>
      <c r="AM1012" t="n">
        <v>50.6</v>
      </c>
      <c r="AN1012" t="n">
        <v>127.726742313</v>
      </c>
      <c r="AO1012" t="n">
        <v>66.638175284</v>
      </c>
      <c r="AP1012" t="n">
        <v>50.1</v>
      </c>
      <c r="AQ1012" t="n">
        <v>83.07765965500001</v>
      </c>
      <c r="AR1012" t="n">
        <v>100.091659028</v>
      </c>
      <c r="AS1012" t="n">
        <v>46.696108658</v>
      </c>
      <c r="AT1012" t="n">
        <v>90.302616742</v>
      </c>
      <c r="AU1012" t="n">
        <v/>
      </c>
    </row>
    <row r="1013">
      <c r="A1013" s="107" t="n">
        <v>37712</v>
      </c>
      <c r="B1013" t="n">
        <v>76.60370263</v>
      </c>
      <c r="C1013" t="n">
        <v>76.993583868</v>
      </c>
      <c r="D1013" t="n">
        <v>87.310762455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79.793350554</v>
      </c>
      <c r="L1013" t="n">
        <v>114.6</v>
      </c>
      <c r="M1013" t="n">
        <v>95.8</v>
      </c>
      <c r="N1013" t="n">
        <v>123.950103292</v>
      </c>
      <c r="O1013" t="n">
        <v>59.604967081</v>
      </c>
      <c r="P1013" t="n">
        <v/>
      </c>
      <c r="Q1013" t="n">
        <v>102.9</v>
      </c>
      <c r="R1013" t="n">
        <v>109.18</v>
      </c>
      <c r="S1013" t="n">
        <v>93.99959794999999</v>
      </c>
      <c r="T1013" t="n">
        <v>104.534862879</v>
      </c>
      <c r="U1013" t="n">
        <v/>
      </c>
      <c r="V1013" t="n">
        <v>142.445683843</v>
      </c>
      <c r="W1013" t="n">
        <v>64.205350446</v>
      </c>
      <c r="X1013" t="n">
        <v>48.099494295</v>
      </c>
      <c r="Y1013" t="n">
        <v/>
      </c>
      <c r="Z1013" t="n">
        <v>54.380894123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55.092</v>
      </c>
      <c r="AF1013" t="n">
        <v>107.808984082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87.017246099</v>
      </c>
      <c r="AM1013" t="n">
        <v>50.7</v>
      </c>
      <c r="AN1013" t="n">
        <v>131.310258129</v>
      </c>
      <c r="AO1013" t="n">
        <v>66.91990506499999</v>
      </c>
      <c r="AP1013" t="n">
        <v>50.6</v>
      </c>
      <c r="AQ1013" t="n">
        <v>82.330894175</v>
      </c>
      <c r="AR1013" t="n">
        <v>103.491375719</v>
      </c>
      <c r="AS1013" t="n">
        <v>45.296225315</v>
      </c>
      <c r="AT1013" t="n">
        <v>89.729778326</v>
      </c>
      <c r="AU1013" t="n">
        <v/>
      </c>
    </row>
    <row r="1014">
      <c r="A1014" s="107" t="n">
        <v>37742</v>
      </c>
      <c r="B1014" t="n">
        <v>75.16791107</v>
      </c>
      <c r="C1014" t="n">
        <v>74.193817182</v>
      </c>
      <c r="D1014" t="n">
        <v>85.98954032499999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79.093408883</v>
      </c>
      <c r="L1014" t="n">
        <v>112.8</v>
      </c>
      <c r="M1014" t="n">
        <v>94.2</v>
      </c>
      <c r="N1014" t="n">
        <v>122.922102435</v>
      </c>
      <c r="O1014" t="n">
        <v>58.204850404</v>
      </c>
      <c r="P1014" t="n">
        <v/>
      </c>
      <c r="Q1014" t="n">
        <v>99.40000000000001</v>
      </c>
      <c r="R1014" t="n">
        <v>106.58</v>
      </c>
      <c r="S1014" t="n">
        <v>93.826027829</v>
      </c>
      <c r="T1014" t="n">
        <v>105.610324431</v>
      </c>
      <c r="U1014" t="n">
        <v/>
      </c>
      <c r="V1014" t="n">
        <v>142.745359194</v>
      </c>
      <c r="W1014" t="n">
        <v>64.00533377799999</v>
      </c>
      <c r="X1014" t="n">
        <v>48.789607256</v>
      </c>
      <c r="Y1014" t="n">
        <v/>
      </c>
      <c r="Z1014" t="n">
        <v>54.975220835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54.857</v>
      </c>
      <c r="AF1014" t="n">
        <v>105.208767397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86.796630826</v>
      </c>
      <c r="AM1014" t="n">
        <v>51.6</v>
      </c>
      <c r="AN1014" t="n">
        <v>130.798327298</v>
      </c>
      <c r="AO1014" t="n">
        <v>66.795729894</v>
      </c>
      <c r="AP1014" t="n">
        <v>50.4</v>
      </c>
      <c r="AQ1014" t="n">
        <v>83.07765965500001</v>
      </c>
      <c r="AR1014" t="n">
        <v>101.491542371</v>
      </c>
      <c r="AS1014" t="n">
        <v>45.396216982</v>
      </c>
      <c r="AT1014" t="n">
        <v>89.708360099</v>
      </c>
      <c r="AU1014" t="n">
        <v/>
      </c>
    </row>
    <row r="1015">
      <c r="A1015" s="107" t="n">
        <v>37773</v>
      </c>
      <c r="B1015" t="n">
        <v>76.26586933</v>
      </c>
      <c r="C1015" t="n">
        <v>75.593700525</v>
      </c>
      <c r="D1015" t="n">
        <v>86.319845857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78.693442213</v>
      </c>
      <c r="L1015" t="n">
        <v>113.5</v>
      </c>
      <c r="M1015" t="n">
        <v>94.2</v>
      </c>
      <c r="N1015" t="n">
        <v>123.344102787</v>
      </c>
      <c r="O1015" t="n">
        <v>58.704892074</v>
      </c>
      <c r="P1015" t="n">
        <v/>
      </c>
      <c r="Q1015" t="n">
        <v>100.3</v>
      </c>
      <c r="R1015" t="n">
        <v>106.29</v>
      </c>
      <c r="S1015" t="n">
        <v>93.780995785</v>
      </c>
      <c r="T1015" t="n">
        <v>107.008424449</v>
      </c>
      <c r="U1015" t="n">
        <v/>
      </c>
      <c r="V1015" t="n">
        <v>143.944060601</v>
      </c>
      <c r="W1015" t="n">
        <v>66.005500458</v>
      </c>
      <c r="X1015" t="n">
        <v>48.958360049</v>
      </c>
      <c r="Y1015" t="n">
        <v/>
      </c>
      <c r="Z1015" t="n">
        <v>55.153518848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56.54</v>
      </c>
      <c r="AF1015" t="n">
        <v>101.708475706</v>
      </c>
      <c r="AG1015" t="n">
        <v>75.2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87.002110118</v>
      </c>
      <c r="AM1015" t="n">
        <v>52</v>
      </c>
      <c r="AN1015" t="n">
        <v>129.262534805</v>
      </c>
      <c r="AO1015" t="n">
        <v>66.749511652</v>
      </c>
      <c r="AP1015" t="n">
        <v>52.1</v>
      </c>
      <c r="AQ1015" t="n">
        <v>82.42423986</v>
      </c>
      <c r="AR1015" t="n">
        <v>102.091492376</v>
      </c>
      <c r="AS1015" t="n">
        <v>47.196066994</v>
      </c>
      <c r="AT1015" t="n">
        <v>89.82754856699999</v>
      </c>
      <c r="AU1015" t="n">
        <v/>
      </c>
    </row>
    <row r="1016">
      <c r="A1016" s="107" t="n">
        <v>37803</v>
      </c>
      <c r="B1016" t="n">
        <v>76.26586933</v>
      </c>
      <c r="C1016" t="n">
        <v>77.79351720699999</v>
      </c>
      <c r="D1016" t="n">
        <v>85.54913294799999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80.59328389300001</v>
      </c>
      <c r="L1016" t="n">
        <v>113.5</v>
      </c>
      <c r="M1016" t="n">
        <v>95.8</v>
      </c>
      <c r="N1016" t="n">
        <v>123.698103082</v>
      </c>
      <c r="O1016" t="n">
        <v>59.404950413</v>
      </c>
      <c r="P1016" t="n">
        <v/>
      </c>
      <c r="Q1016" t="n">
        <v>101.7</v>
      </c>
      <c r="R1016" t="n">
        <v>108.2</v>
      </c>
      <c r="S1016" t="n">
        <v>94.70112773300001</v>
      </c>
      <c r="T1016" t="n">
        <v>108.621616777</v>
      </c>
      <c r="U1016" t="n">
        <v/>
      </c>
      <c r="V1016" t="n">
        <v>143.744277033</v>
      </c>
      <c r="W1016" t="n">
        <v>66.205517126</v>
      </c>
      <c r="X1016" t="n">
        <v>49.601401784</v>
      </c>
      <c r="Y1016" t="n">
        <v/>
      </c>
      <c r="Z1016" t="n">
        <v>56.639335628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53.906</v>
      </c>
      <c r="AF1016" t="n">
        <v>103.908659055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87.69903923</v>
      </c>
      <c r="AM1016" t="n">
        <v>53.9</v>
      </c>
      <c r="AN1016" t="n">
        <v>131.694206252</v>
      </c>
      <c r="AO1016" t="n">
        <v>67.40382974800001</v>
      </c>
      <c r="AP1016" t="n">
        <v>52.7</v>
      </c>
      <c r="AQ1016" t="n">
        <v>83.171005341</v>
      </c>
      <c r="AR1016" t="n">
        <v>103.491375719</v>
      </c>
      <c r="AS1016" t="n">
        <v>48.295975335</v>
      </c>
      <c r="AT1016" t="n">
        <v>90.295080699</v>
      </c>
      <c r="AU1016" t="n">
        <v/>
      </c>
    </row>
    <row r="1017">
      <c r="A1017" s="107" t="n">
        <v>37834</v>
      </c>
      <c r="B1017" t="n">
        <v>76.77261928999999</v>
      </c>
      <c r="C1017" t="n">
        <v>75.693692192</v>
      </c>
      <c r="D1017" t="n">
        <v>86.870355078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78.593450546</v>
      </c>
      <c r="L1017" t="n">
        <v>115.4</v>
      </c>
      <c r="M1017" t="n">
        <v>94.7</v>
      </c>
      <c r="N1017" t="n">
        <v>123.896103247</v>
      </c>
      <c r="O1017" t="n">
        <v>60.605050421</v>
      </c>
      <c r="P1017" t="n">
        <v/>
      </c>
      <c r="Q1017" t="n">
        <v>101.3</v>
      </c>
      <c r="R1017" t="n">
        <v>107.73</v>
      </c>
      <c r="S1017" t="n">
        <v>93.90218311700001</v>
      </c>
      <c r="T1017" t="n">
        <v>108.836709088</v>
      </c>
      <c r="U1017" t="n">
        <v/>
      </c>
      <c r="V1017" t="n">
        <v>137.051527512</v>
      </c>
      <c r="W1017" t="n">
        <v>68.505708809</v>
      </c>
      <c r="X1017" t="n">
        <v>49.842054519</v>
      </c>
      <c r="Y1017" t="n">
        <v/>
      </c>
      <c r="Z1017" t="n">
        <v>59.254373159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56.76</v>
      </c>
      <c r="AF1017" t="n">
        <v>108.50904242</v>
      </c>
      <c r="AG1017" t="n">
        <v>76.59999999999999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87.43802712</v>
      </c>
      <c r="AM1017" t="n">
        <v>53.9</v>
      </c>
      <c r="AN1017" t="n">
        <v>129.902448344</v>
      </c>
      <c r="AO1017" t="n">
        <v>67.264103362</v>
      </c>
      <c r="AP1017" t="n">
        <v>52.5</v>
      </c>
      <c r="AQ1017" t="n">
        <v>83.264351026</v>
      </c>
      <c r="AR1017" t="n">
        <v>102.391467378</v>
      </c>
      <c r="AS1017" t="n">
        <v>49.495875344</v>
      </c>
      <c r="AT1017" t="n">
        <v>90.080700112</v>
      </c>
      <c r="AU1017" t="n">
        <v/>
      </c>
    </row>
    <row r="1018">
      <c r="A1018" s="107" t="n">
        <v>37865</v>
      </c>
      <c r="B1018" t="n">
        <v>76.35032765</v>
      </c>
      <c r="C1018" t="n">
        <v>75.893675527</v>
      </c>
      <c r="D1018" t="n">
        <v>89.402697495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78.393467211</v>
      </c>
      <c r="L1018" t="n">
        <v>117</v>
      </c>
      <c r="M1018" t="n">
        <v>94.40000000000001</v>
      </c>
      <c r="N1018" t="n">
        <v>123.199102666</v>
      </c>
      <c r="O1018" t="n">
        <v>61.005083757</v>
      </c>
      <c r="P1018" t="n">
        <v/>
      </c>
      <c r="Q1018" t="n">
        <v>101.6</v>
      </c>
      <c r="R1018" t="n">
        <v>107.34</v>
      </c>
      <c r="S1018" t="n">
        <v>94.784992375</v>
      </c>
      <c r="T1018" t="n">
        <v>108.406524467</v>
      </c>
      <c r="U1018" t="n">
        <v/>
      </c>
      <c r="V1018" t="n">
        <v>145.742112711</v>
      </c>
      <c r="W1018" t="n">
        <v>67.405617135</v>
      </c>
      <c r="X1018" t="n">
        <v>50.180273832</v>
      </c>
      <c r="Y1018" t="n">
        <v/>
      </c>
      <c r="Z1018" t="n">
        <v>53.786567411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57.479</v>
      </c>
      <c r="AF1018" t="n">
        <v>109.209100758</v>
      </c>
      <c r="AG1018" t="n">
        <v>78.09999999999999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88.077938805</v>
      </c>
      <c r="AM1018" t="n">
        <v>54</v>
      </c>
      <c r="AN1018" t="n">
        <v>134.125877699</v>
      </c>
      <c r="AO1018" t="n">
        <v>68.542233201</v>
      </c>
      <c r="AP1018" t="n">
        <v>52.1</v>
      </c>
      <c r="AQ1018" t="n">
        <v>83.731079451</v>
      </c>
      <c r="AR1018" t="n">
        <v>102.991417382</v>
      </c>
      <c r="AS1018" t="n">
        <v>49.495875344</v>
      </c>
      <c r="AT1018" t="n">
        <v>90.675750022</v>
      </c>
      <c r="AU1018" t="n">
        <v/>
      </c>
    </row>
    <row r="1019">
      <c r="A1019" s="107" t="n">
        <v>37895</v>
      </c>
      <c r="B1019" t="n">
        <v>76.35032765</v>
      </c>
      <c r="C1019" t="n">
        <v>76.39363386399999</v>
      </c>
      <c r="D1019" t="n">
        <v>89.622901184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80.793267228</v>
      </c>
      <c r="L1019" t="n">
        <v>114.8</v>
      </c>
      <c r="M1019" t="n">
        <v>96.8</v>
      </c>
      <c r="N1019" t="n">
        <v>125.236104363</v>
      </c>
      <c r="O1019" t="n">
        <v>61.905158763</v>
      </c>
      <c r="P1019" t="n">
        <v/>
      </c>
      <c r="Q1019" t="n">
        <v>101.5</v>
      </c>
      <c r="R1019" t="n">
        <v>109.95</v>
      </c>
      <c r="S1019" t="n">
        <v>95.81713564499999</v>
      </c>
      <c r="T1019" t="n">
        <v>110.880086037</v>
      </c>
      <c r="U1019" t="n">
        <v/>
      </c>
      <c r="V1019" t="n">
        <v>144.643303088</v>
      </c>
      <c r="W1019" t="n">
        <v>68.10567547300001</v>
      </c>
      <c r="X1019" t="n">
        <v>49.981431938</v>
      </c>
      <c r="Y1019" t="n">
        <v/>
      </c>
      <c r="Z1019" t="n">
        <v>61.453381993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59.077</v>
      </c>
      <c r="AF1019" t="n">
        <v>108.609050754</v>
      </c>
      <c r="AG1019" t="n">
        <v>78.5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89.109369586</v>
      </c>
      <c r="AM1019" t="n">
        <v>55.2</v>
      </c>
      <c r="AN1019" t="n">
        <v>131.054292714</v>
      </c>
      <c r="AO1019" t="n">
        <v>68.34243979599999</v>
      </c>
      <c r="AP1019" t="n">
        <v>52.8</v>
      </c>
      <c r="AQ1019" t="n">
        <v>85.597993151</v>
      </c>
      <c r="AR1019" t="n">
        <v>102.591450712</v>
      </c>
      <c r="AS1019" t="n">
        <v>48.995917007</v>
      </c>
      <c r="AT1019" t="n">
        <v>90.78898898200001</v>
      </c>
      <c r="AU1019" t="n">
        <v/>
      </c>
    </row>
    <row r="1020">
      <c r="A1020" s="107" t="n">
        <v>37926</v>
      </c>
      <c r="B1020" t="n">
        <v>76.35032765</v>
      </c>
      <c r="C1020" t="n">
        <v>75.893675527</v>
      </c>
      <c r="D1020" t="n">
        <v>90.83402147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81.593200567</v>
      </c>
      <c r="L1020" t="n">
        <v>112.8</v>
      </c>
      <c r="M1020" t="n">
        <v>96.5</v>
      </c>
      <c r="N1020" t="n">
        <v>124.322103602</v>
      </c>
      <c r="O1020" t="n">
        <v>62.705225435</v>
      </c>
      <c r="P1020" t="n">
        <v/>
      </c>
      <c r="Q1020" t="n">
        <v>102.8</v>
      </c>
      <c r="R1020" t="n">
        <v>107.82</v>
      </c>
      <c r="S1020" t="n">
        <v>95.99665619</v>
      </c>
      <c r="T1020" t="n">
        <v>107.43860907</v>
      </c>
      <c r="U1020" t="n">
        <v/>
      </c>
      <c r="V1020" t="n">
        <v>141.746441355</v>
      </c>
      <c r="W1020" t="n">
        <v>69.005750479</v>
      </c>
      <c r="X1020" t="n">
        <v>51.158268775</v>
      </c>
      <c r="Y1020" t="n">
        <v/>
      </c>
      <c r="Z1020" t="n">
        <v>61.453381993</v>
      </c>
      <c r="AA1020" t="n">
        <v>35.445785729</v>
      </c>
      <c r="AB1020" t="n">
        <v>64.648110727</v>
      </c>
      <c r="AC1020" t="n">
        <v>124.089659195</v>
      </c>
      <c r="AD1020" t="n">
        <v>104.883981819</v>
      </c>
      <c r="AE1020" t="n">
        <v>59.154</v>
      </c>
      <c r="AF1020" t="n">
        <v>107.50895908</v>
      </c>
      <c r="AG1020" t="n">
        <v>78.2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89.202498197</v>
      </c>
      <c r="AM1020" t="n">
        <v>55.4</v>
      </c>
      <c r="AN1020" t="n">
        <v>131.82218896</v>
      </c>
      <c r="AO1020" t="n">
        <v>68.358305145</v>
      </c>
      <c r="AP1020" t="n">
        <v>54.3</v>
      </c>
      <c r="AQ1020" t="n">
        <v>85.97137589099999</v>
      </c>
      <c r="AR1020" t="n">
        <v>102.391467378</v>
      </c>
      <c r="AS1020" t="n">
        <v>48.795933672</v>
      </c>
      <c r="AT1020" t="n">
        <v>91.400598355</v>
      </c>
      <c r="AU1020" t="n">
        <v/>
      </c>
    </row>
    <row r="1021">
      <c r="A1021" s="107" t="n">
        <v>37956</v>
      </c>
      <c r="B1021" t="n">
        <v>77.70166089</v>
      </c>
      <c r="C1021" t="n">
        <v>78.493458878</v>
      </c>
      <c r="D1021" t="n">
        <v>89.402697495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81.99316723600001</v>
      </c>
      <c r="L1021" t="n">
        <v>111.2</v>
      </c>
      <c r="M1021" t="n">
        <v>96.8</v>
      </c>
      <c r="N1021" t="n">
        <v>123.716103097</v>
      </c>
      <c r="O1021" t="n">
        <v>62.305192099</v>
      </c>
      <c r="P1021" t="n">
        <v/>
      </c>
      <c r="Q1021" t="n">
        <v>101.3</v>
      </c>
      <c r="R1021" t="n">
        <v>108.45</v>
      </c>
      <c r="S1021" t="n">
        <v>95.81834558</v>
      </c>
      <c r="T1021" t="n">
        <v>103.244309016</v>
      </c>
      <c r="U1021" t="n">
        <v/>
      </c>
      <c r="V1021" t="n">
        <v>146.840922334</v>
      </c>
      <c r="W1021" t="n">
        <v>72.10600883399999</v>
      </c>
      <c r="X1021" t="n">
        <v>50.921518639</v>
      </c>
      <c r="Y1021" t="n">
        <v/>
      </c>
      <c r="Z1021" t="n">
        <v>58.244017749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60.222</v>
      </c>
      <c r="AF1021" t="n">
        <v>105.108759063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89.34327420699999</v>
      </c>
      <c r="AM1021" t="n">
        <v>56.7</v>
      </c>
      <c r="AN1021" t="n">
        <v>133.48596416</v>
      </c>
      <c r="AO1021" t="n">
        <v>70.004844807</v>
      </c>
      <c r="AP1021" t="n">
        <v>55.8</v>
      </c>
      <c r="AQ1021" t="n">
        <v>84.757881986</v>
      </c>
      <c r="AR1021" t="n">
        <v>104.691275727</v>
      </c>
      <c r="AS1021" t="n">
        <v>49.695858678</v>
      </c>
      <c r="AT1021" t="n">
        <v>91.47685121000001</v>
      </c>
      <c r="AU1021" t="n">
        <v/>
      </c>
    </row>
    <row r="1022">
      <c r="A1022" s="107" t="n">
        <v>37987</v>
      </c>
      <c r="B1022" t="n">
        <v>77.95503586</v>
      </c>
      <c r="C1022" t="n">
        <v>76.893592201</v>
      </c>
      <c r="D1022" t="n">
        <v>91.05422515799999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81.293225565</v>
      </c>
      <c r="L1022" t="n">
        <v>111.3</v>
      </c>
      <c r="M1022" t="n">
        <v>96.7</v>
      </c>
      <c r="N1022" t="n">
        <v>123.772103143</v>
      </c>
      <c r="O1022" t="n">
        <v>62.905242104</v>
      </c>
      <c r="P1022" t="n">
        <v/>
      </c>
      <c r="Q1022" t="n">
        <v>101.8</v>
      </c>
      <c r="R1022" t="n">
        <v>109.14</v>
      </c>
      <c r="S1022" t="n">
        <v>95.957624671</v>
      </c>
      <c r="T1022" t="n">
        <v>100.017924359</v>
      </c>
      <c r="U1022" t="n">
        <v/>
      </c>
      <c r="V1022" t="n">
        <v>140.8474153</v>
      </c>
      <c r="W1022" t="n">
        <v>69.90582548499999</v>
      </c>
      <c r="X1022" t="n">
        <v>51.659349825</v>
      </c>
      <c r="Y1022" t="n">
        <v/>
      </c>
      <c r="Z1022" t="n">
        <v>55.74784556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59.982</v>
      </c>
      <c r="AF1022" t="n">
        <v>108.809067422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89.507673164</v>
      </c>
      <c r="AM1022" t="n">
        <v>57.9</v>
      </c>
      <c r="AN1022" t="n">
        <v>129.843016915</v>
      </c>
      <c r="AO1022" t="n">
        <v>70.11987381</v>
      </c>
      <c r="AP1022" t="n">
        <v>51.3</v>
      </c>
      <c r="AQ1022" t="n">
        <v>85.784684521</v>
      </c>
      <c r="AR1022" t="n">
        <v>106.09115907</v>
      </c>
      <c r="AS1022" t="n">
        <v>50.495792017</v>
      </c>
      <c r="AT1022" t="n">
        <v>91.62905944400001</v>
      </c>
      <c r="AU1022" t="n">
        <v/>
      </c>
    </row>
    <row r="1023">
      <c r="A1023" s="107" t="n">
        <v>38018</v>
      </c>
      <c r="B1023" t="n">
        <v>78.37732750000001</v>
      </c>
      <c r="C1023" t="n">
        <v>77.99350054200001</v>
      </c>
      <c r="D1023" t="n">
        <v>92.48554913300001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81.69319223399999</v>
      </c>
      <c r="L1023" t="n">
        <v>111.7</v>
      </c>
      <c r="M1023" t="n">
        <v>97.2</v>
      </c>
      <c r="N1023" t="n">
        <v>124.607103839</v>
      </c>
      <c r="O1023" t="n">
        <v>62.405200433</v>
      </c>
      <c r="P1023" t="n">
        <v/>
      </c>
      <c r="Q1023" t="n">
        <v>103.6</v>
      </c>
      <c r="R1023" t="n">
        <v>110.25</v>
      </c>
      <c r="S1023" t="n">
        <v>96.253872895</v>
      </c>
      <c r="T1023" t="n">
        <v>100.44810898</v>
      </c>
      <c r="U1023" t="n">
        <v/>
      </c>
      <c r="V1023" t="n">
        <v>143.444601682</v>
      </c>
      <c r="W1023" t="n">
        <v>70.80590049200001</v>
      </c>
      <c r="X1023" t="n">
        <v>50.85638315</v>
      </c>
      <c r="Y1023" t="n">
        <v/>
      </c>
      <c r="Z1023" t="n">
        <v>56.401604943</v>
      </c>
      <c r="AA1023" t="n">
        <v>36.686728051</v>
      </c>
      <c r="AB1023" t="n">
        <v>68.758782201</v>
      </c>
      <c r="AC1023" t="n">
        <v>123.789684193</v>
      </c>
      <c r="AD1023" t="n">
        <v>106.079550524</v>
      </c>
      <c r="AE1023" t="n">
        <v>63.036</v>
      </c>
      <c r="AF1023" t="n">
        <v>109.609134095</v>
      </c>
      <c r="AG1023" t="n">
        <v>79.90000000000001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90.063427664</v>
      </c>
      <c r="AM1023" t="n">
        <v>58.1</v>
      </c>
      <c r="AN1023" t="n">
        <v>126.869512711</v>
      </c>
      <c r="AO1023" t="n">
        <v>70.525992312</v>
      </c>
      <c r="AP1023" t="n">
        <v>54.9</v>
      </c>
      <c r="AQ1023" t="n">
        <v>85.691338836</v>
      </c>
      <c r="AR1023" t="n">
        <v>106.291142405</v>
      </c>
      <c r="AS1023" t="n">
        <v>50.895758687</v>
      </c>
      <c r="AT1023" t="n">
        <v>92.186329982</v>
      </c>
      <c r="AU1023" t="n">
        <v/>
      </c>
    </row>
    <row r="1024">
      <c r="A1024" s="107" t="n">
        <v>38047</v>
      </c>
      <c r="B1024" t="n">
        <v>78.54624416</v>
      </c>
      <c r="C1024" t="n">
        <v>78.593450546</v>
      </c>
      <c r="D1024" t="n">
        <v>92.92595651000001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81.193233897</v>
      </c>
      <c r="L1024" t="n">
        <v>112.9</v>
      </c>
      <c r="M1024" t="n">
        <v>96.90000000000001</v>
      </c>
      <c r="N1024" t="n">
        <v>125.987104989</v>
      </c>
      <c r="O1024" t="n">
        <v>62.705225435</v>
      </c>
      <c r="P1024" t="n">
        <v/>
      </c>
      <c r="Q1024" t="n">
        <v>103.7</v>
      </c>
      <c r="R1024" t="n">
        <v>109.9</v>
      </c>
      <c r="S1024" t="n">
        <v>95.88810947499999</v>
      </c>
      <c r="T1024" t="n">
        <v>101.308478222</v>
      </c>
      <c r="U1024" t="n">
        <v/>
      </c>
      <c r="V1024" t="n">
        <v>146.940814118</v>
      </c>
      <c r="W1024" t="n">
        <v>70.405867156</v>
      </c>
      <c r="X1024" t="n">
        <v>51.518613424</v>
      </c>
      <c r="Y1024" t="n">
        <v/>
      </c>
      <c r="Z1024" t="n">
        <v>57.946854393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61.939</v>
      </c>
      <c r="AF1024" t="n">
        <v>113.109425785</v>
      </c>
      <c r="AG1024" t="n">
        <v>81.5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89.98768081</v>
      </c>
      <c r="AM1024" t="n">
        <v>59.6</v>
      </c>
      <c r="AN1024" t="n">
        <v>132.816521119</v>
      </c>
      <c r="AO1024" t="n">
        <v>71.041517884</v>
      </c>
      <c r="AP1024" t="n">
        <v>53</v>
      </c>
      <c r="AQ1024" t="n">
        <v>86.90483274100001</v>
      </c>
      <c r="AR1024" t="n">
        <v>104.59128406</v>
      </c>
      <c r="AS1024" t="n">
        <v>51.195733689</v>
      </c>
      <c r="AT1024" t="n">
        <v>91.820732745</v>
      </c>
      <c r="AU1024" t="n">
        <v/>
      </c>
    </row>
    <row r="1025">
      <c r="A1025" s="107" t="n">
        <v>38078</v>
      </c>
      <c r="B1025" t="n">
        <v>79.72866073</v>
      </c>
      <c r="C1025" t="n">
        <v>80.49329222599999</v>
      </c>
      <c r="D1025" t="n">
        <v>93.696669419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82.393133906</v>
      </c>
      <c r="L1025" t="n">
        <v>114.3</v>
      </c>
      <c r="M1025" t="n">
        <v>97.8</v>
      </c>
      <c r="N1025" t="n">
        <v>125.605104671</v>
      </c>
      <c r="O1025" t="n">
        <v>64.105342112</v>
      </c>
      <c r="P1025" t="n">
        <v/>
      </c>
      <c r="Q1025" t="n">
        <v>104.5</v>
      </c>
      <c r="R1025" t="n">
        <v>109.91</v>
      </c>
      <c r="S1025" t="n">
        <v>96.73457617699999</v>
      </c>
      <c r="T1025" t="n">
        <v>102.061301308</v>
      </c>
      <c r="U1025" t="n">
        <v/>
      </c>
      <c r="V1025" t="n">
        <v>147.340381254</v>
      </c>
      <c r="W1025" t="n">
        <v>70.80590049200001</v>
      </c>
      <c r="X1025" t="n">
        <v>54.011918566</v>
      </c>
      <c r="Y1025" t="n">
        <v/>
      </c>
      <c r="Z1025" t="n">
        <v>58.77891179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62.608</v>
      </c>
      <c r="AF1025" t="n">
        <v>109.909159097</v>
      </c>
      <c r="AG1025" t="n">
        <v>82.40000000000001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90.664553912</v>
      </c>
      <c r="AM1025" t="n">
        <v>61.6</v>
      </c>
      <c r="AN1025" t="n">
        <v>131.94924906</v>
      </c>
      <c r="AO1025" t="n">
        <v>71.761191908</v>
      </c>
      <c r="AP1025" t="n">
        <v>52.5</v>
      </c>
      <c r="AQ1025" t="n">
        <v>87.558252536</v>
      </c>
      <c r="AR1025" t="n">
        <v>107.891009083</v>
      </c>
      <c r="AS1025" t="n">
        <v>52.095658695</v>
      </c>
      <c r="AT1025" t="n">
        <v>92.19366770800001</v>
      </c>
      <c r="AU1025" t="n">
        <v/>
      </c>
    </row>
    <row r="1026">
      <c r="A1026" s="107" t="n">
        <v>38108</v>
      </c>
      <c r="B1026" t="n">
        <v>80.31986902</v>
      </c>
      <c r="C1026" t="n">
        <v>79.19340055000001</v>
      </c>
      <c r="D1026" t="n">
        <v>94.687586017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83.29305891200001</v>
      </c>
      <c r="L1026" t="n">
        <v>114.1</v>
      </c>
      <c r="M1026" t="n">
        <v>97.8</v>
      </c>
      <c r="N1026" t="n">
        <v>126.344105287</v>
      </c>
      <c r="O1026" t="n">
        <v>64.80540044999999</v>
      </c>
      <c r="P1026" t="n">
        <v/>
      </c>
      <c r="Q1026" t="n">
        <v>107</v>
      </c>
      <c r="R1026" t="n">
        <v>109.32</v>
      </c>
      <c r="S1026" t="n">
        <v>97.212599359</v>
      </c>
      <c r="T1026" t="n">
        <v>103.782039792</v>
      </c>
      <c r="U1026" t="n">
        <v/>
      </c>
      <c r="V1026" t="n">
        <v>146.940814118</v>
      </c>
      <c r="W1026" t="n">
        <v>70.605883824</v>
      </c>
      <c r="X1026" t="n">
        <v>53.609328603</v>
      </c>
      <c r="Y1026" t="n">
        <v/>
      </c>
      <c r="Z1026" t="n">
        <v>55.807278231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63.522</v>
      </c>
      <c r="AF1026" t="n">
        <v>108.50904242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91.05598223600001</v>
      </c>
      <c r="AM1026" t="n">
        <v>59.4</v>
      </c>
      <c r="AN1026" t="n">
        <v>130.338600949</v>
      </c>
      <c r="AO1026" t="n">
        <v>72.198439622</v>
      </c>
      <c r="AP1026" t="n">
        <v>54.5</v>
      </c>
      <c r="AQ1026" t="n">
        <v>85.317956096</v>
      </c>
      <c r="AR1026" t="n">
        <v>106.891092409</v>
      </c>
      <c r="AS1026" t="n">
        <v>53.595533706</v>
      </c>
      <c r="AT1026" t="n">
        <v>92.856542004</v>
      </c>
      <c r="AU1026" t="n">
        <v/>
      </c>
    </row>
    <row r="1027">
      <c r="A1027" s="107" t="n">
        <v>38139</v>
      </c>
      <c r="B1027" t="n">
        <v>80.99553564</v>
      </c>
      <c r="C1027" t="n">
        <v>80.69327556</v>
      </c>
      <c r="D1027" t="n">
        <v>94.907789705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82.693108908</v>
      </c>
      <c r="L1027" t="n">
        <v>114.3</v>
      </c>
      <c r="M1027" t="n">
        <v>97.8</v>
      </c>
      <c r="N1027" t="n">
        <v>126.505105421</v>
      </c>
      <c r="O1027" t="n">
        <v>64.80540044999999</v>
      </c>
      <c r="P1027" t="n">
        <v/>
      </c>
      <c r="Q1027" t="n">
        <v>108.4</v>
      </c>
      <c r="R1027" t="n">
        <v>110.36</v>
      </c>
      <c r="S1027" t="n">
        <v>97.07667796</v>
      </c>
      <c r="T1027" t="n">
        <v>105.610324431</v>
      </c>
      <c r="U1027" t="n">
        <v/>
      </c>
      <c r="V1027" t="n">
        <v>144.343627737</v>
      </c>
      <c r="W1027" t="n">
        <v>71.205933828</v>
      </c>
      <c r="X1027" t="n">
        <v>53.73009866</v>
      </c>
      <c r="Y1027" t="n">
        <v/>
      </c>
      <c r="Z1027" t="n">
        <v>57.233662339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61.719</v>
      </c>
      <c r="AF1027" t="n">
        <v>115.909659138</v>
      </c>
      <c r="AG1027" t="n">
        <v>80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90.931542802</v>
      </c>
      <c r="AM1027" t="n">
        <v>58.8</v>
      </c>
      <c r="AN1027" t="n">
        <v>129.966912924</v>
      </c>
      <c r="AO1027" t="n">
        <v>72.79000196200001</v>
      </c>
      <c r="AP1027" t="n">
        <v>53</v>
      </c>
      <c r="AQ1027" t="n">
        <v>86.344758631</v>
      </c>
      <c r="AR1027" t="n">
        <v>106.49112574</v>
      </c>
      <c r="AS1027" t="n">
        <v>53.095575369</v>
      </c>
      <c r="AT1027" t="n">
        <v>92.148253134</v>
      </c>
      <c r="AU1027" t="n">
        <v/>
      </c>
    </row>
    <row r="1028">
      <c r="A1028" s="107" t="n">
        <v>38169</v>
      </c>
      <c r="B1028" t="n">
        <v>81.75566058</v>
      </c>
      <c r="C1028" t="n">
        <v>82.59311724</v>
      </c>
      <c r="D1028" t="n">
        <v>95.568400771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83.693025581</v>
      </c>
      <c r="L1028" t="n">
        <v>111.9</v>
      </c>
      <c r="M1028" t="n">
        <v>98.7</v>
      </c>
      <c r="N1028" t="n">
        <v>126.745105621</v>
      </c>
      <c r="O1028" t="n">
        <v>66.205517126</v>
      </c>
      <c r="P1028" t="n">
        <v/>
      </c>
      <c r="Q1028" t="n">
        <v>105.2</v>
      </c>
      <c r="R1028" t="n">
        <v>110.81</v>
      </c>
      <c r="S1028" t="n">
        <v>97.764743752</v>
      </c>
      <c r="T1028" t="n">
        <v>104.857501344</v>
      </c>
      <c r="U1028" t="n">
        <v/>
      </c>
      <c r="V1028" t="n">
        <v>146.74103055</v>
      </c>
      <c r="W1028" t="n">
        <v>71.00591716</v>
      </c>
      <c r="X1028" t="n">
        <v>55.447927977</v>
      </c>
      <c r="Y1028" t="n">
        <v/>
      </c>
      <c r="Z1028" t="n">
        <v>63.652390826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</v>
      </c>
      <c r="AF1028" t="n">
        <v>112.309359113</v>
      </c>
      <c r="AG1028" t="n">
        <v>80.7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91.397649958</v>
      </c>
      <c r="AM1028" t="n">
        <v>58.7</v>
      </c>
      <c r="AN1028" t="n">
        <v>129.595224898</v>
      </c>
      <c r="AO1028" t="n">
        <v>72.617449037</v>
      </c>
      <c r="AP1028" t="n">
        <v>52.8</v>
      </c>
      <c r="AQ1028" t="n">
        <v>86.811487056</v>
      </c>
      <c r="AR1028" t="n">
        <v>105.091242396</v>
      </c>
      <c r="AS1028" t="n">
        <v>53.895508708</v>
      </c>
      <c r="AT1028" t="n">
        <v>92.823125604</v>
      </c>
      <c r="AU1028" t="n">
        <v/>
      </c>
    </row>
    <row r="1029">
      <c r="A1029" s="107" t="n">
        <v>38200</v>
      </c>
      <c r="B1029" t="n">
        <v>82.34686886999999</v>
      </c>
      <c r="C1029" t="n">
        <v>80.49329222599999</v>
      </c>
      <c r="D1029" t="n">
        <v>96.559317369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82.89309224199999</v>
      </c>
      <c r="L1029" t="n">
        <v>111.5</v>
      </c>
      <c r="M1029" t="n">
        <v>96.59999999999999</v>
      </c>
      <c r="N1029" t="n">
        <v>125.08810424</v>
      </c>
      <c r="O1029" t="n">
        <v>67.50562546899999</v>
      </c>
      <c r="P1029" t="n">
        <v/>
      </c>
      <c r="Q1029" t="n">
        <v>108.2</v>
      </c>
      <c r="R1029" t="n">
        <v>106.95</v>
      </c>
      <c r="S1029" t="n">
        <v>97.097170705</v>
      </c>
      <c r="T1029" t="n">
        <v>105.287685965</v>
      </c>
      <c r="U1029" t="n">
        <v/>
      </c>
      <c r="V1029" t="n">
        <v>135.453258969</v>
      </c>
      <c r="W1029" t="n">
        <v>70.705892158</v>
      </c>
      <c r="X1029" t="n">
        <v>55.799579326</v>
      </c>
      <c r="Y1029" t="n">
        <v/>
      </c>
      <c r="Z1029" t="n">
        <v>50.993231866</v>
      </c>
      <c r="AA1029" t="n">
        <v>37.476393433</v>
      </c>
      <c r="AB1029" t="n">
        <v>70.725995316</v>
      </c>
      <c r="AC1029" t="n">
        <v>120.389967503</v>
      </c>
      <c r="AD1029" t="n">
        <v>107.818559549</v>
      </c>
      <c r="AE1029" t="n">
        <v>61.908</v>
      </c>
      <c r="AF1029" t="n">
        <v>111.109259105</v>
      </c>
      <c r="AG1029" t="n">
        <v>79.8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90.746593619</v>
      </c>
      <c r="AM1029" t="n">
        <v>59.1</v>
      </c>
      <c r="AN1029" t="n">
        <v>124.019904515</v>
      </c>
      <c r="AO1029" t="n">
        <v>74.143526945</v>
      </c>
      <c r="AP1029" t="n">
        <v>53.4</v>
      </c>
      <c r="AQ1029" t="n">
        <v>87.651598221</v>
      </c>
      <c r="AR1029" t="n">
        <v>108.190984085</v>
      </c>
      <c r="AS1029" t="n">
        <v>53.495542038</v>
      </c>
      <c r="AT1029" t="n">
        <v>92.907311135</v>
      </c>
      <c r="AU1029" t="n">
        <v/>
      </c>
    </row>
    <row r="1030">
      <c r="A1030" s="107" t="n">
        <v>38231</v>
      </c>
      <c r="B1030" t="n">
        <v>83.02253549</v>
      </c>
      <c r="C1030" t="n">
        <v>82.293142238</v>
      </c>
      <c r="D1030" t="n">
        <v>97.10982659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82.693108908</v>
      </c>
      <c r="L1030" t="n">
        <v>112.1</v>
      </c>
      <c r="M1030" t="n">
        <v>98.09999999999999</v>
      </c>
      <c r="N1030" t="n">
        <v>127.061105884</v>
      </c>
      <c r="O1030" t="n">
        <v>67.30560880100001</v>
      </c>
      <c r="P1030" t="n">
        <v/>
      </c>
      <c r="Q1030" t="n">
        <v>107.8</v>
      </c>
      <c r="R1030" t="n">
        <v>110.65</v>
      </c>
      <c r="S1030" t="n">
        <v>97.54956384499999</v>
      </c>
      <c r="T1030" t="n">
        <v>106.148055207</v>
      </c>
      <c r="U1030" t="n">
        <v/>
      </c>
      <c r="V1030" t="n">
        <v>144.743194872</v>
      </c>
      <c r="W1030" t="n">
        <v>71.30594216199999</v>
      </c>
      <c r="X1030" t="n">
        <v>56.72229322</v>
      </c>
      <c r="Y1030" t="n">
        <v/>
      </c>
      <c r="Z1030" t="n">
        <v>57.114796997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62.611</v>
      </c>
      <c r="AF1030" t="n">
        <v>112.309359113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91.30948510100001</v>
      </c>
      <c r="AM1030" t="n">
        <v>59.3</v>
      </c>
      <c r="AN1030" t="n">
        <v>123.276528464</v>
      </c>
      <c r="AO1030" t="n">
        <v>72.389952787</v>
      </c>
      <c r="AP1030" t="n">
        <v>53.6</v>
      </c>
      <c r="AQ1030" t="n">
        <v>87.744943906</v>
      </c>
      <c r="AR1030" t="n">
        <v>108.590950754</v>
      </c>
      <c r="AS1030" t="n">
        <v>52.395633697</v>
      </c>
      <c r="AT1030" t="n">
        <v>93.006469594</v>
      </c>
      <c r="AU1030" t="n">
        <v/>
      </c>
    </row>
    <row r="1031">
      <c r="A1031" s="107" t="n">
        <v>38261</v>
      </c>
      <c r="B1031" t="n">
        <v>83.27591047</v>
      </c>
      <c r="C1031" t="n">
        <v>84.39296725299999</v>
      </c>
      <c r="D1031" t="n">
        <v>96.449215524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83.693025581</v>
      </c>
      <c r="L1031" t="n">
        <v>110.3</v>
      </c>
      <c r="M1031" t="n">
        <v>98.59999999999999</v>
      </c>
      <c r="N1031" t="n">
        <v>125.954104962</v>
      </c>
      <c r="O1031" t="n">
        <v>67.405617135</v>
      </c>
      <c r="P1031" t="n">
        <v/>
      </c>
      <c r="Q1031" t="n">
        <v>108</v>
      </c>
      <c r="R1031" t="n">
        <v>111.48</v>
      </c>
      <c r="S1031" t="n">
        <v>97.90458320800001</v>
      </c>
      <c r="T1031" t="n">
        <v>108.406524467</v>
      </c>
      <c r="U1031" t="n">
        <v/>
      </c>
      <c r="V1031" t="n">
        <v>138.350120703</v>
      </c>
      <c r="W1031" t="n">
        <v>72.806067172</v>
      </c>
      <c r="X1031" t="n">
        <v>56.865122579</v>
      </c>
      <c r="Y1031" t="n">
        <v/>
      </c>
      <c r="Z1031" t="n">
        <v>57.590258366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62.618</v>
      </c>
      <c r="AF1031" t="n">
        <v>110.809234103</v>
      </c>
      <c r="AG1031" t="n">
        <v>80.90000000000001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91.59350754</v>
      </c>
      <c r="AM1031" t="n">
        <v>59.9</v>
      </c>
      <c r="AN1031" t="n">
        <v>125.754448634</v>
      </c>
      <c r="AO1031" t="n">
        <v>72.751557138</v>
      </c>
      <c r="AP1031" t="n">
        <v>54.3</v>
      </c>
      <c r="AQ1031" t="n">
        <v>87.37156116600001</v>
      </c>
      <c r="AR1031" t="n">
        <v>108.490959087</v>
      </c>
      <c r="AS1031" t="n">
        <v>50.595783685</v>
      </c>
      <c r="AT1031" t="n">
        <v>93.82631173</v>
      </c>
      <c r="AU1031" t="n">
        <v/>
      </c>
    </row>
    <row r="1032">
      <c r="A1032" s="107" t="n">
        <v>38292</v>
      </c>
      <c r="B1032" t="n">
        <v>83.86711876</v>
      </c>
      <c r="C1032" t="n">
        <v>83.593033914</v>
      </c>
      <c r="D1032" t="n">
        <v>96.449215524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82.293142238</v>
      </c>
      <c r="L1032" t="n">
        <v>112.8</v>
      </c>
      <c r="M1032" t="n">
        <v>97.5</v>
      </c>
      <c r="N1032" t="n">
        <v>126.866105722</v>
      </c>
      <c r="O1032" t="n">
        <v>67.605633803</v>
      </c>
      <c r="P1032" t="n">
        <v/>
      </c>
      <c r="Q1032" t="n">
        <v>106.6</v>
      </c>
      <c r="R1032" t="n">
        <v>109.61</v>
      </c>
      <c r="S1032" t="n">
        <v>97.887644876</v>
      </c>
      <c r="T1032" t="n">
        <v>109.374439864</v>
      </c>
      <c r="U1032" t="n">
        <v/>
      </c>
      <c r="V1032" t="n">
        <v>143.544493465</v>
      </c>
      <c r="W1032" t="n">
        <v>73.00608384</v>
      </c>
      <c r="X1032" t="n">
        <v>56.846079252</v>
      </c>
      <c r="Y1032" t="n">
        <v/>
      </c>
      <c r="Z1032" t="n">
        <v>56.936498983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63.693</v>
      </c>
      <c r="AF1032" t="n">
        <v>112.009334111</v>
      </c>
      <c r="AG1032" t="n">
        <v>81.40000000000001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91.712580269</v>
      </c>
      <c r="AM1032" t="n">
        <v>60.3</v>
      </c>
      <c r="AN1032" t="n">
        <v>127.860680779</v>
      </c>
      <c r="AO1032" t="n">
        <v>74.057075957</v>
      </c>
      <c r="AP1032" t="n">
        <v>52.2</v>
      </c>
      <c r="AQ1032" t="n">
        <v>87.091524111</v>
      </c>
      <c r="AR1032" t="n">
        <v>108.890925756</v>
      </c>
      <c r="AS1032" t="n">
        <v>50.895758687</v>
      </c>
      <c r="AT1032" t="n">
        <v>94.05090563900001</v>
      </c>
      <c r="AU1032" t="n">
        <v/>
      </c>
    </row>
    <row r="1033">
      <c r="A1033" s="107" t="n">
        <v>38322</v>
      </c>
      <c r="B1033" t="n">
        <v>81.92457724</v>
      </c>
      <c r="C1033" t="n">
        <v>83.793017249</v>
      </c>
      <c r="D1033" t="n">
        <v>96.99972474499999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81.89317556899999</v>
      </c>
      <c r="L1033" t="n">
        <v>111.3</v>
      </c>
      <c r="M1033" t="n">
        <v>97.5</v>
      </c>
      <c r="N1033" t="n">
        <v>124.292103577</v>
      </c>
      <c r="O1033" t="n">
        <v>68.10567547300001</v>
      </c>
      <c r="P1033" t="n">
        <v/>
      </c>
      <c r="Q1033" t="n">
        <v>111.6</v>
      </c>
      <c r="R1033" t="n">
        <v>109.89</v>
      </c>
      <c r="S1033" t="n">
        <v>97.700247498</v>
      </c>
      <c r="T1033" t="n">
        <v>106.793332138</v>
      </c>
      <c r="U1033" t="n">
        <v/>
      </c>
      <c r="V1033" t="n">
        <v>141.846333139</v>
      </c>
      <c r="W1033" t="n">
        <v>71.405950496</v>
      </c>
      <c r="X1033" t="n">
        <v>57.241947187</v>
      </c>
      <c r="Y1033" t="n">
        <v/>
      </c>
      <c r="Z1033" t="n">
        <v>58.957209803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62.83</v>
      </c>
      <c r="AF1033" t="n">
        <v>110.109175765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91.39358214799999</v>
      </c>
      <c r="AM1033" t="n">
        <v>57.9</v>
      </c>
      <c r="AN1033" t="n">
        <v>126.373928677</v>
      </c>
      <c r="AO1033" t="n">
        <v>74.538439752</v>
      </c>
      <c r="AP1033" t="n">
        <v>59.6</v>
      </c>
      <c r="AQ1033" t="n">
        <v>86.344758631</v>
      </c>
      <c r="AR1033" t="n">
        <v>104.791267394</v>
      </c>
      <c r="AS1033" t="n">
        <v>51.795683693</v>
      </c>
      <c r="AT1033" t="n">
        <v>94.77972031</v>
      </c>
      <c r="AU1033" t="n">
        <v/>
      </c>
    </row>
    <row r="1034">
      <c r="A1034" s="107" t="n">
        <v>38353</v>
      </c>
      <c r="B1034" t="n">
        <v>80.91107732</v>
      </c>
      <c r="C1034" t="n">
        <v>85.392883926</v>
      </c>
      <c r="D1034" t="n">
        <v>97.55023396599999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84.39296725299999</v>
      </c>
      <c r="L1034" t="n">
        <v>113.7</v>
      </c>
      <c r="M1034" t="n">
        <v>98.3</v>
      </c>
      <c r="N1034" t="n">
        <v>124.762103968</v>
      </c>
      <c r="O1034" t="n">
        <v>65.90549212400001</v>
      </c>
      <c r="P1034" t="n">
        <v/>
      </c>
      <c r="Q1034" t="n">
        <v>105.8</v>
      </c>
      <c r="R1034" t="n">
        <v>111.66</v>
      </c>
      <c r="S1034" t="n">
        <v>98.691672298</v>
      </c>
      <c r="T1034" t="n">
        <v>104.104678258</v>
      </c>
      <c r="U1034" t="n">
        <v/>
      </c>
      <c r="V1034" t="n">
        <v>143.14492633</v>
      </c>
      <c r="W1034" t="n">
        <v>72.806067172</v>
      </c>
      <c r="X1034" t="n">
        <v>57.161533659</v>
      </c>
      <c r="Y1034" t="n">
        <v/>
      </c>
      <c r="Z1034" t="n">
        <v>57.530825695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64.857</v>
      </c>
      <c r="AF1034" t="n">
        <v>112.509375781</v>
      </c>
      <c r="AG1034" t="n">
        <v>81.90000000000001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92.569486277</v>
      </c>
      <c r="AM1034" t="n">
        <v>60.4</v>
      </c>
      <c r="AN1034" t="n">
        <v>125.690461479</v>
      </c>
      <c r="AO1034" t="n">
        <v>73.56804078899999</v>
      </c>
      <c r="AP1034" t="n">
        <v>52.3</v>
      </c>
      <c r="AQ1034" t="n">
        <v>88.007333944</v>
      </c>
      <c r="AR1034" t="n">
        <v>105.391217399</v>
      </c>
      <c r="AS1034" t="n">
        <v>60.194983751</v>
      </c>
      <c r="AT1034" t="n">
        <v>95.121222042</v>
      </c>
      <c r="AU1034" t="n">
        <v/>
      </c>
    </row>
    <row r="1035">
      <c r="A1035" s="107" t="n">
        <v>38384</v>
      </c>
      <c r="B1035" t="n">
        <v>81.75566058</v>
      </c>
      <c r="C1035" t="n">
        <v>82.99308391</v>
      </c>
      <c r="D1035" t="n">
        <v>96.229011836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83.09307557699999</v>
      </c>
      <c r="L1035" t="n">
        <v>113</v>
      </c>
      <c r="M1035" t="n">
        <v>98.09999999999999</v>
      </c>
      <c r="N1035" t="n">
        <v>125.31610443</v>
      </c>
      <c r="O1035" t="n">
        <v>70.605883824</v>
      </c>
      <c r="P1035" t="n">
        <v/>
      </c>
      <c r="Q1035" t="n">
        <v>104.8</v>
      </c>
      <c r="R1035" t="n">
        <v>110.38</v>
      </c>
      <c r="S1035" t="n">
        <v>98.563210222</v>
      </c>
      <c r="T1035" t="n">
        <v>101.523570532</v>
      </c>
      <c r="U1035" t="n">
        <v/>
      </c>
      <c r="V1035" t="n">
        <v>142.845250978</v>
      </c>
      <c r="W1035" t="n">
        <v>72.0060005</v>
      </c>
      <c r="X1035" t="n">
        <v>57.882138568</v>
      </c>
      <c r="Y1035" t="n">
        <v/>
      </c>
      <c r="Z1035" t="n">
        <v>59.31380583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63.39</v>
      </c>
      <c r="AF1035" t="n">
        <v>106.608884074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92.361530538</v>
      </c>
      <c r="AM1035" t="n">
        <v>60.4</v>
      </c>
      <c r="AN1035" t="n">
        <v>128.462339881</v>
      </c>
      <c r="AO1035" t="n">
        <v>77.67476084099999</v>
      </c>
      <c r="AP1035" t="n">
        <v>51.8</v>
      </c>
      <c r="AQ1035" t="n">
        <v>86.307192266</v>
      </c>
      <c r="AR1035" t="n">
        <v>110.190817432</v>
      </c>
      <c r="AS1035" t="n">
        <v>57.695192067</v>
      </c>
      <c r="AT1035" t="n">
        <v>95.81552957</v>
      </c>
      <c r="AU1035" t="n">
        <v/>
      </c>
    </row>
    <row r="1036">
      <c r="A1036" s="107" t="n">
        <v>38412</v>
      </c>
      <c r="B1036" t="n">
        <v>81.75566058</v>
      </c>
      <c r="C1036" t="n">
        <v>83.29305891200001</v>
      </c>
      <c r="D1036" t="n">
        <v>97.10982659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84.192983918</v>
      </c>
      <c r="L1036" t="n">
        <v>117</v>
      </c>
      <c r="M1036" t="n">
        <v>98</v>
      </c>
      <c r="N1036" t="n">
        <v>126.206105172</v>
      </c>
      <c r="O1036" t="n">
        <v>72.706058838</v>
      </c>
      <c r="P1036" t="n">
        <v/>
      </c>
      <c r="Q1036" t="n">
        <v>105.8</v>
      </c>
      <c r="R1036" t="n">
        <v>107.97</v>
      </c>
      <c r="S1036" t="n">
        <v>98.358213761</v>
      </c>
      <c r="T1036" t="n">
        <v>98.18963972</v>
      </c>
      <c r="U1036" t="n">
        <v/>
      </c>
      <c r="V1036" t="n">
        <v>138.450012486</v>
      </c>
      <c r="W1036" t="n">
        <v>73.706142179</v>
      </c>
      <c r="X1036" t="n">
        <v>58.861606001</v>
      </c>
      <c r="Y1036" t="n">
        <v/>
      </c>
      <c r="Z1036" t="n">
        <v>56.995931655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65.396</v>
      </c>
      <c r="AF1036" t="n">
        <v>108.809067422</v>
      </c>
      <c r="AG1036" t="n">
        <v>83.2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92.32906133199999</v>
      </c>
      <c r="AM1036" t="n">
        <v>58.9</v>
      </c>
      <c r="AN1036" t="n">
        <v>125.033808452</v>
      </c>
      <c r="AO1036" t="n">
        <v>74.925947455</v>
      </c>
      <c r="AP1036" t="n">
        <v>51.3</v>
      </c>
      <c r="AQ1036" t="n">
        <v>88.207350613</v>
      </c>
      <c r="AR1036" t="n">
        <v>109.990834097</v>
      </c>
      <c r="AS1036" t="n">
        <v>57.095242063</v>
      </c>
      <c r="AT1036" t="n">
        <v>95.678690897</v>
      </c>
      <c r="AU1036" t="n">
        <v/>
      </c>
    </row>
    <row r="1037">
      <c r="A1037" s="107" t="n">
        <v>38443</v>
      </c>
      <c r="B1037" t="n">
        <v>83.44482712</v>
      </c>
      <c r="C1037" t="n">
        <v>83.893008916</v>
      </c>
      <c r="D1037" t="n">
        <v>97.219928434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84.792933922</v>
      </c>
      <c r="L1037" t="n">
        <v>119.8</v>
      </c>
      <c r="M1037" t="n">
        <v>99.40000000000001</v>
      </c>
      <c r="N1037" t="n">
        <v>127.424106187</v>
      </c>
      <c r="O1037" t="n">
        <v>70.705892158</v>
      </c>
      <c r="P1037" t="n">
        <v/>
      </c>
      <c r="Q1037" t="n">
        <v>107.5</v>
      </c>
      <c r="R1037" t="n">
        <v>110.78</v>
      </c>
      <c r="S1037" t="n">
        <v>99.266354721</v>
      </c>
      <c r="T1037" t="n">
        <v>103.351855171</v>
      </c>
      <c r="U1037" t="n">
        <v/>
      </c>
      <c r="V1037" t="n">
        <v>138.54990427</v>
      </c>
      <c r="W1037" t="n">
        <v>76.40636719699999</v>
      </c>
      <c r="X1037" t="n">
        <v>56.361872104</v>
      </c>
      <c r="Y1037" t="n">
        <v/>
      </c>
      <c r="Z1037" t="n">
        <v>59.551536515</v>
      </c>
      <c r="AA1037" t="n">
        <v>39.731772285</v>
      </c>
      <c r="AB1037" t="n">
        <v>74.004683841</v>
      </c>
      <c r="AC1037" t="n">
        <v>123.589700858</v>
      </c>
      <c r="AD1037" t="n">
        <v>109.231504382</v>
      </c>
      <c r="AE1037" t="n">
        <v>64.60899999999999</v>
      </c>
      <c r="AF1037" t="n">
        <v>110.409200767</v>
      </c>
      <c r="AG1037" t="n">
        <v>85.3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93.21144611</v>
      </c>
      <c r="AM1037" t="n">
        <v>60.8</v>
      </c>
      <c r="AN1037" t="n">
        <v>127.660190165</v>
      </c>
      <c r="AO1037" t="n">
        <v>75.88362549599999</v>
      </c>
      <c r="AP1037" t="n">
        <v>53.1</v>
      </c>
      <c r="AQ1037" t="n">
        <v>88.707392283</v>
      </c>
      <c r="AR1037" t="n">
        <v>106.891092409</v>
      </c>
      <c r="AS1037" t="n">
        <v>57.695192067</v>
      </c>
      <c r="AT1037" t="n">
        <v>95.867290285</v>
      </c>
      <c r="AU1037" t="n">
        <v/>
      </c>
    </row>
    <row r="1038">
      <c r="A1038" s="107" t="n">
        <v>38473</v>
      </c>
      <c r="B1038" t="n">
        <v>83.78266043000001</v>
      </c>
      <c r="C1038" t="n">
        <v>81.293225565</v>
      </c>
      <c r="D1038" t="n">
        <v>100.302780072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83.693025581</v>
      </c>
      <c r="L1038" t="n">
        <v>117.6</v>
      </c>
      <c r="M1038" t="n">
        <v>98.09999999999999</v>
      </c>
      <c r="N1038" t="n">
        <v>126.409105341</v>
      </c>
      <c r="O1038" t="n">
        <v>70.305858822</v>
      </c>
      <c r="P1038" t="n">
        <v/>
      </c>
      <c r="Q1038" t="n">
        <v>100.3</v>
      </c>
      <c r="R1038" t="n">
        <v>109.57</v>
      </c>
      <c r="S1038" t="n">
        <v>98.82331286599999</v>
      </c>
      <c r="T1038" t="n">
        <v>103.566947482</v>
      </c>
      <c r="U1038" t="n">
        <v/>
      </c>
      <c r="V1038" t="n">
        <v>141.646549571</v>
      </c>
      <c r="W1038" t="n">
        <v>77.20643386899999</v>
      </c>
      <c r="X1038" t="n">
        <v>56.697106925</v>
      </c>
      <c r="Y1038" t="n">
        <v/>
      </c>
      <c r="Z1038" t="n">
        <v>59.373238501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64.458</v>
      </c>
      <c r="AF1038" t="n">
        <v>111.709309109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92.799693268</v>
      </c>
      <c r="AM1038" t="n">
        <v>60</v>
      </c>
      <c r="AN1038" t="n">
        <v>121.361733152</v>
      </c>
      <c r="AO1038" t="n">
        <v>74.183129295</v>
      </c>
      <c r="AP1038" t="n">
        <v>52.7</v>
      </c>
      <c r="AQ1038" t="n">
        <v>90.407533961</v>
      </c>
      <c r="AR1038" t="n">
        <v>107.391050746</v>
      </c>
      <c r="AS1038" t="n">
        <v>58.195150404</v>
      </c>
      <c r="AT1038" t="n">
        <v>95.977951125</v>
      </c>
      <c r="AU1038" t="n">
        <v/>
      </c>
    </row>
    <row r="1039">
      <c r="A1039" s="107" t="n">
        <v>38504</v>
      </c>
      <c r="B1039" t="n">
        <v>85.21845199000001</v>
      </c>
      <c r="C1039" t="n">
        <v>82.99308391</v>
      </c>
      <c r="D1039" t="n">
        <v>98.54115056400001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85.492875594</v>
      </c>
      <c r="L1039" t="n">
        <v>116.8</v>
      </c>
      <c r="M1039" t="n">
        <v>99</v>
      </c>
      <c r="N1039" t="n">
        <v>127.029105858</v>
      </c>
      <c r="O1039" t="n">
        <v>72.606050504</v>
      </c>
      <c r="P1039" t="n">
        <v/>
      </c>
      <c r="Q1039" t="n">
        <v>97.7</v>
      </c>
      <c r="R1039" t="n">
        <v>109.52</v>
      </c>
      <c r="S1039" t="n">
        <v>99.369212253</v>
      </c>
      <c r="T1039" t="n">
        <v>104.642409034</v>
      </c>
      <c r="U1039" t="n">
        <v/>
      </c>
      <c r="V1039" t="n">
        <v>137.950553567</v>
      </c>
      <c r="W1039" t="n">
        <v>75.706308859</v>
      </c>
      <c r="X1039" t="n">
        <v>57.686861607</v>
      </c>
      <c r="Y1039" t="n">
        <v/>
      </c>
      <c r="Z1039" t="n">
        <v>59.967565213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65.379</v>
      </c>
      <c r="AF1039" t="n">
        <v>113.309442454</v>
      </c>
      <c r="AG1039" t="n">
        <v>87.59999999999999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93.252716478</v>
      </c>
      <c r="AM1039" t="n">
        <v>61.4</v>
      </c>
      <c r="AN1039" t="n">
        <v>126.250157415</v>
      </c>
      <c r="AO1039" t="n">
        <v>76.741929738</v>
      </c>
      <c r="AP1039" t="n">
        <v>52.8</v>
      </c>
      <c r="AQ1039" t="n">
        <v>91.407617301</v>
      </c>
      <c r="AR1039" t="n">
        <v>111.190734105</v>
      </c>
      <c r="AS1039" t="n">
        <v>57.995167069</v>
      </c>
      <c r="AT1039" t="n">
        <v>96.37210599799999</v>
      </c>
      <c r="AU1039" t="n">
        <v/>
      </c>
    </row>
    <row r="1040">
      <c r="A1040" s="107" t="n">
        <v>38534</v>
      </c>
      <c r="B1040" t="n">
        <v>85.04953533</v>
      </c>
      <c r="C1040" t="n">
        <v>82.193150571</v>
      </c>
      <c r="D1040" t="n">
        <v>97.88053949899999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86.792767269</v>
      </c>
      <c r="L1040" t="n">
        <v>110.5</v>
      </c>
      <c r="M1040" t="n">
        <v>99.5</v>
      </c>
      <c r="N1040" t="n">
        <v>127.18810599</v>
      </c>
      <c r="O1040" t="n">
        <v>73.306108842</v>
      </c>
      <c r="P1040" t="n">
        <v/>
      </c>
      <c r="Q1040" t="n">
        <v>105.5</v>
      </c>
      <c r="R1040" t="n">
        <v>109.19</v>
      </c>
      <c r="S1040" t="n">
        <v>99.353173363</v>
      </c>
      <c r="T1040" t="n">
        <v>103.782039792</v>
      </c>
      <c r="U1040" t="n">
        <v/>
      </c>
      <c r="V1040" t="n">
        <v>138.649796054</v>
      </c>
      <c r="W1040" t="n">
        <v>76.20635052900001</v>
      </c>
      <c r="X1040" t="n">
        <v>56.588773816</v>
      </c>
      <c r="Y1040" t="n">
        <v/>
      </c>
      <c r="Z1040" t="n">
        <v>57.827989051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65.611</v>
      </c>
      <c r="AF1040" t="n">
        <v>123.010250854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93.227082251</v>
      </c>
      <c r="AM1040" t="n">
        <v>61.7</v>
      </c>
      <c r="AN1040" t="n">
        <v>123.124942959</v>
      </c>
      <c r="AO1040" t="n">
        <v>76.539318102</v>
      </c>
      <c r="AP1040" t="n">
        <v>54.1</v>
      </c>
      <c r="AQ1040" t="n">
        <v>94.30785898800001</v>
      </c>
      <c r="AR1040" t="n">
        <v>111.990667444</v>
      </c>
      <c r="AS1040" t="n">
        <v>59.295058745</v>
      </c>
      <c r="AT1040" t="n">
        <v>96.082662458</v>
      </c>
      <c r="AU1040" t="n">
        <v/>
      </c>
    </row>
    <row r="1041">
      <c r="A1041" s="107" t="n">
        <v>38565</v>
      </c>
      <c r="B1041" t="n">
        <v>84.45832704999999</v>
      </c>
      <c r="C1041" t="n">
        <v>81.69319223399999</v>
      </c>
      <c r="D1041" t="n">
        <v>97.99064134299999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84.29297558499999</v>
      </c>
      <c r="L1041" t="n">
        <v>116.6</v>
      </c>
      <c r="M1041" t="n">
        <v>98.40000000000001</v>
      </c>
      <c r="N1041" t="n">
        <v>128.130106775</v>
      </c>
      <c r="O1041" t="n">
        <v>71.50595883</v>
      </c>
      <c r="P1041" t="n">
        <v/>
      </c>
      <c r="Q1041" t="n">
        <v>106.4</v>
      </c>
      <c r="R1041" t="n">
        <v>108.56</v>
      </c>
      <c r="S1041" t="n">
        <v>99.094627535</v>
      </c>
      <c r="T1041" t="n">
        <v>103.889585947</v>
      </c>
      <c r="U1041" t="n">
        <v/>
      </c>
      <c r="V1041" t="n">
        <v>140.347956381</v>
      </c>
      <c r="W1041" t="n">
        <v>75.806317193</v>
      </c>
      <c r="X1041" t="n">
        <v>58.069174923</v>
      </c>
      <c r="Y1041" t="n">
        <v/>
      </c>
      <c r="Z1041" t="n">
        <v>59.848699871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65.908</v>
      </c>
      <c r="AF1041" t="n">
        <v>117.209767481</v>
      </c>
      <c r="AG1041" t="n">
        <v>87.2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93.268704872</v>
      </c>
      <c r="AM1041" t="n">
        <v>62.4</v>
      </c>
      <c r="AN1041" t="n">
        <v>116.438757777</v>
      </c>
      <c r="AO1041" t="n">
        <v>76.552482969</v>
      </c>
      <c r="AP1041" t="n">
        <v>52.8</v>
      </c>
      <c r="AQ1041" t="n">
        <v>88.007333944</v>
      </c>
      <c r="AR1041" t="n">
        <v>107.191067411</v>
      </c>
      <c r="AS1041" t="n">
        <v>60.294975419</v>
      </c>
      <c r="AT1041" t="n">
        <v>96.404134181</v>
      </c>
      <c r="AU1041" t="n">
        <v/>
      </c>
    </row>
    <row r="1042">
      <c r="A1042" s="107" t="n">
        <v>38596</v>
      </c>
      <c r="B1042" t="n">
        <v>85.5562853</v>
      </c>
      <c r="C1042" t="n">
        <v>83.893008916</v>
      </c>
      <c r="D1042" t="n">
        <v>97.44013212199999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86.692775602</v>
      </c>
      <c r="L1042" t="n">
        <v>119.5</v>
      </c>
      <c r="M1042" t="n">
        <v>99.7</v>
      </c>
      <c r="N1042" t="n">
        <v>127.62010635</v>
      </c>
      <c r="O1042" t="n">
        <v>76.606383865</v>
      </c>
      <c r="P1042" t="n">
        <v/>
      </c>
      <c r="Q1042" t="n">
        <v>107.1</v>
      </c>
      <c r="R1042" t="n">
        <v>111.29</v>
      </c>
      <c r="S1042" t="n">
        <v>99.009317591</v>
      </c>
      <c r="T1042" t="n">
        <v>104.427316723</v>
      </c>
      <c r="U1042" t="n">
        <v/>
      </c>
      <c r="V1042" t="n">
        <v>143.045034546</v>
      </c>
      <c r="W1042" t="n">
        <v>77.506458872</v>
      </c>
      <c r="X1042" t="n">
        <v>57.778931687</v>
      </c>
      <c r="Y1042" t="n">
        <v/>
      </c>
      <c r="Z1042" t="n">
        <v>59.076075146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65.7</v>
      </c>
      <c r="AF1042" t="n">
        <v>119.009917493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93.384361998</v>
      </c>
      <c r="AM1042" t="n">
        <v>62.9</v>
      </c>
      <c r="AN1042" t="n">
        <v>122.77915454</v>
      </c>
      <c r="AO1042" t="n">
        <v>77.270640425</v>
      </c>
      <c r="AP1042" t="n">
        <v>53</v>
      </c>
      <c r="AQ1042" t="n">
        <v>91.30760896699999</v>
      </c>
      <c r="AR1042" t="n">
        <v>110.990750771</v>
      </c>
      <c r="AS1042" t="n">
        <v>60.99491709</v>
      </c>
      <c r="AT1042" t="n">
        <v>94.543921496</v>
      </c>
      <c r="AU1042" t="n">
        <v/>
      </c>
    </row>
    <row r="1043">
      <c r="A1043" s="107" t="n">
        <v>38626</v>
      </c>
      <c r="B1043" t="n">
        <v>86.99207686</v>
      </c>
      <c r="C1043" t="n">
        <v>82.793100575</v>
      </c>
      <c r="D1043" t="n">
        <v>96.779521057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88.39263394699999</v>
      </c>
      <c r="L1043" t="n">
        <v>113.8</v>
      </c>
      <c r="M1043" t="n">
        <v>99.90000000000001</v>
      </c>
      <c r="N1043" t="n">
        <v>127.014105845</v>
      </c>
      <c r="O1043" t="n">
        <v>75.006250521</v>
      </c>
      <c r="P1043" t="n">
        <v/>
      </c>
      <c r="Q1043" t="n">
        <v>110.7</v>
      </c>
      <c r="R1043" t="n">
        <v>108.04</v>
      </c>
      <c r="S1043" t="n">
        <v>99.450740959</v>
      </c>
      <c r="T1043" t="n">
        <v>104.9650475</v>
      </c>
      <c r="U1043" t="n">
        <v/>
      </c>
      <c r="V1043" t="n">
        <v>141.34687422</v>
      </c>
      <c r="W1043" t="n">
        <v>78.90657554800001</v>
      </c>
      <c r="X1043" t="n">
        <v>59.006667647</v>
      </c>
      <c r="Y1043" t="n">
        <v/>
      </c>
      <c r="Z1043" t="n">
        <v>60.086430556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67.553</v>
      </c>
      <c r="AF1043" t="n">
        <v>116.70972581</v>
      </c>
      <c r="AG1043" t="n">
        <v>89.7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93.829428593</v>
      </c>
      <c r="AM1043" t="n">
        <v>64.59999999999999</v>
      </c>
      <c r="AN1043" t="n">
        <v>121.461056925</v>
      </c>
      <c r="AO1043" t="n">
        <v>77.123249765</v>
      </c>
      <c r="AP1043" t="n">
        <v>54.2</v>
      </c>
      <c r="AQ1043" t="n">
        <v>93.00775064600001</v>
      </c>
      <c r="AR1043" t="n">
        <v>111.890675777</v>
      </c>
      <c r="AS1043" t="n">
        <v>61.994833764</v>
      </c>
      <c r="AT1043" t="n">
        <v>95.686028623</v>
      </c>
      <c r="AU1043" t="n">
        <v/>
      </c>
    </row>
    <row r="1044">
      <c r="A1044" s="107" t="n">
        <v>38657</v>
      </c>
      <c r="B1044" t="n">
        <v>87.92111846</v>
      </c>
      <c r="C1044" t="n">
        <v>87.792683943</v>
      </c>
      <c r="D1044" t="n">
        <v>97.77043765499999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87.39271727400001</v>
      </c>
      <c r="L1044" t="n">
        <v>112.9</v>
      </c>
      <c r="M1044" t="n">
        <v>101.6</v>
      </c>
      <c r="N1044" t="n">
        <v>128.612107177</v>
      </c>
      <c r="O1044" t="n">
        <v>76.006333861</v>
      </c>
      <c r="P1044" t="n">
        <v/>
      </c>
      <c r="Q1044" t="n">
        <v>108.2</v>
      </c>
      <c r="R1044" t="n">
        <v>112.35</v>
      </c>
      <c r="S1044" t="n">
        <v>100.555009562</v>
      </c>
      <c r="T1044" t="n">
        <v>105.610324431</v>
      </c>
      <c r="U1044" t="n">
        <v/>
      </c>
      <c r="V1044" t="n">
        <v>141.646549571</v>
      </c>
      <c r="W1044" t="n">
        <v>78.60655054599999</v>
      </c>
      <c r="X1044" t="n">
        <v>58.17199437</v>
      </c>
      <c r="Y1044" t="n">
        <v/>
      </c>
      <c r="Z1044" t="n">
        <v>68.28813917700001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70.325</v>
      </c>
      <c r="AF1044" t="n">
        <v>115.409617468</v>
      </c>
      <c r="AG1044" t="n">
        <v>90.3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95.138215049</v>
      </c>
      <c r="AM1044" t="n">
        <v>65.8</v>
      </c>
      <c r="AN1044" t="n">
        <v>125.320865459</v>
      </c>
      <c r="AO1044" t="n">
        <v>78.275291358</v>
      </c>
      <c r="AP1044" t="n">
        <v>54.9</v>
      </c>
      <c r="AQ1044" t="n">
        <v>93.60780065</v>
      </c>
      <c r="AR1044" t="n">
        <v>109.690859095</v>
      </c>
      <c r="AS1044" t="n">
        <v>62.194817099</v>
      </c>
      <c r="AT1044" t="n">
        <v>96.743553585</v>
      </c>
      <c r="AU1044" t="n">
        <v/>
      </c>
    </row>
    <row r="1045">
      <c r="A1045" s="107" t="n">
        <v>38687</v>
      </c>
      <c r="B1045" t="n">
        <v>86.99207686</v>
      </c>
      <c r="C1045" t="n">
        <v>90.392467294</v>
      </c>
      <c r="D1045" t="n">
        <v>99.42196531800001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87.19273393899999</v>
      </c>
      <c r="L1045" t="n">
        <v>117</v>
      </c>
      <c r="M1045" t="n">
        <v>100.5</v>
      </c>
      <c r="N1045" t="n">
        <v>129.631108026</v>
      </c>
      <c r="O1045" t="n">
        <v>77.406450538</v>
      </c>
      <c r="P1045" t="n">
        <v/>
      </c>
      <c r="Q1045" t="n">
        <v>111</v>
      </c>
      <c r="R1045" t="n">
        <v>111.02</v>
      </c>
      <c r="S1045" t="n">
        <v>100.687084817</v>
      </c>
      <c r="T1045" t="n">
        <v>105.825416741</v>
      </c>
      <c r="U1045" t="n">
        <v/>
      </c>
      <c r="V1045" t="n">
        <v>138.849579622</v>
      </c>
      <c r="W1045" t="n">
        <v>78.806567214</v>
      </c>
      <c r="X1045" t="n">
        <v>60.263026817</v>
      </c>
      <c r="Y1045" t="n">
        <v/>
      </c>
      <c r="Z1045" t="n">
        <v>56.104441587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68.529</v>
      </c>
      <c r="AF1045" t="n">
        <v>115.909659138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95.121731501</v>
      </c>
      <c r="AM1045" t="n">
        <v>66.90000000000001</v>
      </c>
      <c r="AN1045" t="n">
        <v>122.92084186</v>
      </c>
      <c r="AO1045" t="n">
        <v>78.78471840500001</v>
      </c>
      <c r="AP1045" t="n">
        <v>58.2</v>
      </c>
      <c r="AQ1045" t="n">
        <v>95.40795066299999</v>
      </c>
      <c r="AR1045" t="n">
        <v>108.790934089</v>
      </c>
      <c r="AS1045" t="n">
        <v>61.594867094</v>
      </c>
      <c r="AT1045" t="n">
        <v>97.19730269199999</v>
      </c>
      <c r="AU1045" t="n">
        <v/>
      </c>
    </row>
    <row r="1046">
      <c r="A1046" s="107" t="n">
        <v>38718</v>
      </c>
      <c r="B1046" t="n">
        <v>87.66774348</v>
      </c>
      <c r="C1046" t="n">
        <v>86.192817265</v>
      </c>
      <c r="D1046" t="n">
        <v>99.75227085100001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87.692692276</v>
      </c>
      <c r="L1046" t="n">
        <v>118.8</v>
      </c>
      <c r="M1046" t="n">
        <v>101.2</v>
      </c>
      <c r="N1046" t="n">
        <v>130.516108763</v>
      </c>
      <c r="O1046" t="n">
        <v>76.006333861</v>
      </c>
      <c r="P1046" t="n">
        <v/>
      </c>
      <c r="Q1046" t="n">
        <v>119.7</v>
      </c>
      <c r="R1046" t="n">
        <v>110.3</v>
      </c>
      <c r="S1046" t="n">
        <v>100.911825987</v>
      </c>
      <c r="T1046" t="n">
        <v>106.578239828</v>
      </c>
      <c r="U1046" t="n">
        <v/>
      </c>
      <c r="V1046" t="n">
        <v>137.550986431</v>
      </c>
      <c r="W1046" t="n">
        <v>79.20660055</v>
      </c>
      <c r="X1046" t="n">
        <v>61.252275692</v>
      </c>
      <c r="Y1046" t="n">
        <v/>
      </c>
      <c r="Z1046" t="n">
        <v>62.998631443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71.012</v>
      </c>
      <c r="AF1046" t="n">
        <v>116.809734145</v>
      </c>
      <c r="AG1046" t="n">
        <v>90.09999999999999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95.569182341</v>
      </c>
      <c r="AM1046" t="n">
        <v>65.2</v>
      </c>
      <c r="AN1046" t="n">
        <v>119.620581362</v>
      </c>
      <c r="AO1046" t="n">
        <v>78.40000000000001</v>
      </c>
      <c r="AP1046" t="n">
        <v>57.7</v>
      </c>
      <c r="AQ1046" t="n">
        <v>93.907825652</v>
      </c>
      <c r="AR1046" t="n">
        <v>112.790600783</v>
      </c>
      <c r="AS1046" t="n">
        <v>62.094825431</v>
      </c>
      <c r="AT1046" t="n">
        <v>97.37796940299999</v>
      </c>
      <c r="AU1046" t="n">
        <v/>
      </c>
    </row>
    <row r="1047">
      <c r="A1047" s="107" t="n">
        <v>38749</v>
      </c>
      <c r="B1047" t="n">
        <v>87.66774348</v>
      </c>
      <c r="C1047" t="n">
        <v>88.092658945</v>
      </c>
      <c r="D1047" t="n">
        <v>100.633085604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88.19265061199999</v>
      </c>
      <c r="L1047" t="n">
        <v>120.7</v>
      </c>
      <c r="M1047" t="n">
        <v>101.2</v>
      </c>
      <c r="N1047" t="n">
        <v>130.291108576</v>
      </c>
      <c r="O1047" t="n">
        <v>77.106425535</v>
      </c>
      <c r="P1047" t="n">
        <v/>
      </c>
      <c r="Q1047" t="n">
        <v>117.3</v>
      </c>
      <c r="R1047" t="n">
        <v>109.56</v>
      </c>
      <c r="S1047" t="n">
        <v>100.931532791</v>
      </c>
      <c r="T1047" t="n">
        <v>104.857501344</v>
      </c>
      <c r="U1047" t="n">
        <v/>
      </c>
      <c r="V1047" t="n">
        <v>141.746441355</v>
      </c>
      <c r="W1047" t="n">
        <v>79.906658888</v>
      </c>
      <c r="X1047" t="n">
        <v>61.554983269</v>
      </c>
      <c r="Y1047" t="n">
        <v/>
      </c>
      <c r="Z1047" t="n">
        <v>53.964865425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70.383</v>
      </c>
      <c r="AF1047" t="n">
        <v>114.009500792</v>
      </c>
      <c r="AG1047" t="n">
        <v>91.5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95.48706142</v>
      </c>
      <c r="AM1047" t="n">
        <v>66.40000000000001</v>
      </c>
      <c r="AN1047" t="n">
        <v>118.811184607</v>
      </c>
      <c r="AO1047" t="n">
        <v>79.2</v>
      </c>
      <c r="AP1047" t="n">
        <v>56.3</v>
      </c>
      <c r="AQ1047" t="n">
        <v>92.907742312</v>
      </c>
      <c r="AR1047" t="n">
        <v>110.790767436</v>
      </c>
      <c r="AS1047" t="n">
        <v>62.494792101</v>
      </c>
      <c r="AT1047" t="n">
        <v>97.413666448</v>
      </c>
      <c r="AU1047" t="n">
        <v/>
      </c>
    </row>
    <row r="1048">
      <c r="A1048" s="107" t="n">
        <v>38777</v>
      </c>
      <c r="B1048" t="n">
        <v>88.17449344000001</v>
      </c>
      <c r="C1048" t="n">
        <v>87.592700608</v>
      </c>
      <c r="D1048" t="n">
        <v>99.972474539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87.39271727400001</v>
      </c>
      <c r="L1048" t="n">
        <v>118.6</v>
      </c>
      <c r="M1048" t="n">
        <v>102</v>
      </c>
      <c r="N1048" t="n">
        <v>130.965109138</v>
      </c>
      <c r="O1048" t="n">
        <v>78.306525544</v>
      </c>
      <c r="P1048" t="n">
        <v/>
      </c>
      <c r="Q1048" t="n">
        <v>115.3</v>
      </c>
      <c r="R1048" t="n">
        <v>111.56</v>
      </c>
      <c r="S1048" t="n">
        <v>101.295444594</v>
      </c>
      <c r="T1048" t="n">
        <v>106.363147517</v>
      </c>
      <c r="U1048" t="n">
        <v/>
      </c>
      <c r="V1048" t="n">
        <v>145.342545576</v>
      </c>
      <c r="W1048" t="n">
        <v>82.90690890899999</v>
      </c>
      <c r="X1048" t="n">
        <v>62.726172807</v>
      </c>
      <c r="Y1048" t="n">
        <v/>
      </c>
      <c r="Z1048" t="n">
        <v>59.848699871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71.13</v>
      </c>
      <c r="AF1048" t="n">
        <v>114.20951746</v>
      </c>
      <c r="AG1048" t="n">
        <v>91.3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96.100264619</v>
      </c>
      <c r="AM1048" t="n">
        <v>66.90000000000001</v>
      </c>
      <c r="AN1048" t="n">
        <v>123.992558029</v>
      </c>
      <c r="AO1048" t="n">
        <v>80.09999999999999</v>
      </c>
      <c r="AP1048" t="n">
        <v>59.4</v>
      </c>
      <c r="AQ1048" t="n">
        <v>91.407617301</v>
      </c>
      <c r="AR1048" t="n">
        <v>111.190734105</v>
      </c>
      <c r="AS1048" t="n">
        <v>64.094658778</v>
      </c>
      <c r="AT1048" t="n">
        <v>97.645498925</v>
      </c>
      <c r="AU1048" t="n">
        <v/>
      </c>
    </row>
    <row r="1049">
      <c r="A1049" s="107" t="n">
        <v>38808</v>
      </c>
      <c r="B1049" t="n">
        <v>88.51232675</v>
      </c>
      <c r="C1049" t="n">
        <v>88.29264228</v>
      </c>
      <c r="D1049" t="n">
        <v>100.52298376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89.392550621</v>
      </c>
      <c r="L1049" t="n">
        <v>118</v>
      </c>
      <c r="M1049" t="n">
        <v>102.3</v>
      </c>
      <c r="N1049" t="n">
        <v>130.165108471</v>
      </c>
      <c r="O1049" t="n">
        <v>79.006583882</v>
      </c>
      <c r="P1049" t="n">
        <v/>
      </c>
      <c r="Q1049" t="n">
        <v>116.9</v>
      </c>
      <c r="R1049" t="n">
        <v>111.04</v>
      </c>
      <c r="S1049" t="n">
        <v>101.880486527</v>
      </c>
      <c r="T1049" t="n">
        <v>104.534862879</v>
      </c>
      <c r="U1049" t="n">
        <v/>
      </c>
      <c r="V1049" t="n">
        <v>142.64546741</v>
      </c>
      <c r="W1049" t="n">
        <v>82.606883907</v>
      </c>
      <c r="X1049" t="n">
        <v>62.039105341</v>
      </c>
      <c r="Y1049" t="n">
        <v/>
      </c>
      <c r="Z1049" t="n">
        <v>62.107141375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70.91800000000001</v>
      </c>
      <c r="AF1049" t="n">
        <v>112.909409117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96.471824203</v>
      </c>
      <c r="AM1049" t="n">
        <v>67.8</v>
      </c>
      <c r="AN1049" t="n">
        <v>116.861642753</v>
      </c>
      <c r="AO1049" t="n">
        <v>80.5</v>
      </c>
      <c r="AP1049" t="n">
        <v>58.9</v>
      </c>
      <c r="AQ1049" t="n">
        <v>93.407783982</v>
      </c>
      <c r="AR1049" t="n">
        <v>112.090659112</v>
      </c>
      <c r="AS1049" t="n">
        <v>63.594700442</v>
      </c>
      <c r="AT1049" t="n">
        <v>97.945254945</v>
      </c>
      <c r="AU1049" t="n">
        <v/>
      </c>
    </row>
    <row r="1050">
      <c r="A1050" s="107" t="n">
        <v>38838</v>
      </c>
      <c r="B1050" t="n">
        <v>89.77920165</v>
      </c>
      <c r="C1050" t="n">
        <v>89.592533956</v>
      </c>
      <c r="D1050" t="n">
        <v>101.183594825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90.692442296</v>
      </c>
      <c r="L1050" t="n">
        <v>122</v>
      </c>
      <c r="M1050" t="n">
        <v>103.8</v>
      </c>
      <c r="N1050" t="n">
        <v>131.777109814</v>
      </c>
      <c r="O1050" t="n">
        <v>80.70672556</v>
      </c>
      <c r="P1050" t="n">
        <v/>
      </c>
      <c r="Q1050" t="n">
        <v>114.5</v>
      </c>
      <c r="R1050" t="n">
        <v>112.82</v>
      </c>
      <c r="S1050" t="n">
        <v>102.055553323</v>
      </c>
      <c r="T1050" t="n">
        <v>106.040509052</v>
      </c>
      <c r="U1050" t="n">
        <v/>
      </c>
      <c r="V1050" t="n">
        <v>144.743194872</v>
      </c>
      <c r="W1050" t="n">
        <v>83.20693391099999</v>
      </c>
      <c r="X1050" t="n">
        <v>62.788994692</v>
      </c>
      <c r="Y1050" t="n">
        <v/>
      </c>
      <c r="Z1050" t="n">
        <v>65.970265002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71.916</v>
      </c>
      <c r="AF1050" t="n">
        <v>118.109842487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96.979412623</v>
      </c>
      <c r="AM1050" t="n">
        <v>69.90000000000001</v>
      </c>
      <c r="AN1050" t="n">
        <v>124.340601628</v>
      </c>
      <c r="AO1050" t="n">
        <v>81.59999999999999</v>
      </c>
      <c r="AP1050" t="n">
        <v>60.2</v>
      </c>
      <c r="AQ1050" t="n">
        <v>97.408117343</v>
      </c>
      <c r="AR1050" t="n">
        <v>114.190484126</v>
      </c>
      <c r="AS1050" t="n">
        <v>64.094658778</v>
      </c>
      <c r="AT1050" t="n">
        <v>97.957054802</v>
      </c>
      <c r="AU1050" t="n">
        <v/>
      </c>
    </row>
    <row r="1051">
      <c r="A1051" s="107" t="n">
        <v>38869</v>
      </c>
      <c r="B1051" t="n">
        <v>90.45486827000001</v>
      </c>
      <c r="C1051" t="n">
        <v>89.69252562299999</v>
      </c>
      <c r="D1051" t="n">
        <v>99.75227085100001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90.19248396</v>
      </c>
      <c r="L1051" t="n">
        <v>121.3</v>
      </c>
      <c r="M1051" t="n">
        <v>103.7</v>
      </c>
      <c r="N1051" t="n">
        <v>132.215110179</v>
      </c>
      <c r="O1051" t="n">
        <v>79.606633886</v>
      </c>
      <c r="P1051" t="n">
        <v/>
      </c>
      <c r="Q1051" t="n">
        <v>120.3</v>
      </c>
      <c r="R1051" t="n">
        <v>112.6</v>
      </c>
      <c r="S1051" t="n">
        <v>102.462417069</v>
      </c>
      <c r="T1051" t="n">
        <v>107.331062915</v>
      </c>
      <c r="U1051" t="n">
        <v/>
      </c>
      <c r="V1051" t="n">
        <v>143.045034546</v>
      </c>
      <c r="W1051" t="n">
        <v>84.90707559000001</v>
      </c>
      <c r="X1051" t="n">
        <v>62.897123422</v>
      </c>
      <c r="Y1051" t="n">
        <v/>
      </c>
      <c r="Z1051" t="n">
        <v>62.523170074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71.249</v>
      </c>
      <c r="AF1051" t="n">
        <v>115.509625802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97.284100666</v>
      </c>
      <c r="AM1051" t="n">
        <v>70.40000000000001</v>
      </c>
      <c r="AN1051" t="n">
        <v>123.904471763</v>
      </c>
      <c r="AO1051" t="n">
        <v>80.59999999999999</v>
      </c>
      <c r="AP1051" t="n">
        <v>61.8</v>
      </c>
      <c r="AQ1051" t="n">
        <v>93.60780065</v>
      </c>
      <c r="AR1051" t="n">
        <v>111.890675777</v>
      </c>
      <c r="AS1051" t="n">
        <v>64.49462544799999</v>
      </c>
      <c r="AT1051" t="n">
        <v>98.272874493</v>
      </c>
      <c r="AU1051" t="n">
        <v/>
      </c>
    </row>
    <row r="1052">
      <c r="A1052" s="107" t="n">
        <v>38899</v>
      </c>
      <c r="B1052" t="n">
        <v>91.89065983</v>
      </c>
      <c r="C1052" t="n">
        <v>88.092658945</v>
      </c>
      <c r="D1052" t="n">
        <v>100.633085604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91.792350637</v>
      </c>
      <c r="L1052" t="n">
        <v>118.6</v>
      </c>
      <c r="M1052" t="n">
        <v>103.5</v>
      </c>
      <c r="N1052" t="n">
        <v>131.934109945</v>
      </c>
      <c r="O1052" t="n">
        <v>80.106675556</v>
      </c>
      <c r="P1052" t="n">
        <v/>
      </c>
      <c r="Q1052" t="n">
        <v>119.1</v>
      </c>
      <c r="R1052" t="n">
        <v>111.09</v>
      </c>
      <c r="S1052" t="n">
        <v>102.499717181</v>
      </c>
      <c r="T1052" t="n">
        <v>106.255601362</v>
      </c>
      <c r="U1052" t="n">
        <v/>
      </c>
      <c r="V1052" t="n">
        <v>138.849579622</v>
      </c>
      <c r="W1052" t="n">
        <v>85.40711726000001</v>
      </c>
      <c r="X1052" t="n">
        <v>64.99782542600001</v>
      </c>
      <c r="Y1052" t="n">
        <v/>
      </c>
      <c r="Z1052" t="n">
        <v>61.869410691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67.51300000000001</v>
      </c>
      <c r="AF1052" t="n">
        <v>118.509875823</v>
      </c>
      <c r="AG1052" t="n">
        <v>92.2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96.976609874</v>
      </c>
      <c r="AM1052" t="n">
        <v>71</v>
      </c>
      <c r="AN1052" t="n">
        <v>125.250085849</v>
      </c>
      <c r="AO1052" t="n">
        <v>81.3</v>
      </c>
      <c r="AP1052" t="n">
        <v>63.1</v>
      </c>
      <c r="AQ1052" t="n">
        <v>98.908242354</v>
      </c>
      <c r="AR1052" t="n">
        <v>109.49087576</v>
      </c>
      <c r="AS1052" t="n">
        <v>64.394633781</v>
      </c>
      <c r="AT1052" t="n">
        <v>98.20227367</v>
      </c>
      <c r="AU1052" t="n">
        <v/>
      </c>
    </row>
    <row r="1053">
      <c r="A1053" s="107" t="n">
        <v>38930</v>
      </c>
      <c r="B1053" t="n">
        <v>91.8062015</v>
      </c>
      <c r="C1053" t="n">
        <v>87.492708941</v>
      </c>
      <c r="D1053" t="n">
        <v>100.52298376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92.392300642</v>
      </c>
      <c r="L1053" t="n">
        <v>119.6</v>
      </c>
      <c r="M1053" t="n">
        <v>103.8</v>
      </c>
      <c r="N1053" t="n">
        <v>131.629109691</v>
      </c>
      <c r="O1053" t="n">
        <v>81.90682556900001</v>
      </c>
      <c r="P1053" t="n">
        <v/>
      </c>
      <c r="Q1053" t="n">
        <v>115.9</v>
      </c>
      <c r="R1053" t="n">
        <v>110.31</v>
      </c>
      <c r="S1053" t="n">
        <v>102.919296578</v>
      </c>
      <c r="T1053" t="n">
        <v>107.65370138</v>
      </c>
      <c r="U1053" t="n">
        <v/>
      </c>
      <c r="V1053" t="n">
        <v>142.345792059</v>
      </c>
      <c r="W1053" t="n">
        <v>82.006833903</v>
      </c>
      <c r="X1053" t="n">
        <v>63.912743514</v>
      </c>
      <c r="Y1053" t="n">
        <v/>
      </c>
      <c r="Z1053" t="n">
        <v>61.691112677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72.53700000000001</v>
      </c>
      <c r="AF1053" t="n">
        <v>116.70972581</v>
      </c>
      <c r="AG1053" t="n">
        <v>93.90000000000001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97.610079885</v>
      </c>
      <c r="AM1053" t="n">
        <v>70.7</v>
      </c>
      <c r="AN1053" t="n">
        <v>125.207639903</v>
      </c>
      <c r="AO1053" t="n">
        <v>82.40000000000001</v>
      </c>
      <c r="AP1053" t="n">
        <v>64.59999999999999</v>
      </c>
      <c r="AQ1053" t="n">
        <v>96.20801733499999</v>
      </c>
      <c r="AR1053" t="n">
        <v>111.79068411</v>
      </c>
      <c r="AS1053" t="n">
        <v>64.194650446</v>
      </c>
      <c r="AT1053" t="n">
        <v>98.62131731700001</v>
      </c>
      <c r="AU1053" t="n">
        <v/>
      </c>
    </row>
    <row r="1054">
      <c r="A1054" s="107" t="n">
        <v>38961</v>
      </c>
      <c r="B1054" t="n">
        <v>92.05957647</v>
      </c>
      <c r="C1054" t="n">
        <v>89.69252562299999</v>
      </c>
      <c r="D1054" t="n">
        <v>99.75227085100001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92.29230897399999</v>
      </c>
      <c r="L1054" t="n">
        <v>115</v>
      </c>
      <c r="M1054" t="n">
        <v>103.9</v>
      </c>
      <c r="N1054" t="n">
        <v>132.572110477</v>
      </c>
      <c r="O1054" t="n">
        <v>80.006667222</v>
      </c>
      <c r="P1054" t="n">
        <v/>
      </c>
      <c r="Q1054" t="n">
        <v>116.1</v>
      </c>
      <c r="R1054" t="n">
        <v>112.05</v>
      </c>
      <c r="S1054" t="n">
        <v>102.849609241</v>
      </c>
      <c r="T1054" t="n">
        <v>108.944255243</v>
      </c>
      <c r="U1054" t="n">
        <v/>
      </c>
      <c r="V1054" t="n">
        <v>139.448930325</v>
      </c>
      <c r="W1054" t="n">
        <v>85.207100592</v>
      </c>
      <c r="X1054" t="n">
        <v>65.53378959299999</v>
      </c>
      <c r="Y1054" t="n">
        <v/>
      </c>
      <c r="Z1054" t="n">
        <v>62.047708704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73.15300000000001</v>
      </c>
      <c r="AF1054" t="n">
        <v>120.91007584</v>
      </c>
      <c r="AG1054" t="n">
        <v>94.2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97.692236271</v>
      </c>
      <c r="AM1054" t="n">
        <v>71.8</v>
      </c>
      <c r="AN1054" t="n">
        <v>124.34997105</v>
      </c>
      <c r="AO1054" t="n">
        <v>82.59999999999999</v>
      </c>
      <c r="AP1054" t="n">
        <v>64.09999999999999</v>
      </c>
      <c r="AQ1054" t="n">
        <v>97.508125677</v>
      </c>
      <c r="AR1054" t="n">
        <v>113.890509124</v>
      </c>
      <c r="AS1054" t="n">
        <v>64.194650446</v>
      </c>
      <c r="AT1054" t="n">
        <v>98.41913322000001</v>
      </c>
      <c r="AU1054" t="n">
        <v/>
      </c>
    </row>
    <row r="1055">
      <c r="A1055" s="107" t="n">
        <v>38991</v>
      </c>
      <c r="B1055" t="n">
        <v>92.98861805999999</v>
      </c>
      <c r="C1055" t="n">
        <v>91.592367303</v>
      </c>
      <c r="D1055" t="n">
        <v>100.192678227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92.09232564</v>
      </c>
      <c r="L1055" t="n">
        <v>121</v>
      </c>
      <c r="M1055" t="n">
        <v>103.6</v>
      </c>
      <c r="N1055" t="n">
        <v>132.363110303</v>
      </c>
      <c r="O1055" t="n">
        <v>81.406783899</v>
      </c>
      <c r="P1055" t="n">
        <v/>
      </c>
      <c r="Q1055" t="n">
        <v>115.3</v>
      </c>
      <c r="R1055" t="n">
        <v>111.11</v>
      </c>
      <c r="S1055" t="n">
        <v>102.776862196</v>
      </c>
      <c r="T1055" t="n">
        <v>108.406524467</v>
      </c>
      <c r="U1055" t="n">
        <v/>
      </c>
      <c r="V1055" t="n">
        <v>142.046116707</v>
      </c>
      <c r="W1055" t="n">
        <v>87.107258938</v>
      </c>
      <c r="X1055" t="n">
        <v>64.42336368300001</v>
      </c>
      <c r="Y1055" t="n">
        <v/>
      </c>
      <c r="Z1055" t="n">
        <v>59.908132542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76.32299999999999</v>
      </c>
      <c r="AF1055" t="n">
        <v>117.709809151</v>
      </c>
      <c r="AG1055" t="n">
        <v>93.59999999999999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97.90320026000001</v>
      </c>
      <c r="AM1055" t="n">
        <v>72.09999999999999</v>
      </c>
      <c r="AN1055" t="n">
        <v>123.989383955</v>
      </c>
      <c r="AO1055" t="n">
        <v>83.2</v>
      </c>
      <c r="AP1055" t="n">
        <v>64.09999999999999</v>
      </c>
      <c r="AQ1055" t="n">
        <v>98.80823402</v>
      </c>
      <c r="AR1055" t="n">
        <v>114.990417465</v>
      </c>
      <c r="AS1055" t="n">
        <v>64.59461711500001</v>
      </c>
      <c r="AT1055" t="n">
        <v>98.317000007</v>
      </c>
      <c r="AU1055" t="n">
        <v/>
      </c>
    </row>
    <row r="1056">
      <c r="A1056" s="107" t="n">
        <v>39022</v>
      </c>
      <c r="B1056" t="n">
        <v>93.57982634</v>
      </c>
      <c r="C1056" t="n">
        <v>90.89242563099999</v>
      </c>
      <c r="D1056" t="n">
        <v>101.513900358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93.69219231700001</v>
      </c>
      <c r="L1056" t="n">
        <v>120</v>
      </c>
      <c r="M1056" t="n">
        <v>104.6</v>
      </c>
      <c r="N1056" t="n">
        <v>134.056111713</v>
      </c>
      <c r="O1056" t="n">
        <v>82.606883907</v>
      </c>
      <c r="P1056" t="n">
        <v/>
      </c>
      <c r="Q1056" t="n">
        <v>116.3</v>
      </c>
      <c r="R1056" t="n">
        <v>110.48</v>
      </c>
      <c r="S1056" t="n">
        <v>103.202637785</v>
      </c>
      <c r="T1056" t="n">
        <v>109.266893709</v>
      </c>
      <c r="U1056" t="n">
        <v/>
      </c>
      <c r="V1056" t="n">
        <v>137.550986431</v>
      </c>
      <c r="W1056" t="n">
        <v>87.607300608</v>
      </c>
      <c r="X1056" t="n">
        <v>70.065362593</v>
      </c>
      <c r="Y1056" t="n">
        <v/>
      </c>
      <c r="Z1056" t="n">
        <v>59.848699871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75.343</v>
      </c>
      <c r="AF1056" t="n">
        <v>120.810067506</v>
      </c>
      <c r="AG1056" t="n">
        <v>92.59999999999999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98.213455876</v>
      </c>
      <c r="AM1056" t="n">
        <v>71.59999999999999</v>
      </c>
      <c r="AN1056" t="n">
        <v>125.986947709</v>
      </c>
      <c r="AO1056" t="n">
        <v>83.7</v>
      </c>
      <c r="AP1056" t="n">
        <v>65.09999999999999</v>
      </c>
      <c r="AQ1056" t="n">
        <v>100.8084007</v>
      </c>
      <c r="AR1056" t="n">
        <v>115.290392467</v>
      </c>
      <c r="AS1056" t="n">
        <v>64.29464211299999</v>
      </c>
      <c r="AT1056" t="n">
        <v>98.263454439</v>
      </c>
      <c r="AU1056" t="n">
        <v/>
      </c>
    </row>
    <row r="1057">
      <c r="A1057" s="107" t="n">
        <v>39052</v>
      </c>
      <c r="B1057" t="n">
        <v>94.08657633</v>
      </c>
      <c r="C1057" t="n">
        <v>94.892092326</v>
      </c>
      <c r="D1057" t="n">
        <v>102.394715111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94.592117324</v>
      </c>
      <c r="L1057" t="n">
        <v>122.1</v>
      </c>
      <c r="M1057" t="n">
        <v>106.1</v>
      </c>
      <c r="N1057" t="n">
        <v>135.664113053</v>
      </c>
      <c r="O1057" t="n">
        <v>84.30702558500001</v>
      </c>
      <c r="P1057" t="n">
        <v/>
      </c>
      <c r="Q1057" t="n">
        <v>113.8</v>
      </c>
      <c r="R1057" t="n">
        <v>112.35</v>
      </c>
      <c r="S1057" t="n">
        <v>104.021673007</v>
      </c>
      <c r="T1057" t="n">
        <v>108.406524467</v>
      </c>
      <c r="U1057" t="n">
        <v/>
      </c>
      <c r="V1057" t="n">
        <v>142.046116707</v>
      </c>
      <c r="W1057" t="n">
        <v>90.307525627</v>
      </c>
      <c r="X1057" t="n">
        <v>68.846886232</v>
      </c>
      <c r="Y1057" t="n">
        <v/>
      </c>
      <c r="Z1057" t="n">
        <v>63.711823497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72.636</v>
      </c>
      <c r="AF1057" t="n">
        <v>118.209850821</v>
      </c>
      <c r="AG1057" t="n">
        <v>96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98.986444678</v>
      </c>
      <c r="AM1057" t="n">
        <v>74.90000000000001</v>
      </c>
      <c r="AN1057" t="n">
        <v>130.041862718</v>
      </c>
      <c r="AO1057" t="n">
        <v>84.3</v>
      </c>
      <c r="AP1057" t="n">
        <v>65.90000000000001</v>
      </c>
      <c r="AQ1057" t="n">
        <v>103.708642387</v>
      </c>
      <c r="AR1057" t="n">
        <v>118.790100825</v>
      </c>
      <c r="AS1057" t="n">
        <v>66.69444213</v>
      </c>
      <c r="AT1057" t="n">
        <v>99.269218686</v>
      </c>
      <c r="AU1057" t="n">
        <v/>
      </c>
    </row>
    <row r="1058">
      <c r="A1058" s="107" t="n">
        <v>39083</v>
      </c>
      <c r="B1058" t="n">
        <v>94.25549298999999</v>
      </c>
      <c r="C1058" t="n">
        <v>93.992167319</v>
      </c>
      <c r="D1058" t="n">
        <v>102.064409579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95.09207566000001</v>
      </c>
      <c r="L1058" t="n">
        <v>116.5</v>
      </c>
      <c r="M1058" t="n">
        <v>105.6</v>
      </c>
      <c r="N1058" t="n">
        <v>134.777112314</v>
      </c>
      <c r="O1058" t="n">
        <v>80.106675556</v>
      </c>
      <c r="P1058" t="n">
        <v/>
      </c>
      <c r="Q1058" t="n">
        <v>119.8</v>
      </c>
      <c r="R1058" t="n">
        <v>111.04</v>
      </c>
      <c r="S1058" t="n">
        <v>103.603534129</v>
      </c>
      <c r="T1058" t="n">
        <v>109.697078329</v>
      </c>
      <c r="U1058" t="n">
        <v/>
      </c>
      <c r="V1058" t="n">
        <v>149.637892283</v>
      </c>
      <c r="W1058" t="n">
        <v>88.10734227899999</v>
      </c>
      <c r="X1058" t="n">
        <v>69.80910673</v>
      </c>
      <c r="Y1058" t="n">
        <v/>
      </c>
      <c r="Z1058" t="n">
        <v>63.533525484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73.378</v>
      </c>
      <c r="AF1058" t="n">
        <v>120.91007584</v>
      </c>
      <c r="AG1058" t="n">
        <v>93.8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98.841334397</v>
      </c>
      <c r="AM1058" t="n">
        <v>74.40000000000001</v>
      </c>
      <c r="AN1058" t="n">
        <v>126.053553354</v>
      </c>
      <c r="AO1058" t="n">
        <v>85.90000000000001</v>
      </c>
      <c r="AP1058" t="n">
        <v>68.90000000000001</v>
      </c>
      <c r="AQ1058" t="n">
        <v>102.408534045</v>
      </c>
      <c r="AR1058" t="n">
        <v>116.590284143</v>
      </c>
      <c r="AS1058" t="n">
        <v>69.394217149</v>
      </c>
      <c r="AT1058" t="n">
        <v>98.883393123</v>
      </c>
      <c r="AU1058" t="n">
        <v/>
      </c>
    </row>
    <row r="1059">
      <c r="A1059" s="107" t="n">
        <v>39114</v>
      </c>
      <c r="B1059" t="n">
        <v>95.6068262</v>
      </c>
      <c r="C1059" t="n">
        <v>93.79218398499999</v>
      </c>
      <c r="D1059" t="n">
        <v>103.385631709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95.49204233</v>
      </c>
      <c r="L1059" t="n">
        <v>118.6</v>
      </c>
      <c r="M1059" t="n">
        <v>106.3</v>
      </c>
      <c r="N1059" t="n">
        <v>134.043111703</v>
      </c>
      <c r="O1059" t="n">
        <v>82.506875573</v>
      </c>
      <c r="P1059" t="n">
        <v/>
      </c>
      <c r="Q1059" t="n">
        <v>121.1</v>
      </c>
      <c r="R1059" t="n">
        <v>112.06</v>
      </c>
      <c r="S1059" t="n">
        <v>104.291410722</v>
      </c>
      <c r="T1059" t="n">
        <v>108.191432156</v>
      </c>
      <c r="U1059" t="n">
        <v/>
      </c>
      <c r="V1059" t="n">
        <v>148.339299093</v>
      </c>
      <c r="W1059" t="n">
        <v>88.507375615</v>
      </c>
      <c r="X1059" t="n">
        <v>70.207223524</v>
      </c>
      <c r="Y1059" t="n">
        <v/>
      </c>
      <c r="Z1059" t="n">
        <v>64.90047692100001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74.208</v>
      </c>
      <c r="AF1059" t="n">
        <v>120.310025835</v>
      </c>
      <c r="AG1059" t="n">
        <v>93.7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99.37480619599999</v>
      </c>
      <c r="AM1059" t="n">
        <v>74.3</v>
      </c>
      <c r="AN1059" t="n">
        <v>122.144479129</v>
      </c>
      <c r="AO1059" t="n">
        <v>85.3</v>
      </c>
      <c r="AP1059" t="n">
        <v>67.7</v>
      </c>
      <c r="AQ1059" t="n">
        <v>101.208434036</v>
      </c>
      <c r="AR1059" t="n">
        <v>118.090159153</v>
      </c>
      <c r="AS1059" t="n">
        <v>67.794350471</v>
      </c>
      <c r="AT1059" t="n">
        <v>99.84453606300001</v>
      </c>
      <c r="AU1059" t="n">
        <v/>
      </c>
    </row>
    <row r="1060">
      <c r="A1060" s="107" t="n">
        <v>39142</v>
      </c>
      <c r="B1060" t="n">
        <v>96.02911781</v>
      </c>
      <c r="C1060" t="n">
        <v>94.192150654</v>
      </c>
      <c r="D1060" t="n">
        <v>104.70685384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95.992000667</v>
      </c>
      <c r="L1060" t="n">
        <v>114.6</v>
      </c>
      <c r="M1060" t="n">
        <v>106.8</v>
      </c>
      <c r="N1060" t="n">
        <v>135.674113062</v>
      </c>
      <c r="O1060" t="n">
        <v>83.50695891300001</v>
      </c>
      <c r="P1060" t="n">
        <v/>
      </c>
      <c r="Q1060" t="n">
        <v>122.3</v>
      </c>
      <c r="R1060" t="n">
        <v>112.91</v>
      </c>
      <c r="S1060" t="n">
        <v>104.539311775</v>
      </c>
      <c r="T1060" t="n">
        <v>107.976339846</v>
      </c>
      <c r="U1060" t="n">
        <v/>
      </c>
      <c r="V1060" t="n">
        <v>141.746441355</v>
      </c>
      <c r="W1060" t="n">
        <v>88.307358947</v>
      </c>
      <c r="X1060" t="n">
        <v>71.70661068699999</v>
      </c>
      <c r="Y1060" t="n">
        <v/>
      </c>
      <c r="Z1060" t="n">
        <v>64.722178907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73.705</v>
      </c>
      <c r="AF1060" t="n">
        <v>119.109925827</v>
      </c>
      <c r="AG1060" t="n">
        <v>96.3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99.72184094000001</v>
      </c>
      <c r="AM1060" t="n">
        <v>75.7</v>
      </c>
      <c r="AN1060" t="n">
        <v>124.014866243</v>
      </c>
      <c r="AO1060" t="n">
        <v>86.40000000000001</v>
      </c>
      <c r="AP1060" t="n">
        <v>70.40000000000001</v>
      </c>
      <c r="AQ1060" t="n">
        <v>100.708392366</v>
      </c>
      <c r="AR1060" t="n">
        <v>119.090075827</v>
      </c>
      <c r="AS1060" t="n">
        <v>68.894258812</v>
      </c>
      <c r="AT1060" t="n">
        <v>100.036705156</v>
      </c>
      <c r="AU1060" t="n">
        <v/>
      </c>
    </row>
    <row r="1061">
      <c r="A1061" s="107" t="n">
        <v>39173</v>
      </c>
      <c r="B1061" t="n">
        <v>95.10007621</v>
      </c>
      <c r="C1061" t="n">
        <v>93.79218398499999</v>
      </c>
      <c r="D1061" t="n">
        <v>105.697770438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95.09207566000001</v>
      </c>
      <c r="L1061" t="n">
        <v>113.9</v>
      </c>
      <c r="M1061" t="n">
        <v>105.4</v>
      </c>
      <c r="N1061" t="n">
        <v>133.18811099</v>
      </c>
      <c r="O1061" t="n">
        <v>86.307192266</v>
      </c>
      <c r="P1061" t="n">
        <v/>
      </c>
      <c r="Q1061" t="n">
        <v>119</v>
      </c>
      <c r="R1061" t="n">
        <v>111.05</v>
      </c>
      <c r="S1061" t="n">
        <v>104.374018443</v>
      </c>
      <c r="T1061" t="n">
        <v>107.115970604</v>
      </c>
      <c r="U1061" t="n">
        <v/>
      </c>
      <c r="V1061" t="n">
        <v>142.64546741</v>
      </c>
      <c r="W1061" t="n">
        <v>89.507458955</v>
      </c>
      <c r="X1061" t="n">
        <v>72.58375959999999</v>
      </c>
      <c r="Y1061" t="n">
        <v/>
      </c>
      <c r="Z1061" t="n">
        <v>64.127852195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75.34399999999999</v>
      </c>
      <c r="AF1061" t="n">
        <v>115.809650804</v>
      </c>
      <c r="AG1061" t="n">
        <v>91.40000000000001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99.63143573399999</v>
      </c>
      <c r="AM1061" t="n">
        <v>74.59999999999999</v>
      </c>
      <c r="AN1061" t="n">
        <v>119.723073708</v>
      </c>
      <c r="AO1061" t="n">
        <v>85.90000000000001</v>
      </c>
      <c r="AP1061" t="n">
        <v>68.8</v>
      </c>
      <c r="AQ1061" t="n">
        <v>102.808567381</v>
      </c>
      <c r="AR1061" t="n">
        <v>117.590200817</v>
      </c>
      <c r="AS1061" t="n">
        <v>69.294225481</v>
      </c>
      <c r="AT1061" t="n">
        <v>100.72288169</v>
      </c>
      <c r="AU1061" t="n">
        <v/>
      </c>
    </row>
    <row r="1062">
      <c r="A1062" s="107" t="n">
        <v>39203</v>
      </c>
      <c r="B1062" t="n">
        <v>96.11357619</v>
      </c>
      <c r="C1062" t="n">
        <v>96.19198400099999</v>
      </c>
      <c r="D1062" t="n">
        <v>106.02807597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96.791934005</v>
      </c>
      <c r="L1062" t="n">
        <v>112.7</v>
      </c>
      <c r="M1062" t="n">
        <v>107.3</v>
      </c>
      <c r="N1062" t="n">
        <v>136.283113569</v>
      </c>
      <c r="O1062" t="n">
        <v>86.807233936</v>
      </c>
      <c r="P1062" t="n">
        <v/>
      </c>
      <c r="Q1062" t="n">
        <v>119</v>
      </c>
      <c r="R1062" t="n">
        <v>113.7</v>
      </c>
      <c r="S1062" t="n">
        <v>105.218722803</v>
      </c>
      <c r="T1062" t="n">
        <v>107.976339846</v>
      </c>
      <c r="U1062" t="n">
        <v/>
      </c>
      <c r="V1062" t="n">
        <v>146.74103055</v>
      </c>
      <c r="W1062" t="n">
        <v>88.40736728100001</v>
      </c>
      <c r="X1062" t="n">
        <v>74.702069145</v>
      </c>
      <c r="Y1062" t="n">
        <v/>
      </c>
      <c r="Z1062" t="n">
        <v>61.096785966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75.95</v>
      </c>
      <c r="AF1062" t="n">
        <v>115.70964247</v>
      </c>
      <c r="AG1062" t="n">
        <v>94.3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100.335931923</v>
      </c>
      <c r="AM1062" t="n">
        <v>75.59999999999999</v>
      </c>
      <c r="AN1062" t="n">
        <v>123.22559152</v>
      </c>
      <c r="AO1062" t="n">
        <v>86.8</v>
      </c>
      <c r="AP1062" t="n">
        <v>72.7</v>
      </c>
      <c r="AQ1062" t="n">
        <v>101.408450704</v>
      </c>
      <c r="AR1062" t="n">
        <v>117.790184151</v>
      </c>
      <c r="AS1062" t="n">
        <v>70.394133822</v>
      </c>
      <c r="AT1062" t="n">
        <v>100.792689245</v>
      </c>
      <c r="AU1062" t="n">
        <v/>
      </c>
    </row>
    <row r="1063">
      <c r="A1063" s="107" t="n">
        <v>39234</v>
      </c>
      <c r="B1063" t="n">
        <v>95.18453459</v>
      </c>
      <c r="C1063" t="n">
        <v>96.291975669</v>
      </c>
      <c r="D1063" t="n">
        <v>106.688687036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96.691942338</v>
      </c>
      <c r="L1063" t="n">
        <v>115.4</v>
      </c>
      <c r="M1063" t="n">
        <v>107.4</v>
      </c>
      <c r="N1063" t="n">
        <v>136.148113457</v>
      </c>
      <c r="O1063" t="n">
        <v>87.207267272</v>
      </c>
      <c r="P1063" t="n">
        <v/>
      </c>
      <c r="Q1063" t="n">
        <v>124</v>
      </c>
      <c r="R1063" t="n">
        <v>113.27</v>
      </c>
      <c r="S1063" t="n">
        <v>105.054625076</v>
      </c>
      <c r="T1063" t="n">
        <v>105.932962897</v>
      </c>
      <c r="U1063" t="n">
        <v/>
      </c>
      <c r="V1063" t="n">
        <v>145.142762008</v>
      </c>
      <c r="W1063" t="n">
        <v>90.407533961</v>
      </c>
      <c r="X1063" t="n">
        <v>75.157010865</v>
      </c>
      <c r="Y1063" t="n">
        <v/>
      </c>
      <c r="Z1063" t="n">
        <v>60.977920623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75.73399999999999</v>
      </c>
      <c r="AF1063" t="n">
        <v>119.509959163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100.234909234</v>
      </c>
      <c r="AM1063" t="n">
        <v>76</v>
      </c>
      <c r="AN1063" t="n">
        <v>122.218608412</v>
      </c>
      <c r="AO1063" t="n">
        <v>87.2</v>
      </c>
      <c r="AP1063" t="n">
        <v>71.3</v>
      </c>
      <c r="AQ1063" t="n">
        <v>104.508709059</v>
      </c>
      <c r="AR1063" t="n">
        <v>117.590200817</v>
      </c>
      <c r="AS1063" t="n">
        <v>68.894258812</v>
      </c>
      <c r="AT1063" t="n">
        <v>100.818470444</v>
      </c>
      <c r="AU1063" t="n">
        <v/>
      </c>
    </row>
    <row r="1064">
      <c r="A1064" s="107" t="n">
        <v>39264</v>
      </c>
      <c r="B1064" t="n">
        <v>96.02911781</v>
      </c>
      <c r="C1064" t="n">
        <v>95.09207566000001</v>
      </c>
      <c r="D1064" t="n">
        <v>106.248279659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97.39188401</v>
      </c>
      <c r="L1064" t="n">
        <v>114</v>
      </c>
      <c r="M1064" t="n">
        <v>107.6</v>
      </c>
      <c r="N1064" t="n">
        <v>133.742111452</v>
      </c>
      <c r="O1064" t="n">
        <v>86.107175598</v>
      </c>
      <c r="P1064" t="n">
        <v/>
      </c>
      <c r="Q1064" t="n">
        <v>122.5</v>
      </c>
      <c r="R1064" t="n">
        <v>113.44</v>
      </c>
      <c r="S1064" t="n">
        <v>104.990716204</v>
      </c>
      <c r="T1064" t="n">
        <v>105.287685965</v>
      </c>
      <c r="U1064" t="n">
        <v/>
      </c>
      <c r="V1064" t="n">
        <v>145.44243736</v>
      </c>
      <c r="W1064" t="n">
        <v>92.807733978</v>
      </c>
      <c r="X1064" t="n">
        <v>75.267152352</v>
      </c>
      <c r="Y1064" t="n">
        <v/>
      </c>
      <c r="Z1064" t="n">
        <v>67.574947123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76.349</v>
      </c>
      <c r="AF1064" t="n">
        <v>116.009667472</v>
      </c>
      <c r="AG1064" t="n">
        <v>92.7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100.352599639</v>
      </c>
      <c r="AM1064" t="n">
        <v>76.8</v>
      </c>
      <c r="AN1064" t="n">
        <v>118.182618845</v>
      </c>
      <c r="AO1064" t="n">
        <v>88.09999999999999</v>
      </c>
      <c r="AP1064" t="n">
        <v>72.2</v>
      </c>
      <c r="AQ1064" t="n">
        <v>106.108842404</v>
      </c>
      <c r="AR1064" t="n">
        <v>115.790350804</v>
      </c>
      <c r="AS1064" t="n">
        <v>68.59428380999999</v>
      </c>
      <c r="AT1064" t="n">
        <v>100.708007921</v>
      </c>
      <c r="AU1064" t="n">
        <v/>
      </c>
    </row>
    <row r="1065">
      <c r="A1065" s="107" t="n">
        <v>39295</v>
      </c>
      <c r="B1065" t="n">
        <v>96.62032618000001</v>
      </c>
      <c r="C1065" t="n">
        <v>96.291975669</v>
      </c>
      <c r="D1065" t="n">
        <v>107.679603633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97.69185901199999</v>
      </c>
      <c r="L1065" t="n">
        <v>115.7</v>
      </c>
      <c r="M1065" t="n">
        <v>108.4</v>
      </c>
      <c r="N1065" t="n">
        <v>133.89611158</v>
      </c>
      <c r="O1065" t="n">
        <v>86.607217268</v>
      </c>
      <c r="P1065" t="n">
        <v/>
      </c>
      <c r="Q1065" t="n">
        <v>120.6</v>
      </c>
      <c r="R1065" t="n">
        <v>114.12</v>
      </c>
      <c r="S1065" t="n">
        <v>105.955530533</v>
      </c>
      <c r="T1065" t="n">
        <v>104.749955189</v>
      </c>
      <c r="U1065" t="n">
        <v/>
      </c>
      <c r="V1065" t="n">
        <v>142.845250978</v>
      </c>
      <c r="W1065" t="n">
        <v>92.807733978</v>
      </c>
      <c r="X1065" t="n">
        <v>75.490854403</v>
      </c>
      <c r="Y1065" t="n">
        <v/>
      </c>
      <c r="Z1065" t="n">
        <v>63.295794799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79.03100000000001</v>
      </c>
      <c r="AF1065" t="n">
        <v>113.409450788</v>
      </c>
      <c r="AG1065" t="n">
        <v>94.5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101.083968358</v>
      </c>
      <c r="AM1065" t="n">
        <v>77.09999999999999</v>
      </c>
      <c r="AN1065" t="n">
        <v>116.739249773</v>
      </c>
      <c r="AO1065" t="n">
        <v>87.59999999999999</v>
      </c>
      <c r="AP1065" t="n">
        <v>70.7</v>
      </c>
      <c r="AQ1065" t="n">
        <v>105.808817401</v>
      </c>
      <c r="AR1065" t="n">
        <v>117.490209149</v>
      </c>
      <c r="AS1065" t="n">
        <v>69.694192151</v>
      </c>
      <c r="AT1065" t="n">
        <v>100.918620488</v>
      </c>
      <c r="AU1065" t="n">
        <v/>
      </c>
    </row>
    <row r="1066">
      <c r="A1066" s="107" t="n">
        <v>39326</v>
      </c>
      <c r="B1066" t="n">
        <v>95.6068262</v>
      </c>
      <c r="C1066" t="n">
        <v>96.99191734</v>
      </c>
      <c r="D1066" t="n">
        <v>107.129094412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98.691775685</v>
      </c>
      <c r="L1066" t="n">
        <v>113.1</v>
      </c>
      <c r="M1066" t="n">
        <v>107.9</v>
      </c>
      <c r="N1066" t="n">
        <v>134.374111978</v>
      </c>
      <c r="O1066" t="n">
        <v>86.807233936</v>
      </c>
      <c r="P1066" t="n">
        <v/>
      </c>
      <c r="Q1066" t="n">
        <v>121.8</v>
      </c>
      <c r="R1066" t="n">
        <v>111.47</v>
      </c>
      <c r="S1066" t="n">
        <v>105.479065683</v>
      </c>
      <c r="T1066" t="n">
        <v>103.566947482</v>
      </c>
      <c r="U1066" t="n">
        <v/>
      </c>
      <c r="V1066" t="n">
        <v>143.444601682</v>
      </c>
      <c r="W1066" t="n">
        <v>92.70772564400001</v>
      </c>
      <c r="X1066" t="n">
        <v>74.422500957</v>
      </c>
      <c r="Y1066" t="n">
        <v/>
      </c>
      <c r="Z1066" t="n">
        <v>62.642035416</v>
      </c>
      <c r="AA1066" t="n">
        <v>49.308806639</v>
      </c>
      <c r="AB1066" t="n">
        <v>86.651053864</v>
      </c>
      <c r="AC1066" t="n">
        <v>129.889175902</v>
      </c>
      <c r="AD1066" t="n">
        <v>117.383109186</v>
      </c>
      <c r="AE1066" t="n">
        <v>77.74299999999999</v>
      </c>
      <c r="AF1066" t="n">
        <v>112.309359113</v>
      </c>
      <c r="AG1066" t="n">
        <v>92.8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100.837386894</v>
      </c>
      <c r="AM1066" t="n">
        <v>77.40000000000001</v>
      </c>
      <c r="AN1066" t="n">
        <v>117.895398838</v>
      </c>
      <c r="AO1066" t="n">
        <v>87.2</v>
      </c>
      <c r="AP1066" t="n">
        <v>73.8</v>
      </c>
      <c r="AQ1066" t="n">
        <v>103.808650721</v>
      </c>
      <c r="AR1066" t="n">
        <v>115.1904008</v>
      </c>
      <c r="AS1066" t="n">
        <v>70.194150487</v>
      </c>
      <c r="AT1066" t="n">
        <v>101.169293071</v>
      </c>
      <c r="AU1066" t="n">
        <v/>
      </c>
    </row>
    <row r="1067">
      <c r="A1067" s="107" t="n">
        <v>39356</v>
      </c>
      <c r="B1067" t="n">
        <v>96.70478446</v>
      </c>
      <c r="C1067" t="n">
        <v>100.491625698</v>
      </c>
      <c r="D1067" t="n">
        <v>109.551334985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98.791767353</v>
      </c>
      <c r="L1067" t="n">
        <v>118.8</v>
      </c>
      <c r="M1067" t="n">
        <v>108.7</v>
      </c>
      <c r="N1067" t="n">
        <v>134.622112185</v>
      </c>
      <c r="O1067" t="n">
        <v>86.70722560199999</v>
      </c>
      <c r="P1067" t="n">
        <v/>
      </c>
      <c r="Q1067" t="n">
        <v>120.8</v>
      </c>
      <c r="R1067" t="n">
        <v>114.01</v>
      </c>
      <c r="S1067" t="n">
        <v>105.711248966</v>
      </c>
      <c r="T1067" t="n">
        <v>104.642409034</v>
      </c>
      <c r="U1067" t="n">
        <v/>
      </c>
      <c r="V1067" t="n">
        <v>142.345792059</v>
      </c>
      <c r="W1067" t="n">
        <v>92.507708976</v>
      </c>
      <c r="X1067" t="n">
        <v>76.697698309</v>
      </c>
      <c r="Y1067" t="n">
        <v/>
      </c>
      <c r="Z1067" t="n">
        <v>67.990975822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81.285</v>
      </c>
      <c r="AF1067" t="n">
        <v>114.70955913</v>
      </c>
      <c r="AG1067" t="n">
        <v>92.59999999999999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101.337663875</v>
      </c>
      <c r="AM1067" t="n">
        <v>78.40000000000001</v>
      </c>
      <c r="AN1067" t="n">
        <v>124.481652553</v>
      </c>
      <c r="AO1067" t="n">
        <v>87.2</v>
      </c>
      <c r="AP1067" t="n">
        <v>73.7</v>
      </c>
      <c r="AQ1067" t="n">
        <v>106.308859072</v>
      </c>
      <c r="AR1067" t="n">
        <v>116.69027581</v>
      </c>
      <c r="AS1067" t="n">
        <v>69.694192151</v>
      </c>
      <c r="AT1067" t="n">
        <v>100.87280928</v>
      </c>
      <c r="AU1067" t="n">
        <v/>
      </c>
    </row>
    <row r="1068">
      <c r="A1068" s="107" t="n">
        <v>39387</v>
      </c>
      <c r="B1068" t="n">
        <v>94.08657633</v>
      </c>
      <c r="C1068" t="n">
        <v>97.59186734399999</v>
      </c>
      <c r="D1068" t="n">
        <v>108.560418387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98.591784018</v>
      </c>
      <c r="L1068" t="n">
        <v>117.4</v>
      </c>
      <c r="M1068" t="n">
        <v>108.1</v>
      </c>
      <c r="N1068" t="n">
        <v>133.629111358</v>
      </c>
      <c r="O1068" t="n">
        <v>85.707142262</v>
      </c>
      <c r="P1068" t="n">
        <v/>
      </c>
      <c r="Q1068" t="n">
        <v>128.3</v>
      </c>
      <c r="R1068" t="n">
        <v>112.02</v>
      </c>
      <c r="S1068" t="n">
        <v>105.53800285</v>
      </c>
      <c r="T1068" t="n">
        <v>104.642409034</v>
      </c>
      <c r="U1068" t="n">
        <v/>
      </c>
      <c r="V1068" t="n">
        <v>143.644385249</v>
      </c>
      <c r="W1068" t="n">
        <v>92.40770064199999</v>
      </c>
      <c r="X1068" t="n">
        <v>77.303135345</v>
      </c>
      <c r="Y1068" t="n">
        <v/>
      </c>
      <c r="Z1068" t="n">
        <v>67.277783767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81.255</v>
      </c>
      <c r="AF1068" t="n">
        <v>116.609717476</v>
      </c>
      <c r="AG1068" t="n">
        <v>95.7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101.213659896</v>
      </c>
      <c r="AM1068" t="n">
        <v>77.8</v>
      </c>
      <c r="AN1068" t="n">
        <v>120.578784977</v>
      </c>
      <c r="AO1068" t="n">
        <v>89</v>
      </c>
      <c r="AP1068" t="n">
        <v>78.7</v>
      </c>
      <c r="AQ1068" t="n">
        <v>104.408700725</v>
      </c>
      <c r="AR1068" t="n">
        <v>119.990000833</v>
      </c>
      <c r="AS1068" t="n">
        <v>69.89417548500001</v>
      </c>
      <c r="AT1068" t="n">
        <v>101.457447552</v>
      </c>
      <c r="AU1068" t="n">
        <v/>
      </c>
    </row>
    <row r="1069">
      <c r="A1069" s="107" t="n">
        <v>39417</v>
      </c>
      <c r="B1069" t="n">
        <v>97.29599274</v>
      </c>
      <c r="C1069" t="n">
        <v>100.091659028</v>
      </c>
      <c r="D1069" t="n">
        <v>108.89072392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99.591700692</v>
      </c>
      <c r="L1069" t="n">
        <v>114.5</v>
      </c>
      <c r="M1069" t="n">
        <v>108.5</v>
      </c>
      <c r="N1069" t="n">
        <v>133.362111135</v>
      </c>
      <c r="O1069" t="n">
        <v>84.407033919</v>
      </c>
      <c r="P1069" t="n">
        <v/>
      </c>
      <c r="Q1069" t="n">
        <v>121.7</v>
      </c>
      <c r="R1069" t="n">
        <v>112.21</v>
      </c>
      <c r="S1069" t="n">
        <v>105.714902041</v>
      </c>
      <c r="T1069" t="n">
        <v>104.104678258</v>
      </c>
      <c r="U1069" t="n">
        <v/>
      </c>
      <c r="V1069" t="n">
        <v>143.244818114</v>
      </c>
      <c r="W1069" t="n">
        <v>97.508125677</v>
      </c>
      <c r="X1069" t="n">
        <v>78.402405179</v>
      </c>
      <c r="Y1069" t="n">
        <v/>
      </c>
      <c r="Z1069" t="n">
        <v>67.51551445200001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80.91500000000001</v>
      </c>
      <c r="AF1069" t="n">
        <v>115.309609134</v>
      </c>
      <c r="AG1069" t="n">
        <v>95.2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101.521423378</v>
      </c>
      <c r="AM1069" t="n">
        <v>79.8</v>
      </c>
      <c r="AN1069" t="n">
        <v>119.207245506</v>
      </c>
      <c r="AO1069" t="n">
        <v>89</v>
      </c>
      <c r="AP1069" t="n">
        <v>75</v>
      </c>
      <c r="AQ1069" t="n">
        <v>104.108675723</v>
      </c>
      <c r="AR1069" t="n">
        <v>119.790017499</v>
      </c>
      <c r="AS1069" t="n">
        <v>71.794017165</v>
      </c>
      <c r="AT1069" t="n">
        <v>101.446440963</v>
      </c>
      <c r="AU1069" t="n">
        <v/>
      </c>
    </row>
    <row r="1070">
      <c r="A1070" s="107" t="n">
        <v>39448</v>
      </c>
      <c r="B1070" t="n">
        <v>98.64732595</v>
      </c>
      <c r="C1070" t="n">
        <v>102.591450712</v>
      </c>
      <c r="D1070" t="n">
        <v>110.652353427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101.091575702</v>
      </c>
      <c r="L1070" t="n">
        <v>117.4</v>
      </c>
      <c r="M1070" t="n">
        <v>109.5</v>
      </c>
      <c r="N1070" t="n">
        <v>133.766111472</v>
      </c>
      <c r="O1070" t="n">
        <v>84.507042254</v>
      </c>
      <c r="P1070" t="n">
        <v/>
      </c>
      <c r="Q1070" t="n">
        <v>128.2</v>
      </c>
      <c r="R1070" t="n">
        <v>113.2</v>
      </c>
      <c r="S1070" t="n">
        <v>106.226733302</v>
      </c>
      <c r="T1070" t="n">
        <v>104.857501344</v>
      </c>
      <c r="U1070" t="n">
        <v/>
      </c>
      <c r="V1070" t="n">
        <v>147.640056605</v>
      </c>
      <c r="W1070" t="n">
        <v>94.507875656</v>
      </c>
      <c r="X1070" t="n">
        <v>79.281043887</v>
      </c>
      <c r="Y1070" t="n">
        <v/>
      </c>
      <c r="Z1070" t="n">
        <v>63.414660141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82.456</v>
      </c>
      <c r="AF1070" t="n">
        <v>115.2096008</v>
      </c>
      <c r="AG1070" t="n">
        <v>96.2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102.091050867</v>
      </c>
      <c r="AM1070" t="n">
        <v>82.3</v>
      </c>
      <c r="AN1070" t="n">
        <v>123.175904734</v>
      </c>
      <c r="AO1070" t="n">
        <v>91.90000000000001</v>
      </c>
      <c r="AP1070" t="n">
        <v>90.90000000000001</v>
      </c>
      <c r="AQ1070" t="n">
        <v>107.608967414</v>
      </c>
      <c r="AR1070" t="n">
        <v>120.48995917</v>
      </c>
      <c r="AS1070" t="n">
        <v>70.794100492</v>
      </c>
      <c r="AT1070" t="n">
        <v>101.308809023</v>
      </c>
      <c r="AU1070" t="n">
        <v/>
      </c>
    </row>
    <row r="1071">
      <c r="A1071" s="107" t="n">
        <v>39479</v>
      </c>
      <c r="B1071" t="n">
        <v>99.91420087</v>
      </c>
      <c r="C1071" t="n">
        <v>101.491542371</v>
      </c>
      <c r="D1071" t="n">
        <v>110.322047894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100.7916007</v>
      </c>
      <c r="L1071" t="n">
        <v>114.2</v>
      </c>
      <c r="M1071" t="n">
        <v>109.3</v>
      </c>
      <c r="N1071" t="n">
        <v>133.671111393</v>
      </c>
      <c r="O1071" t="n">
        <v>84.60705058800001</v>
      </c>
      <c r="P1071" t="n">
        <v/>
      </c>
      <c r="Q1071" t="n">
        <v>125.1</v>
      </c>
      <c r="R1071" t="n">
        <v>114.23</v>
      </c>
      <c r="S1071" t="n">
        <v>106.114230066</v>
      </c>
      <c r="T1071" t="n">
        <v>105.717870586</v>
      </c>
      <c r="U1071" t="n">
        <v/>
      </c>
      <c r="V1071" t="n">
        <v>139.04936319</v>
      </c>
      <c r="W1071" t="n">
        <v>97.208100675</v>
      </c>
      <c r="X1071" t="n">
        <v>79.27101250299999</v>
      </c>
      <c r="Y1071" t="n">
        <v/>
      </c>
      <c r="Z1071" t="n">
        <v>63.652390826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82.30800000000001</v>
      </c>
      <c r="AF1071" t="n">
        <v>117.109759147</v>
      </c>
      <c r="AG1071" t="n">
        <v>97.09999999999999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102.068823515</v>
      </c>
      <c r="AM1071" t="n">
        <v>81.90000000000001</v>
      </c>
      <c r="AN1071" t="n">
        <v>123.087053075</v>
      </c>
      <c r="AO1071" t="n">
        <v>89.90000000000001</v>
      </c>
      <c r="AP1071" t="n">
        <v>91.5</v>
      </c>
      <c r="AQ1071" t="n">
        <v>109.109092424</v>
      </c>
      <c r="AR1071" t="n">
        <v>120.289975835</v>
      </c>
      <c r="AS1071" t="n">
        <v>72.193983835</v>
      </c>
      <c r="AT1071" t="n">
        <v>100.910886128</v>
      </c>
      <c r="AU1071" t="n">
        <v/>
      </c>
    </row>
    <row r="1072">
      <c r="A1072" s="107" t="n">
        <v>39508</v>
      </c>
      <c r="B1072" t="n">
        <v>99.99865925</v>
      </c>
      <c r="C1072" t="n">
        <v>101.391550704</v>
      </c>
      <c r="D1072" t="n">
        <v>110.762455271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100.091659028</v>
      </c>
      <c r="L1072" t="n">
        <v>116.2</v>
      </c>
      <c r="M1072" t="n">
        <v>108.8</v>
      </c>
      <c r="N1072" t="n">
        <v>131.249109374</v>
      </c>
      <c r="O1072" t="n">
        <v>82.90690890899999</v>
      </c>
      <c r="P1072" t="n">
        <v/>
      </c>
      <c r="Q1072" t="n">
        <v>123.4</v>
      </c>
      <c r="R1072" t="n">
        <v>112.96</v>
      </c>
      <c r="S1072" t="n">
        <v>105.460581635</v>
      </c>
      <c r="T1072" t="n">
        <v>104.104678258</v>
      </c>
      <c r="U1072" t="n">
        <v/>
      </c>
      <c r="V1072" t="n">
        <v>136.75185216</v>
      </c>
      <c r="W1072" t="n">
        <v>94.30785898800001</v>
      </c>
      <c r="X1072" t="n">
        <v>80.15997298800001</v>
      </c>
      <c r="Y1072" t="n">
        <v/>
      </c>
      <c r="Z1072" t="n">
        <v>63.236362128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83.099</v>
      </c>
      <c r="AF1072" t="n">
        <v>117.209767481</v>
      </c>
      <c r="AG1072" t="n">
        <v>95.40000000000001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101.459331383</v>
      </c>
      <c r="AM1072" t="n">
        <v>79.59999999999999</v>
      </c>
      <c r="AN1072" t="n">
        <v>114.648286898</v>
      </c>
      <c r="AO1072" t="n">
        <v>89.90000000000001</v>
      </c>
      <c r="AP1072" t="n">
        <v>88.09999999999999</v>
      </c>
      <c r="AQ1072" t="n">
        <v>108.00900075</v>
      </c>
      <c r="AR1072" t="n">
        <v>118.99008416</v>
      </c>
      <c r="AS1072" t="n">
        <v>72.193983835</v>
      </c>
      <c r="AT1072" t="n">
        <v>100.545288891</v>
      </c>
      <c r="AU1072" t="n">
        <v/>
      </c>
    </row>
    <row r="1073">
      <c r="A1073" s="107" t="n">
        <v>39539</v>
      </c>
      <c r="B1073" t="n">
        <v>99.32299260000001</v>
      </c>
      <c r="C1073" t="n">
        <v>102.591450712</v>
      </c>
      <c r="D1073" t="n">
        <v>110.762455271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100.291642363</v>
      </c>
      <c r="L1073" t="n">
        <v>115</v>
      </c>
      <c r="M1073" t="n">
        <v>110.1</v>
      </c>
      <c r="N1073" t="n">
        <v>132.023110019</v>
      </c>
      <c r="O1073" t="n">
        <v>86.007167264</v>
      </c>
      <c r="P1073" t="n">
        <v/>
      </c>
      <c r="Q1073" t="n">
        <v>127.5</v>
      </c>
      <c r="R1073" t="n">
        <v>115.3</v>
      </c>
      <c r="S1073" t="n">
        <v>105.375598011</v>
      </c>
      <c r="T1073" t="n">
        <v>104.749955189</v>
      </c>
      <c r="U1073" t="n">
        <v/>
      </c>
      <c r="V1073" t="n">
        <v>144.243735953</v>
      </c>
      <c r="W1073" t="n">
        <v>95.207933994</v>
      </c>
      <c r="X1073" t="n">
        <v>79.951998459</v>
      </c>
      <c r="Y1073" t="n">
        <v/>
      </c>
      <c r="Z1073" t="n">
        <v>60.859055281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83.661</v>
      </c>
      <c r="AF1073" t="n">
        <v>120.110009167</v>
      </c>
      <c r="AG1073" t="n">
        <v>94.09999999999999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101.588852647</v>
      </c>
      <c r="AM1073" t="n">
        <v>81.59999999999999</v>
      </c>
      <c r="AN1073" t="n">
        <v>121.382246081</v>
      </c>
      <c r="AO1073" t="n">
        <v>90.2</v>
      </c>
      <c r="AP1073" t="n">
        <v>87.59999999999999</v>
      </c>
      <c r="AQ1073" t="n">
        <v>108.50904242</v>
      </c>
      <c r="AR1073" t="n">
        <v>118.490125823</v>
      </c>
      <c r="AS1073" t="n">
        <v>71.294058828</v>
      </c>
      <c r="AT1073" t="n">
        <v>99.876167612</v>
      </c>
      <c r="AU1073" t="n">
        <v/>
      </c>
    </row>
    <row r="1074">
      <c r="A1074" s="107" t="n">
        <v>39569</v>
      </c>
      <c r="B1074" t="n">
        <v>99.23853431000001</v>
      </c>
      <c r="C1074" t="n">
        <v>100.191650696</v>
      </c>
      <c r="D1074" t="n">
        <v>111.423066336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98.291809016</v>
      </c>
      <c r="L1074" t="n">
        <v>114.6</v>
      </c>
      <c r="M1074" t="n">
        <v>106.9</v>
      </c>
      <c r="N1074" t="n">
        <v>128.665107221</v>
      </c>
      <c r="O1074" t="n">
        <v>83.50695891300001</v>
      </c>
      <c r="P1074" t="n">
        <v/>
      </c>
      <c r="Q1074" t="n">
        <v>126.7</v>
      </c>
      <c r="R1074" t="n">
        <v>109.91</v>
      </c>
      <c r="S1074" t="n">
        <v>104.37190633</v>
      </c>
      <c r="T1074" t="n">
        <v>104.212224413</v>
      </c>
      <c r="U1074" t="n">
        <v/>
      </c>
      <c r="V1074" t="n">
        <v>136.651960376</v>
      </c>
      <c r="W1074" t="n">
        <v>93.407783982</v>
      </c>
      <c r="X1074" t="n">
        <v>80.186292333</v>
      </c>
      <c r="Y1074" t="n">
        <v/>
      </c>
      <c r="Z1074" t="n">
        <v>64.484448222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82.884</v>
      </c>
      <c r="AF1074" t="n">
        <v>114.20951746</v>
      </c>
      <c r="AG1074" t="n">
        <v>93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100.418368329</v>
      </c>
      <c r="AM1074" t="n">
        <v>78.2</v>
      </c>
      <c r="AN1074" t="n">
        <v>114.631952634</v>
      </c>
      <c r="AO1074" t="n">
        <v>91.3</v>
      </c>
      <c r="AP1074" t="n">
        <v>88</v>
      </c>
      <c r="AQ1074" t="n">
        <v>107.408950746</v>
      </c>
      <c r="AR1074" t="n">
        <v>117.590200817</v>
      </c>
      <c r="AS1074" t="n">
        <v>71.09407549399999</v>
      </c>
      <c r="AT1074" t="n">
        <v>99.29718137099999</v>
      </c>
      <c r="AU1074" t="n">
        <v/>
      </c>
    </row>
    <row r="1075">
      <c r="A1075" s="107" t="n">
        <v>39600</v>
      </c>
      <c r="B1075" t="n">
        <v>97.21153445</v>
      </c>
      <c r="C1075" t="n">
        <v>100.191650696</v>
      </c>
      <c r="D1075" t="n">
        <v>113.184695844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99.391717357</v>
      </c>
      <c r="L1075" t="n">
        <v>113.1</v>
      </c>
      <c r="M1075" t="n">
        <v>107</v>
      </c>
      <c r="N1075" t="n">
        <v>124.642103868</v>
      </c>
      <c r="O1075" t="n">
        <v>84.90707559000001</v>
      </c>
      <c r="P1075" t="n">
        <v/>
      </c>
      <c r="Q1075" t="n">
        <v>123.3</v>
      </c>
      <c r="R1075" t="n">
        <v>109.59</v>
      </c>
      <c r="S1075" t="n">
        <v>103.934699498</v>
      </c>
      <c r="T1075" t="n">
        <v>103.997132103</v>
      </c>
      <c r="U1075" t="n">
        <v/>
      </c>
      <c r="V1075" t="n">
        <v>143.844168817</v>
      </c>
      <c r="W1075" t="n">
        <v>91.807650638</v>
      </c>
      <c r="X1075" t="n">
        <v>81.27293071699999</v>
      </c>
      <c r="Y1075" t="n">
        <v/>
      </c>
      <c r="Z1075" t="n">
        <v>62.107141375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82.354</v>
      </c>
      <c r="AF1075" t="n">
        <v>111.709309109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100.065407157</v>
      </c>
      <c r="AM1075" t="n">
        <v>78.8</v>
      </c>
      <c r="AN1075" t="n">
        <v>115.266803343</v>
      </c>
      <c r="AO1075" t="n">
        <v>89.59999999999999</v>
      </c>
      <c r="AP1075" t="n">
        <v>85.90000000000001</v>
      </c>
      <c r="AQ1075" t="n">
        <v>111.709309109</v>
      </c>
      <c r="AR1075" t="n">
        <v>116.190317474</v>
      </c>
      <c r="AS1075" t="n">
        <v>71.39405049600001</v>
      </c>
      <c r="AT1075" t="n">
        <v>99.073281572</v>
      </c>
      <c r="AU1075" t="n">
        <v/>
      </c>
    </row>
    <row r="1076">
      <c r="A1076" s="107" t="n">
        <v>39630</v>
      </c>
      <c r="B1076" t="n">
        <v>96.19803447</v>
      </c>
      <c r="C1076" t="n">
        <v>103.191400717</v>
      </c>
      <c r="D1076" t="n">
        <v>113.515001376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97.69185901199999</v>
      </c>
      <c r="L1076" t="n">
        <v>112.8</v>
      </c>
      <c r="M1076" t="n">
        <v>106</v>
      </c>
      <c r="N1076" t="n">
        <v>126.457105381</v>
      </c>
      <c r="O1076" t="n">
        <v>84.807067256</v>
      </c>
      <c r="P1076" t="n">
        <v/>
      </c>
      <c r="Q1076" t="n">
        <v>126.5</v>
      </c>
      <c r="R1076" t="n">
        <v>110.43</v>
      </c>
      <c r="S1076" t="n">
        <v>103.426866409</v>
      </c>
      <c r="T1076" t="n">
        <v>104.104678258</v>
      </c>
      <c r="U1076" t="n">
        <v/>
      </c>
      <c r="V1076" t="n">
        <v>140.248064597</v>
      </c>
      <c r="W1076" t="n">
        <v>91.30760896699999</v>
      </c>
      <c r="X1076" t="n">
        <v>79.20730382399999</v>
      </c>
      <c r="Y1076" t="n">
        <v/>
      </c>
      <c r="Z1076" t="n">
        <v>61.393949321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81.607</v>
      </c>
      <c r="AF1076" t="n">
        <v>117.009750813</v>
      </c>
      <c r="AG1076" t="n">
        <v>90.3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99.591536957</v>
      </c>
      <c r="AM1076" t="n">
        <v>78.5</v>
      </c>
      <c r="AN1076" t="n">
        <v>114.754942709</v>
      </c>
      <c r="AO1076" t="n">
        <v>89</v>
      </c>
      <c r="AP1076" t="n">
        <v>85.7</v>
      </c>
      <c r="AQ1076" t="n">
        <v>105.208767397</v>
      </c>
      <c r="AR1076" t="n">
        <v>115.690359137</v>
      </c>
      <c r="AS1076" t="n">
        <v>69.89417548500001</v>
      </c>
      <c r="AT1076" t="n">
        <v>98.657014362</v>
      </c>
      <c r="AU1076" t="n">
        <v/>
      </c>
    </row>
    <row r="1077">
      <c r="A1077" s="107" t="n">
        <v>39661</v>
      </c>
      <c r="B1077" t="n">
        <v>98.64732595</v>
      </c>
      <c r="C1077" t="n">
        <v>100.491625698</v>
      </c>
      <c r="D1077" t="n">
        <v>112.30388109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99.691692359</v>
      </c>
      <c r="L1077" t="n">
        <v>112.5</v>
      </c>
      <c r="M1077" t="n">
        <v>105.6</v>
      </c>
      <c r="N1077" t="n">
        <v>123.161102634</v>
      </c>
      <c r="O1077" t="n">
        <v>82.90690890899999</v>
      </c>
      <c r="P1077" t="n">
        <v/>
      </c>
      <c r="Q1077" t="n">
        <v>122.1</v>
      </c>
      <c r="R1077" t="n">
        <v>108.94</v>
      </c>
      <c r="S1077" t="n">
        <v>101.962293264</v>
      </c>
      <c r="T1077" t="n">
        <v>104.9650475</v>
      </c>
      <c r="U1077" t="n">
        <v/>
      </c>
      <c r="V1077" t="n">
        <v>136.452176808</v>
      </c>
      <c r="W1077" t="n">
        <v>92.10767564</v>
      </c>
      <c r="X1077" t="n">
        <v>80.130964918</v>
      </c>
      <c r="Y1077" t="n">
        <v/>
      </c>
      <c r="Z1077" t="n">
        <v>65.435370961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82.06699999999999</v>
      </c>
      <c r="AF1077" t="n">
        <v>115.609634136</v>
      </c>
      <c r="AG1077" t="n">
        <v>87.40000000000001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98.280275046</v>
      </c>
      <c r="AM1077" t="n">
        <v>77.2</v>
      </c>
      <c r="AN1077" t="n">
        <v>111.967863034</v>
      </c>
      <c r="AO1077" t="n">
        <v>89.5</v>
      </c>
      <c r="AP1077" t="n">
        <v>82.5</v>
      </c>
      <c r="AQ1077" t="n">
        <v>108.409034086</v>
      </c>
      <c r="AR1077" t="n">
        <v>116.490292476</v>
      </c>
      <c r="AS1077" t="n">
        <v>68.994250479</v>
      </c>
      <c r="AT1077" t="n">
        <v>97.11252220900001</v>
      </c>
      <c r="AU1077" t="n">
        <v/>
      </c>
    </row>
    <row r="1078">
      <c r="A1078" s="107" t="n">
        <v>39692</v>
      </c>
      <c r="B1078" t="n">
        <v>98.14057605000001</v>
      </c>
      <c r="C1078" t="n">
        <v>100.891592367</v>
      </c>
      <c r="D1078" t="n">
        <v>113.735205065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97.39188401</v>
      </c>
      <c r="L1078" t="n">
        <v>111.1</v>
      </c>
      <c r="M1078" t="n">
        <v>104.8</v>
      </c>
      <c r="N1078" t="n">
        <v>122.550102125</v>
      </c>
      <c r="O1078" t="n">
        <v>83.906992249</v>
      </c>
      <c r="P1078" t="n">
        <v/>
      </c>
      <c r="Q1078" t="n">
        <v>125.3</v>
      </c>
      <c r="R1078" t="n">
        <v>108.44</v>
      </c>
      <c r="S1078" t="n">
        <v>99.858415593</v>
      </c>
      <c r="T1078" t="n">
        <v>105.39523212</v>
      </c>
      <c r="U1078" t="n">
        <v/>
      </c>
      <c r="V1078" t="n">
        <v>136.552068592</v>
      </c>
      <c r="W1078" t="n">
        <v>89.107425619</v>
      </c>
      <c r="X1078" t="n">
        <v>82.15518143600001</v>
      </c>
      <c r="Y1078" t="n">
        <v/>
      </c>
      <c r="Z1078" t="n">
        <v>63.533525484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80.334</v>
      </c>
      <c r="AF1078" t="n">
        <v>115.70964247</v>
      </c>
      <c r="AG1078" t="n">
        <v>88.8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96.771075642</v>
      </c>
      <c r="AM1078" t="n">
        <v>77.8</v>
      </c>
      <c r="AN1078" t="n">
        <v>111.845522054</v>
      </c>
      <c r="AO1078" t="n">
        <v>88.09999999999999</v>
      </c>
      <c r="AP1078" t="n">
        <v>81.7</v>
      </c>
      <c r="AQ1078" t="n">
        <v>107.50895908</v>
      </c>
      <c r="AR1078" t="n">
        <v>112.890592451</v>
      </c>
      <c r="AS1078" t="n">
        <v>68.794267144</v>
      </c>
      <c r="AT1078" t="n">
        <v>92.87032503</v>
      </c>
      <c r="AU1078" t="n">
        <v/>
      </c>
    </row>
    <row r="1079">
      <c r="A1079" s="107" t="n">
        <v>39722</v>
      </c>
      <c r="B1079" t="n">
        <v>94.33995127999999</v>
      </c>
      <c r="C1079" t="n">
        <v>98.791767353</v>
      </c>
      <c r="D1079" t="n">
        <v>110.21194605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95.292058995</v>
      </c>
      <c r="L1079" t="n">
        <v>110.3</v>
      </c>
      <c r="M1079" t="n">
        <v>102.3</v>
      </c>
      <c r="N1079" t="n">
        <v>115.190095992</v>
      </c>
      <c r="O1079" t="n">
        <v>75.40628385700001</v>
      </c>
      <c r="P1079" t="n">
        <v/>
      </c>
      <c r="Q1079" t="n">
        <v>124</v>
      </c>
      <c r="R1079" t="n">
        <v>106.47</v>
      </c>
      <c r="S1079" t="n">
        <v>99.325084284</v>
      </c>
      <c r="T1079" t="n">
        <v>106.040509052</v>
      </c>
      <c r="U1079" t="n">
        <v/>
      </c>
      <c r="V1079" t="n">
        <v>135.053691834</v>
      </c>
      <c r="W1079" t="n">
        <v>87.40728394</v>
      </c>
      <c r="X1079" t="n">
        <v>79.676747902</v>
      </c>
      <c r="Y1079" t="n">
        <v/>
      </c>
      <c r="Z1079" t="n">
        <v>61.275083979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80.22499999999999</v>
      </c>
      <c r="AF1079" t="n">
        <v>102.608550713</v>
      </c>
      <c r="AG1079" t="n">
        <v>87.2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95.84867250400001</v>
      </c>
      <c r="AM1079" t="n">
        <v>76.7</v>
      </c>
      <c r="AN1079" t="n">
        <v>111.400229465</v>
      </c>
      <c r="AO1079" t="n">
        <v>85.5</v>
      </c>
      <c r="AP1079" t="n">
        <v>79</v>
      </c>
      <c r="AQ1079" t="n">
        <v>107.308942412</v>
      </c>
      <c r="AR1079" t="n">
        <v>110.090825765</v>
      </c>
      <c r="AS1079" t="n">
        <v>65.394550454</v>
      </c>
      <c r="AT1079" t="n">
        <v>93.78853235699999</v>
      </c>
      <c r="AU1079" t="n">
        <v/>
      </c>
    </row>
    <row r="1080">
      <c r="A1080" s="107" t="n">
        <v>39753</v>
      </c>
      <c r="B1080" t="n">
        <v>91.72174318</v>
      </c>
      <c r="C1080" t="n">
        <v>93.89217565200001</v>
      </c>
      <c r="D1080" t="n">
        <v>103.93614093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91.09240896599999</v>
      </c>
      <c r="L1080" t="n">
        <v>108</v>
      </c>
      <c r="M1080" t="n">
        <v>98.5</v>
      </c>
      <c r="N1080" t="n">
        <v>112.453093711</v>
      </c>
      <c r="O1080" t="n">
        <v>71.805983832</v>
      </c>
      <c r="P1080" t="n">
        <v/>
      </c>
      <c r="Q1080" t="n">
        <v>119.4</v>
      </c>
      <c r="R1080" t="n">
        <v>101.13</v>
      </c>
      <c r="S1080" t="n">
        <v>96.145443098</v>
      </c>
      <c r="T1080" t="n">
        <v>103.029216706</v>
      </c>
      <c r="U1080" t="n">
        <v/>
      </c>
      <c r="V1080" t="n">
        <v>130.258886207</v>
      </c>
      <c r="W1080" t="n">
        <v>84.60705058800001</v>
      </c>
      <c r="X1080" t="n">
        <v>78.96045080499999</v>
      </c>
      <c r="Y1080" t="n">
        <v/>
      </c>
      <c r="Z1080" t="n">
        <v>67.574947123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71.625</v>
      </c>
      <c r="AF1080" t="n">
        <v>95.40795066299999</v>
      </c>
      <c r="AG1080" t="n">
        <v>83.40000000000001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92.546009063</v>
      </c>
      <c r="AM1080" t="n">
        <v>72.59999999999999</v>
      </c>
      <c r="AN1080" t="n">
        <v>108.411239373</v>
      </c>
      <c r="AO1080" t="n">
        <v>79.40000000000001</v>
      </c>
      <c r="AP1080" t="n">
        <v>77</v>
      </c>
      <c r="AQ1080" t="n">
        <v>94.407867322</v>
      </c>
      <c r="AR1080" t="n">
        <v>106.09115907</v>
      </c>
      <c r="AS1080" t="n">
        <v>62.89475877</v>
      </c>
      <c r="AT1080" t="n">
        <v>92.559959054</v>
      </c>
      <c r="AU1080" t="n">
        <v/>
      </c>
    </row>
    <row r="1081">
      <c r="A1081" s="107" t="n">
        <v>39783</v>
      </c>
      <c r="B1081" t="n">
        <v>92.98861805999999</v>
      </c>
      <c r="C1081" t="n">
        <v>93.192233981</v>
      </c>
      <c r="D1081" t="n">
        <v>92.26534544499999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87.692692276</v>
      </c>
      <c r="L1081" t="n">
        <v>108</v>
      </c>
      <c r="M1081" t="n">
        <v>94.90000000000001</v>
      </c>
      <c r="N1081" t="n">
        <v>106.59608883</v>
      </c>
      <c r="O1081" t="n">
        <v>67.605633803</v>
      </c>
      <c r="P1081" t="n">
        <v/>
      </c>
      <c r="Q1081" t="n">
        <v>104.1</v>
      </c>
      <c r="R1081" t="n">
        <v>99.72</v>
      </c>
      <c r="S1081" t="n">
        <v>92.43625414</v>
      </c>
      <c r="T1081" t="n">
        <v>102.168847464</v>
      </c>
      <c r="U1081" t="n">
        <v/>
      </c>
      <c r="V1081" t="n">
        <v>129.160076584</v>
      </c>
      <c r="W1081" t="n">
        <v>75.206267189</v>
      </c>
      <c r="X1081" t="n">
        <v>76.89180979299999</v>
      </c>
      <c r="Y1081" t="n">
        <v/>
      </c>
      <c r="Z1081" t="n">
        <v>60.383593911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63.915</v>
      </c>
      <c r="AF1081" t="n">
        <v>86.20718393200001</v>
      </c>
      <c r="AG1081" t="n">
        <v>82.7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89.008466958</v>
      </c>
      <c r="AM1081" t="n">
        <v>72.40000000000001</v>
      </c>
      <c r="AN1081" t="n">
        <v>104.77436118</v>
      </c>
      <c r="AO1081" t="n">
        <v>76.3</v>
      </c>
      <c r="AP1081" t="n">
        <v>74.3</v>
      </c>
      <c r="AQ1081" t="n">
        <v>85.307108926</v>
      </c>
      <c r="AR1081" t="n">
        <v>98.591784018</v>
      </c>
      <c r="AS1081" t="n">
        <v>61.094908758</v>
      </c>
      <c r="AT1081" t="n">
        <v>89.95486802800001</v>
      </c>
      <c r="AU1081" t="n">
        <v/>
      </c>
    </row>
    <row r="1082">
      <c r="A1082" s="107" t="n">
        <v>39814</v>
      </c>
      <c r="B1082" t="n">
        <v>90.53932659</v>
      </c>
      <c r="C1082" t="n">
        <v>88.092658945</v>
      </c>
      <c r="D1082" t="n">
        <v>94.137076796</v>
      </c>
      <c r="E1082" t="n">
        <v>88.645733288</v>
      </c>
      <c r="F1082" t="n">
        <v/>
      </c>
      <c r="G1082" t="n">
        <v/>
      </c>
      <c r="H1082" t="n">
        <v>87.625342929</v>
      </c>
      <c r="I1082" t="n">
        <v>90.531782275</v>
      </c>
      <c r="J1082" t="n">
        <v>78.286952175</v>
      </c>
      <c r="K1082" t="n">
        <v>80.69327556</v>
      </c>
      <c r="L1082" t="n">
        <v>104.7</v>
      </c>
      <c r="M1082" t="n">
        <v>91</v>
      </c>
      <c r="N1082" t="n">
        <v>105.600088</v>
      </c>
      <c r="O1082" t="n">
        <v>66.005500458</v>
      </c>
      <c r="P1082" t="n">
        <v/>
      </c>
      <c r="Q1082" t="n">
        <v>99.8</v>
      </c>
      <c r="R1082" t="n">
        <v>96.06999999999999</v>
      </c>
      <c r="S1082" t="n">
        <v>88.50826942400001</v>
      </c>
      <c r="T1082" t="n">
        <v>101.093385911</v>
      </c>
      <c r="U1082" t="n">
        <v/>
      </c>
      <c r="V1082" t="n">
        <v>123.566136685</v>
      </c>
      <c r="W1082" t="n">
        <v>74.30619218299999</v>
      </c>
      <c r="X1082" t="n">
        <v>75.375234053</v>
      </c>
      <c r="Y1082" t="n">
        <v/>
      </c>
      <c r="Z1082" t="n">
        <v>62.82033343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65.203</v>
      </c>
      <c r="AF1082" t="n">
        <v>90.107508959</v>
      </c>
      <c r="AG1082" t="n">
        <v>75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85.89243075500001</v>
      </c>
      <c r="AM1082" t="n">
        <v>71.3</v>
      </c>
      <c r="AN1082" t="n">
        <v>100.77724409</v>
      </c>
      <c r="AO1082" t="n">
        <v>76.09999999999999</v>
      </c>
      <c r="AP1082" t="n">
        <v>69.59999999999999</v>
      </c>
      <c r="AQ1082" t="n">
        <v>91.107592299</v>
      </c>
      <c r="AR1082" t="n">
        <v>95.292058995</v>
      </c>
      <c r="AS1082" t="n">
        <v>56.995250396</v>
      </c>
      <c r="AT1082" t="n">
        <v>87.723802707</v>
      </c>
      <c r="AU1082" t="n">
        <v/>
      </c>
    </row>
    <row r="1083">
      <c r="A1083" s="107" t="n">
        <v>39845</v>
      </c>
      <c r="B1083" t="n">
        <v>88.17449344000001</v>
      </c>
      <c r="C1083" t="n">
        <v>87.592700608</v>
      </c>
      <c r="D1083" t="n">
        <v>96.449215524</v>
      </c>
      <c r="E1083" t="n">
        <v>87.56704986</v>
      </c>
      <c r="F1083" t="n">
        <v/>
      </c>
      <c r="G1083" t="n">
        <v/>
      </c>
      <c r="H1083" t="n">
        <v>86.73830316999999</v>
      </c>
      <c r="I1083" t="n">
        <v>88.167146178</v>
      </c>
      <c r="J1083" t="n">
        <v>78.58690218300001</v>
      </c>
      <c r="K1083" t="n">
        <v>78.193483876</v>
      </c>
      <c r="L1083" t="n">
        <v>101.8</v>
      </c>
      <c r="M1083" t="n">
        <v>89</v>
      </c>
      <c r="N1083" t="n">
        <v>105.309087758</v>
      </c>
      <c r="O1083" t="n">
        <v>65.505458788</v>
      </c>
      <c r="P1083" t="n">
        <v/>
      </c>
      <c r="Q1083" t="n">
        <v>104.1</v>
      </c>
      <c r="R1083" t="n">
        <v>94.73</v>
      </c>
      <c r="S1083" t="n">
        <v>86.045609523</v>
      </c>
      <c r="T1083" t="n">
        <v>99.587739738</v>
      </c>
      <c r="U1083" t="n">
        <v/>
      </c>
      <c r="V1083" t="n">
        <v>129.160076584</v>
      </c>
      <c r="W1083" t="n">
        <v>71.705975498</v>
      </c>
      <c r="X1083" t="n">
        <v>76.243254927</v>
      </c>
      <c r="Y1083" t="n">
        <v/>
      </c>
      <c r="Z1083" t="n">
        <v>61.988276033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70.605</v>
      </c>
      <c r="AF1083" t="n">
        <v>87.207267272</v>
      </c>
      <c r="AG1083" t="n">
        <v>74.90000000000001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84.68297896599999</v>
      </c>
      <c r="AM1083" t="n">
        <v>72.7</v>
      </c>
      <c r="AN1083" t="n">
        <v>100.710498246</v>
      </c>
      <c r="AO1083" t="n">
        <v>76.90000000000001</v>
      </c>
      <c r="AP1083" t="n">
        <v>72.40000000000001</v>
      </c>
      <c r="AQ1083" t="n">
        <v>87.00725060400001</v>
      </c>
      <c r="AR1083" t="n">
        <v>97.891842346</v>
      </c>
      <c r="AS1083" t="n">
        <v>58.195150404</v>
      </c>
      <c r="AT1083" t="n">
        <v>87.195982231</v>
      </c>
      <c r="AU1083" t="n">
        <v/>
      </c>
    </row>
    <row r="1084">
      <c r="A1084" s="107" t="n">
        <v>39873</v>
      </c>
      <c r="B1084" t="n">
        <v>89.35691002</v>
      </c>
      <c r="C1084" t="n">
        <v>85.79285059599999</v>
      </c>
      <c r="D1084" t="n">
        <v>96.889622901</v>
      </c>
      <c r="E1084" t="n">
        <v>85.791716717</v>
      </c>
      <c r="F1084" t="n">
        <v/>
      </c>
      <c r="G1084" t="n">
        <v/>
      </c>
      <c r="H1084" t="n">
        <v>86.251119628</v>
      </c>
      <c r="I1084" t="n">
        <v>89.349464231</v>
      </c>
      <c r="J1084" t="n">
        <v>79.986668889</v>
      </c>
      <c r="K1084" t="n">
        <v>78.493458878</v>
      </c>
      <c r="L1084" t="n">
        <v>98.3</v>
      </c>
      <c r="M1084" t="n">
        <v>87.8</v>
      </c>
      <c r="N1084" t="n">
        <v>102.57608548</v>
      </c>
      <c r="O1084" t="n">
        <v>61.405117093</v>
      </c>
      <c r="P1084" t="n">
        <v/>
      </c>
      <c r="Q1084" t="n">
        <v>102.2</v>
      </c>
      <c r="R1084" t="n">
        <v>92.98</v>
      </c>
      <c r="S1084" t="n">
        <v>85.18059855200001</v>
      </c>
      <c r="T1084" t="n">
        <v>99.05000896200001</v>
      </c>
      <c r="U1084" t="n">
        <v/>
      </c>
      <c r="V1084" t="n">
        <v>125.064513444</v>
      </c>
      <c r="W1084" t="n">
        <v>75.10625885499999</v>
      </c>
      <c r="X1084" t="n">
        <v>75.690122296</v>
      </c>
      <c r="Y1084" t="n">
        <v/>
      </c>
      <c r="Z1084" t="n">
        <v>63.533525484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73.459</v>
      </c>
      <c r="AF1084" t="n">
        <v>82.40686723899999</v>
      </c>
      <c r="AG1084" t="n">
        <v>72.3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84.051315602</v>
      </c>
      <c r="AM1084" t="n">
        <v>74.5</v>
      </c>
      <c r="AN1084" t="n">
        <v>101.318766577</v>
      </c>
      <c r="AO1084" t="n">
        <v>76.7</v>
      </c>
      <c r="AP1084" t="n">
        <v>71.59999999999999</v>
      </c>
      <c r="AQ1084" t="n">
        <v>86.007167264</v>
      </c>
      <c r="AR1084" t="n">
        <v>93.79218398499999</v>
      </c>
      <c r="AS1084" t="n">
        <v>57.5952004</v>
      </c>
      <c r="AT1084" t="n">
        <v>85.821943469</v>
      </c>
      <c r="AU1084" t="n">
        <v/>
      </c>
    </row>
    <row r="1085">
      <c r="A1085" s="107" t="n">
        <v>39904</v>
      </c>
      <c r="B1085" t="n">
        <v>87.16099351</v>
      </c>
      <c r="C1085" t="n">
        <v>85.69285892800001</v>
      </c>
      <c r="D1085" t="n">
        <v>98.10074318700001</v>
      </c>
      <c r="E1085" t="n">
        <v>84.17716947300001</v>
      </c>
      <c r="F1085" t="n">
        <v/>
      </c>
      <c r="G1085" t="n">
        <v/>
      </c>
      <c r="H1085" t="n">
        <v>85.86357870800001</v>
      </c>
      <c r="I1085" t="n">
        <v>87.15373069899999</v>
      </c>
      <c r="J1085" t="n">
        <v>78.386935511</v>
      </c>
      <c r="K1085" t="n">
        <v>76.193650529</v>
      </c>
      <c r="L1085" t="n">
        <v>96.5</v>
      </c>
      <c r="M1085" t="n">
        <v>86.59999999999999</v>
      </c>
      <c r="N1085" t="n">
        <v>103.4400862</v>
      </c>
      <c r="O1085" t="n">
        <v>58.804900408</v>
      </c>
      <c r="P1085" t="n">
        <v/>
      </c>
      <c r="Q1085" t="n">
        <v>99.09999999999999</v>
      </c>
      <c r="R1085" t="n">
        <v>92.95</v>
      </c>
      <c r="S1085" t="n">
        <v>85.22405635200001</v>
      </c>
      <c r="T1085" t="n">
        <v>99.910378204</v>
      </c>
      <c r="U1085" t="n">
        <v/>
      </c>
      <c r="V1085" t="n">
        <v>123.366353117</v>
      </c>
      <c r="W1085" t="n">
        <v>71.805983832</v>
      </c>
      <c r="X1085" t="n">
        <v>78.059144649</v>
      </c>
      <c r="Y1085" t="n">
        <v/>
      </c>
      <c r="Z1085" t="n">
        <v>62.939198772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76.137</v>
      </c>
      <c r="AF1085" t="n">
        <v>88.507375615</v>
      </c>
      <c r="AG1085" t="n">
        <v>74.2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84.11179667499999</v>
      </c>
      <c r="AM1085" t="n">
        <v>73.3</v>
      </c>
      <c r="AN1085" t="n">
        <v>102.582418947</v>
      </c>
      <c r="AO1085" t="n">
        <v>76.90000000000001</v>
      </c>
      <c r="AP1085" t="n">
        <v>69.90000000000001</v>
      </c>
      <c r="AQ1085" t="n">
        <v>81.206767231</v>
      </c>
      <c r="AR1085" t="n">
        <v>93.59220065</v>
      </c>
      <c r="AS1085" t="n">
        <v>58.495125406</v>
      </c>
      <c r="AT1085" t="n">
        <v>85.137254312</v>
      </c>
      <c r="AU1085" t="n">
        <v/>
      </c>
    </row>
    <row r="1086">
      <c r="A1086" s="107" t="n">
        <v>39934</v>
      </c>
      <c r="B1086" t="n">
        <v>85.30291032</v>
      </c>
      <c r="C1086" t="n">
        <v>95.692025665</v>
      </c>
      <c r="D1086" t="n">
        <v>99.532067162</v>
      </c>
      <c r="E1086" t="n">
        <v>83.430759065</v>
      </c>
      <c r="F1086" t="n">
        <v/>
      </c>
      <c r="G1086" t="n">
        <v/>
      </c>
      <c r="H1086" t="n">
        <v>86.378692621</v>
      </c>
      <c r="I1086" t="n">
        <v>85.29580233599999</v>
      </c>
      <c r="J1086" t="n">
        <v>78.286952175</v>
      </c>
      <c r="K1086" t="n">
        <v>79.693358887</v>
      </c>
      <c r="L1086" t="n">
        <v>94.5</v>
      </c>
      <c r="M1086" t="n">
        <v>88.7</v>
      </c>
      <c r="N1086" t="n">
        <v>102.786085655</v>
      </c>
      <c r="O1086" t="n">
        <v>59.10492541</v>
      </c>
      <c r="P1086" t="n">
        <v/>
      </c>
      <c r="Q1086" t="n">
        <v>97.40000000000001</v>
      </c>
      <c r="R1086" t="n">
        <v>94.06999999999999</v>
      </c>
      <c r="S1086" t="n">
        <v>85.980328046</v>
      </c>
      <c r="T1086" t="n">
        <v>98.08209356499999</v>
      </c>
      <c r="U1086" t="n">
        <v/>
      </c>
      <c r="V1086" t="n">
        <v>124.265379173</v>
      </c>
      <c r="W1086" t="n">
        <v>72.40603383600001</v>
      </c>
      <c r="X1086" t="n">
        <v>78.975252555</v>
      </c>
      <c r="Y1086" t="n">
        <v/>
      </c>
      <c r="Z1086" t="n">
        <v>60.561891925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77.313</v>
      </c>
      <c r="AF1086" t="n">
        <v>89.507458955</v>
      </c>
      <c r="AG1086" t="n">
        <v>73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84.80404037300001</v>
      </c>
      <c r="AM1086" t="n">
        <v>73.90000000000001</v>
      </c>
      <c r="AN1086" t="n">
        <v>100.151825101</v>
      </c>
      <c r="AO1086" t="n">
        <v>77.09999999999999</v>
      </c>
      <c r="AP1086" t="n">
        <v>69.90000000000001</v>
      </c>
      <c r="AQ1086" t="n">
        <v>84.30702558500001</v>
      </c>
      <c r="AR1086" t="n">
        <v>90.992417299</v>
      </c>
      <c r="AS1086" t="n">
        <v>60.394967086</v>
      </c>
      <c r="AT1086" t="n">
        <v>84.283797458</v>
      </c>
      <c r="AU1086" t="n">
        <v/>
      </c>
    </row>
    <row r="1087">
      <c r="A1087" s="107" t="n">
        <v>39965</v>
      </c>
      <c r="B1087" t="n">
        <v>86.65424355</v>
      </c>
      <c r="C1087" t="n">
        <v>86.892758937</v>
      </c>
      <c r="D1087" t="n">
        <v>100.633085604</v>
      </c>
      <c r="E1087" t="n">
        <v>83.068790146</v>
      </c>
      <c r="F1087" t="n">
        <v/>
      </c>
      <c r="G1087" t="n">
        <v/>
      </c>
      <c r="H1087" t="n">
        <v>88.29657337</v>
      </c>
      <c r="I1087" t="n">
        <v>86.64702296500001</v>
      </c>
      <c r="J1087" t="n">
        <v>80.686552241</v>
      </c>
      <c r="K1087" t="n">
        <v>80.293308891</v>
      </c>
      <c r="L1087" t="n">
        <v>97.3</v>
      </c>
      <c r="M1087" t="n">
        <v>89.2</v>
      </c>
      <c r="N1087" t="n">
        <v>103.767086473</v>
      </c>
      <c r="O1087" t="n">
        <v>60.205017085</v>
      </c>
      <c r="P1087" t="n">
        <v/>
      </c>
      <c r="Q1087" t="n">
        <v>100</v>
      </c>
      <c r="R1087" t="n">
        <v>95.27</v>
      </c>
      <c r="S1087" t="n">
        <v>86.264605722</v>
      </c>
      <c r="T1087" t="n">
        <v>98.727370497</v>
      </c>
      <c r="U1087" t="n">
        <v/>
      </c>
      <c r="V1087" t="n">
        <v>123.366353117</v>
      </c>
      <c r="W1087" t="n">
        <v>74.106175515</v>
      </c>
      <c r="X1087" t="n">
        <v>79.588470818</v>
      </c>
      <c r="Y1087" t="n">
        <v/>
      </c>
      <c r="Z1087" t="n">
        <v>61.512814664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80.232</v>
      </c>
      <c r="AF1087" t="n">
        <v>91.407617301</v>
      </c>
      <c r="AG1087" t="n">
        <v>74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85.362433979</v>
      </c>
      <c r="AM1087" t="n">
        <v>74.90000000000001</v>
      </c>
      <c r="AN1087" t="n">
        <v>100.354065416</v>
      </c>
      <c r="AO1087" t="n">
        <v>77.59999999999999</v>
      </c>
      <c r="AP1087" t="n">
        <v>70.8</v>
      </c>
      <c r="AQ1087" t="n">
        <v>84.807067256</v>
      </c>
      <c r="AR1087" t="n">
        <v>93.292225648</v>
      </c>
      <c r="AS1087" t="n">
        <v>62.094825431</v>
      </c>
      <c r="AT1087" t="n">
        <v>84.014681401</v>
      </c>
      <c r="AU1087" t="n">
        <v/>
      </c>
    </row>
    <row r="1088">
      <c r="A1088" s="107" t="n">
        <v>39995</v>
      </c>
      <c r="B1088" t="n">
        <v>86.8231602</v>
      </c>
      <c r="C1088" t="n">
        <v>86.3928006</v>
      </c>
      <c r="D1088" t="n">
        <v>101.954307735</v>
      </c>
      <c r="E1088" t="n">
        <v>83.160553146</v>
      </c>
      <c r="F1088" t="n">
        <v/>
      </c>
      <c r="G1088" t="n">
        <v/>
      </c>
      <c r="H1088" t="n">
        <v>84.400808369</v>
      </c>
      <c r="I1088" t="n">
        <v>86.81592553999999</v>
      </c>
      <c r="J1088" t="n">
        <v>78.78686885499999</v>
      </c>
      <c r="K1088" t="n">
        <v>79.493375552</v>
      </c>
      <c r="L1088" t="n">
        <v>96.40000000000001</v>
      </c>
      <c r="M1088" t="n">
        <v>89.40000000000001</v>
      </c>
      <c r="N1088" t="n">
        <v>104.745087288</v>
      </c>
      <c r="O1088" t="n">
        <v>61.105092091</v>
      </c>
      <c r="P1088" t="n">
        <v/>
      </c>
      <c r="Q1088" t="n">
        <v>101.1</v>
      </c>
      <c r="R1088" t="n">
        <v>94.92</v>
      </c>
      <c r="S1088" t="n">
        <v>86.92169084699999</v>
      </c>
      <c r="T1088" t="n">
        <v>99.157555117</v>
      </c>
      <c r="U1088" t="n">
        <v/>
      </c>
      <c r="V1088" t="n">
        <v>124.565054524</v>
      </c>
      <c r="W1088" t="n">
        <v>74.006167181</v>
      </c>
      <c r="X1088" t="n">
        <v>80.455794363</v>
      </c>
      <c r="Y1088" t="n">
        <v/>
      </c>
      <c r="Z1088" t="n">
        <v>60.918487952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82.077</v>
      </c>
      <c r="AF1088" t="n">
        <v>92.60771731</v>
      </c>
      <c r="AG1088" t="n">
        <v>72.3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86.066835829</v>
      </c>
      <c r="AM1088" t="n">
        <v>75</v>
      </c>
      <c r="AN1088" t="n">
        <v>104.365510287</v>
      </c>
      <c r="AO1088" t="n">
        <v>78.59999999999999</v>
      </c>
      <c r="AP1088" t="n">
        <v>72</v>
      </c>
      <c r="AQ1088" t="n">
        <v>84.00700058300001</v>
      </c>
      <c r="AR1088" t="n">
        <v>92.792267311</v>
      </c>
      <c r="AS1088" t="n">
        <v>63.194733772</v>
      </c>
      <c r="AT1088" t="n">
        <v>84.987822515</v>
      </c>
      <c r="AU1088" t="n">
        <v/>
      </c>
    </row>
    <row r="1089">
      <c r="A1089" s="107" t="n">
        <v>40026</v>
      </c>
      <c r="B1089" t="n">
        <v>86.31641024</v>
      </c>
      <c r="C1089" t="n">
        <v>90.692442296</v>
      </c>
      <c r="D1089" t="n">
        <v>103.605835398</v>
      </c>
      <c r="E1089" t="n">
        <v>82.91201720799999</v>
      </c>
      <c r="F1089" t="n">
        <v/>
      </c>
      <c r="G1089" t="n">
        <v/>
      </c>
      <c r="H1089" t="n">
        <v>89.14396517599999</v>
      </c>
      <c r="I1089" t="n">
        <v>86.309217805</v>
      </c>
      <c r="J1089" t="n">
        <v>81.38643559400001</v>
      </c>
      <c r="K1089" t="n">
        <v>80.49329222599999</v>
      </c>
      <c r="L1089" t="n">
        <v>97</v>
      </c>
      <c r="M1089" t="n">
        <v>89.5</v>
      </c>
      <c r="N1089" t="n">
        <v>105.214087678</v>
      </c>
      <c r="O1089" t="n">
        <v>62.005167097</v>
      </c>
      <c r="P1089" t="n">
        <v/>
      </c>
      <c r="Q1089" t="n">
        <v>101.7</v>
      </c>
      <c r="R1089" t="n">
        <v>96.47</v>
      </c>
      <c r="S1089" t="n">
        <v>87.524500809</v>
      </c>
      <c r="T1089" t="n">
        <v>96.361355082</v>
      </c>
      <c r="U1089" t="n">
        <v/>
      </c>
      <c r="V1089" t="n">
        <v>118.971114626</v>
      </c>
      <c r="W1089" t="n">
        <v>73.50612551</v>
      </c>
      <c r="X1089" t="n">
        <v>84.522788811</v>
      </c>
      <c r="Y1089" t="n">
        <v/>
      </c>
      <c r="Z1089" t="n">
        <v>54.380894123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83.13500000000001</v>
      </c>
      <c r="AF1089" t="n">
        <v>95.10792566000001</v>
      </c>
      <c r="AG1089" t="n">
        <v>73.59999999999999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86.569235507</v>
      </c>
      <c r="AM1089" t="n">
        <v>75.59999999999999</v>
      </c>
      <c r="AN1089" t="n">
        <v>102.086077583</v>
      </c>
      <c r="AO1089" t="n">
        <v>78.2</v>
      </c>
      <c r="AP1089" t="n">
        <v>76.8</v>
      </c>
      <c r="AQ1089" t="n">
        <v>87.40728394</v>
      </c>
      <c r="AR1089" t="n">
        <v>94.092158987</v>
      </c>
      <c r="AS1089" t="n">
        <v>62.394800433</v>
      </c>
      <c r="AT1089" t="n">
        <v>85.90424499</v>
      </c>
      <c r="AU1089" t="n">
        <v/>
      </c>
    </row>
    <row r="1090">
      <c r="A1090" s="107" t="n">
        <v>40057</v>
      </c>
      <c r="B1090" t="n">
        <v>88.09003511</v>
      </c>
      <c r="C1090" t="n">
        <v>89.092575619</v>
      </c>
      <c r="D1090" t="n">
        <v>105.257363061</v>
      </c>
      <c r="E1090" t="n">
        <v>84.33474500299999</v>
      </c>
      <c r="F1090" t="n">
        <v/>
      </c>
      <c r="G1090" t="n">
        <v/>
      </c>
      <c r="H1090" t="n">
        <v>89.618741809</v>
      </c>
      <c r="I1090" t="n">
        <v>88.082694885</v>
      </c>
      <c r="J1090" t="n">
        <v>81.48641893</v>
      </c>
      <c r="K1090" t="n">
        <v>84.092992251</v>
      </c>
      <c r="L1090" t="n">
        <v>93.7</v>
      </c>
      <c r="M1090" t="n">
        <v>91.59999999999999</v>
      </c>
      <c r="N1090" t="n">
        <v>106.257088548</v>
      </c>
      <c r="O1090" t="n">
        <v>60.505042087</v>
      </c>
      <c r="P1090" t="n">
        <v/>
      </c>
      <c r="Q1090" t="n">
        <v>99.90000000000001</v>
      </c>
      <c r="R1090" t="n">
        <v>96.97</v>
      </c>
      <c r="S1090" t="n">
        <v>89.24216824600001</v>
      </c>
      <c r="T1090" t="n">
        <v>97.436816634</v>
      </c>
      <c r="U1090" t="n">
        <v/>
      </c>
      <c r="V1090" t="n">
        <v>123.366353117</v>
      </c>
      <c r="W1090" t="n">
        <v>75.506292191</v>
      </c>
      <c r="X1090" t="n">
        <v>83.588318151</v>
      </c>
      <c r="Y1090" t="n">
        <v/>
      </c>
      <c r="Z1090" t="n">
        <v>59.551536515</v>
      </c>
      <c r="AA1090" t="n">
        <v>76.005396529</v>
      </c>
      <c r="AB1090" t="n">
        <v>86.276346604</v>
      </c>
      <c r="AC1090" t="n">
        <v>101.591534039</v>
      </c>
      <c r="AD1090" t="n">
        <v>93.50524539200001</v>
      </c>
      <c r="AE1090" t="n">
        <v>85.501</v>
      </c>
      <c r="AF1090" t="n">
        <v>105.408784065</v>
      </c>
      <c r="AG1090" t="n">
        <v>72.8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88.05233971299999</v>
      </c>
      <c r="AM1090" t="n">
        <v>76.5</v>
      </c>
      <c r="AN1090" t="n">
        <v>105.509789952</v>
      </c>
      <c r="AO1090" t="n">
        <v>78.90000000000001</v>
      </c>
      <c r="AP1090" t="n">
        <v>75.7</v>
      </c>
      <c r="AQ1090" t="n">
        <v>89.607467289</v>
      </c>
      <c r="AR1090" t="n">
        <v>95.692025665</v>
      </c>
      <c r="AS1090" t="n">
        <v>63.094742105</v>
      </c>
      <c r="AT1090" t="n">
        <v>86.626316886</v>
      </c>
      <c r="AU1090" t="n">
        <v/>
      </c>
    </row>
    <row r="1091">
      <c r="A1091" s="107" t="n">
        <v>40087</v>
      </c>
      <c r="B1091" t="n">
        <v>88.59678507</v>
      </c>
      <c r="C1091" t="n">
        <v>89.89250895799999</v>
      </c>
      <c r="D1091" t="n">
        <v>107.239196257</v>
      </c>
      <c r="E1091" t="n">
        <v>84.338490432</v>
      </c>
      <c r="F1091" t="n">
        <v/>
      </c>
      <c r="G1091" t="n">
        <v/>
      </c>
      <c r="H1091" t="n">
        <v>90.17348005700001</v>
      </c>
      <c r="I1091" t="n">
        <v>88.58940262</v>
      </c>
      <c r="J1091" t="n">
        <v>82.38626895500001</v>
      </c>
      <c r="K1091" t="n">
        <v>82.293142238</v>
      </c>
      <c r="L1091" t="n">
        <v>93.59999999999999</v>
      </c>
      <c r="M1091" t="n">
        <v>91.3</v>
      </c>
      <c r="N1091" t="n">
        <v>105.97208831</v>
      </c>
      <c r="O1091" t="n">
        <v>61.205100425</v>
      </c>
      <c r="P1091" t="n">
        <v/>
      </c>
      <c r="Q1091" t="n">
        <v>101.2</v>
      </c>
      <c r="R1091" t="n">
        <v>96.33</v>
      </c>
      <c r="S1091" t="n">
        <v>89.627089164</v>
      </c>
      <c r="T1091" t="n">
        <v>97.114178168</v>
      </c>
      <c r="U1091" t="n">
        <v/>
      </c>
      <c r="V1091" t="n">
        <v>120.569383168</v>
      </c>
      <c r="W1091" t="n">
        <v>77.506458872</v>
      </c>
      <c r="X1091" t="n">
        <v>81.635926396</v>
      </c>
      <c r="Y1091" t="n">
        <v/>
      </c>
      <c r="Z1091" t="n">
        <v>59.670401857</v>
      </c>
      <c r="AA1091" t="n">
        <v>75.880603341</v>
      </c>
      <c r="AB1091" t="n">
        <v>88.43091334899999</v>
      </c>
      <c r="AC1091" t="n">
        <v>103.291392384</v>
      </c>
      <c r="AD1091" t="n">
        <v>96.07125102800001</v>
      </c>
      <c r="AE1091" t="n">
        <v>84.503</v>
      </c>
      <c r="AF1091" t="n">
        <v>97.80815067899999</v>
      </c>
      <c r="AG1091" t="n">
        <v>74.09999999999999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88.390787926</v>
      </c>
      <c r="AM1091" t="n">
        <v>77.40000000000001</v>
      </c>
      <c r="AN1091" t="n">
        <v>105.890176082</v>
      </c>
      <c r="AO1091" t="n">
        <v>79.5</v>
      </c>
      <c r="AP1091" t="n">
        <v>74.59999999999999</v>
      </c>
      <c r="AQ1091" t="n">
        <v>86.807233936</v>
      </c>
      <c r="AR1091" t="n">
        <v>94.692108991</v>
      </c>
      <c r="AS1091" t="n">
        <v>64.29464211299999</v>
      </c>
      <c r="AT1091" t="n">
        <v>86.81204067900001</v>
      </c>
      <c r="AU1091" t="n">
        <v/>
      </c>
    </row>
    <row r="1092">
      <c r="A1092" s="107" t="n">
        <v>40118</v>
      </c>
      <c r="B1092" t="n">
        <v>89.10353503</v>
      </c>
      <c r="C1092" t="n">
        <v>91.592367303</v>
      </c>
      <c r="D1092" t="n">
        <v>108.780622075</v>
      </c>
      <c r="E1092" t="n">
        <v>85.646447595</v>
      </c>
      <c r="F1092" t="n">
        <v/>
      </c>
      <c r="G1092" t="n">
        <v/>
      </c>
      <c r="H1092" t="n">
        <v>88.241745158</v>
      </c>
      <c r="I1092" t="n">
        <v>89.096110354</v>
      </c>
      <c r="J1092" t="n">
        <v>81.08648558599999</v>
      </c>
      <c r="K1092" t="n">
        <v>83.29305891200001</v>
      </c>
      <c r="L1092" t="n">
        <v>95.2</v>
      </c>
      <c r="M1092" t="n">
        <v>91.5</v>
      </c>
      <c r="N1092" t="n">
        <v>105.536087947</v>
      </c>
      <c r="O1092" t="n">
        <v>63.105258772</v>
      </c>
      <c r="P1092" t="n">
        <v/>
      </c>
      <c r="Q1092" t="n">
        <v>101</v>
      </c>
      <c r="R1092" t="n">
        <v>97.26000000000001</v>
      </c>
      <c r="S1092" t="n">
        <v>90.44802033400001</v>
      </c>
      <c r="T1092" t="n">
        <v>97.114178168</v>
      </c>
      <c r="U1092" t="n">
        <v/>
      </c>
      <c r="V1092" t="n">
        <v>122.767002414</v>
      </c>
      <c r="W1092" t="n">
        <v>76.306358863</v>
      </c>
      <c r="X1092" t="n">
        <v>84.06257370199999</v>
      </c>
      <c r="Y1092" t="n">
        <v/>
      </c>
      <c r="Z1092" t="n">
        <v>56.817633641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85.121</v>
      </c>
      <c r="AF1092" t="n">
        <v>97.30810900900001</v>
      </c>
      <c r="AG1092" t="n">
        <v>77.40000000000001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89.140621329</v>
      </c>
      <c r="AM1092" t="n">
        <v>77.8</v>
      </c>
      <c r="AN1092" t="n">
        <v>102.85683666</v>
      </c>
      <c r="AO1092" t="n">
        <v>81</v>
      </c>
      <c r="AP1092" t="n">
        <v>76.8</v>
      </c>
      <c r="AQ1092" t="n">
        <v>89.907492291</v>
      </c>
      <c r="AR1092" t="n">
        <v>93.79218398499999</v>
      </c>
      <c r="AS1092" t="n">
        <v>66.994417132</v>
      </c>
      <c r="AT1092" t="n">
        <v>87.174564004</v>
      </c>
      <c r="AU1092" t="n">
        <v/>
      </c>
    </row>
    <row r="1093">
      <c r="A1093" s="107" t="n">
        <v>40148</v>
      </c>
      <c r="B1093" t="n">
        <v>89.44136835</v>
      </c>
      <c r="C1093" t="n">
        <v>90.392467294</v>
      </c>
      <c r="D1093" t="n">
        <v>109.110927608</v>
      </c>
      <c r="E1093" t="n">
        <v>85.14616535</v>
      </c>
      <c r="F1093" t="n">
        <v/>
      </c>
      <c r="G1093" t="n">
        <v/>
      </c>
      <c r="H1093" t="n">
        <v>87.599364029</v>
      </c>
      <c r="I1093" t="n">
        <v>89.433915524</v>
      </c>
      <c r="J1093" t="n">
        <v>82.68621896400001</v>
      </c>
      <c r="K1093" t="n">
        <v>83.29305891200001</v>
      </c>
      <c r="L1093" t="n">
        <v>89.8</v>
      </c>
      <c r="M1093" t="n">
        <v>91.5</v>
      </c>
      <c r="N1093" t="n">
        <v>104.950087458</v>
      </c>
      <c r="O1093" t="n">
        <v>63.105258772</v>
      </c>
      <c r="P1093" t="n">
        <v/>
      </c>
      <c r="Q1093" t="n">
        <v>102.9</v>
      </c>
      <c r="R1093" t="n">
        <v>96.93000000000001</v>
      </c>
      <c r="S1093" t="n">
        <v>90.59837738500001</v>
      </c>
      <c r="T1093" t="n">
        <v>96.683993547</v>
      </c>
      <c r="U1093" t="n">
        <v/>
      </c>
      <c r="V1093" t="n">
        <v>119.870140681</v>
      </c>
      <c r="W1093" t="n">
        <v>76.20635052900001</v>
      </c>
      <c r="X1093" t="n">
        <v>84.27238994699999</v>
      </c>
      <c r="Y1093" t="n">
        <v/>
      </c>
      <c r="Z1093" t="n">
        <v>57.887421722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86.11199999999999</v>
      </c>
      <c r="AF1093" t="n">
        <v>97.908159013</v>
      </c>
      <c r="AG1093" t="n">
        <v>76.8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89.163448561</v>
      </c>
      <c r="AM1093" t="n">
        <v>76.40000000000001</v>
      </c>
      <c r="AN1093" t="n">
        <v>105.547557037</v>
      </c>
      <c r="AO1093" t="n">
        <v>81.2</v>
      </c>
      <c r="AP1093" t="n">
        <v>81.3</v>
      </c>
      <c r="AQ1093" t="n">
        <v>87.707308942</v>
      </c>
      <c r="AR1093" t="n">
        <v>94.692108991</v>
      </c>
      <c r="AS1093" t="n">
        <v>64.194650446</v>
      </c>
      <c r="AT1093" t="n">
        <v>87.489292952</v>
      </c>
      <c r="AU1093" t="n">
        <v/>
      </c>
    </row>
    <row r="1094">
      <c r="A1094" s="107" t="n">
        <v>40179</v>
      </c>
      <c r="B1094" t="n">
        <v>87.97977476</v>
      </c>
      <c r="C1094" t="n">
        <v>93.59220065</v>
      </c>
      <c r="D1094" t="n">
        <v>110.872557115</v>
      </c>
      <c r="E1094" t="n">
        <v>86.08466273800001</v>
      </c>
      <c r="F1094" t="n">
        <v/>
      </c>
      <c r="G1094" t="n">
        <v/>
      </c>
      <c r="H1094" t="n">
        <v>87.14714427299999</v>
      </c>
      <c r="I1094" t="n">
        <v>87.972443723</v>
      </c>
      <c r="J1094" t="n">
        <v>81.986335611</v>
      </c>
      <c r="K1094" t="n">
        <v>84.092992251</v>
      </c>
      <c r="L1094" t="n">
        <v>95.3</v>
      </c>
      <c r="M1094" t="n">
        <v>93.09999999999999</v>
      </c>
      <c r="N1094" t="n">
        <v>104.05208671</v>
      </c>
      <c r="O1094" t="n">
        <v>67.80565047100001</v>
      </c>
      <c r="P1094" t="n">
        <v/>
      </c>
      <c r="Q1094" t="n">
        <v>102.4</v>
      </c>
      <c r="R1094" t="n">
        <v>97.93000000000001</v>
      </c>
      <c r="S1094" t="n">
        <v>91.898942039</v>
      </c>
      <c r="T1094" t="n">
        <v>96.79153970199999</v>
      </c>
      <c r="U1094" t="n">
        <v/>
      </c>
      <c r="V1094" t="n">
        <v>115.874469325</v>
      </c>
      <c r="W1094" t="n">
        <v>78.60655054599999</v>
      </c>
      <c r="X1094" t="n">
        <v>85.803337622</v>
      </c>
      <c r="Y1094" t="n">
        <v/>
      </c>
      <c r="Z1094" t="n">
        <v>63.29702323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87.024</v>
      </c>
      <c r="AF1094" t="n">
        <v>100.708392366</v>
      </c>
      <c r="AG1094" t="n">
        <v>79.90000000000001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90.281979068</v>
      </c>
      <c r="AM1094" t="n">
        <v>79.40000000000001</v>
      </c>
      <c r="AN1094" t="n">
        <v>103.169282856</v>
      </c>
      <c r="AO1094" t="n">
        <v>82.59999999999999</v>
      </c>
      <c r="AP1094" t="n">
        <v>80.5</v>
      </c>
      <c r="AQ1094" t="n">
        <v>86.107175598</v>
      </c>
      <c r="AR1094" t="n">
        <v>97.291892342</v>
      </c>
      <c r="AS1094" t="n">
        <v>63.594700442</v>
      </c>
      <c r="AT1094" t="n">
        <v>88.442999008</v>
      </c>
      <c r="AU1094" t="n">
        <v/>
      </c>
    </row>
    <row r="1095">
      <c r="A1095" s="107" t="n">
        <v>40210</v>
      </c>
      <c r="B1095" t="n">
        <v>89.17490232</v>
      </c>
      <c r="C1095" t="n">
        <v>95.09207566000001</v>
      </c>
      <c r="D1095" t="n">
        <v>110.652353427</v>
      </c>
      <c r="E1095" t="n">
        <v>87.21765488</v>
      </c>
      <c r="F1095" t="n">
        <v/>
      </c>
      <c r="G1095" t="n">
        <v/>
      </c>
      <c r="H1095" t="n">
        <v>88.70442687400001</v>
      </c>
      <c r="I1095" t="n">
        <v>89.167471697</v>
      </c>
      <c r="J1095" t="n">
        <v>81.88635227499999</v>
      </c>
      <c r="K1095" t="n">
        <v>83.29305891200001</v>
      </c>
      <c r="L1095" t="n">
        <v>96.40000000000001</v>
      </c>
      <c r="M1095" t="n">
        <v>92.59999999999999</v>
      </c>
      <c r="N1095" t="n">
        <v>104.063086719</v>
      </c>
      <c r="O1095" t="n">
        <v>68.405700475</v>
      </c>
      <c r="P1095" t="n">
        <v/>
      </c>
      <c r="Q1095" t="n">
        <v>102</v>
      </c>
      <c r="R1095" t="n">
        <v>97.3</v>
      </c>
      <c r="S1095" t="n">
        <v>91.970400156</v>
      </c>
      <c r="T1095" t="n">
        <v>97.114178168</v>
      </c>
      <c r="U1095" t="n">
        <v/>
      </c>
      <c r="V1095" t="n">
        <v>115.874469325</v>
      </c>
      <c r="W1095" t="n">
        <v>77.506458872</v>
      </c>
      <c r="X1095" t="n">
        <v>86.705397957</v>
      </c>
      <c r="Y1095" t="n">
        <v/>
      </c>
      <c r="Z1095" t="n">
        <v>63.612247449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88.74299999999999</v>
      </c>
      <c r="AF1095" t="n">
        <v>96.908075673</v>
      </c>
      <c r="AG1095" t="n">
        <v>79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90.51475617600001</v>
      </c>
      <c r="AM1095" t="n">
        <v>79.59999999999999</v>
      </c>
      <c r="AN1095" t="n">
        <v>102.865733986</v>
      </c>
      <c r="AO1095" t="n">
        <v>82.59999999999999</v>
      </c>
      <c r="AP1095" t="n">
        <v>77.40000000000001</v>
      </c>
      <c r="AQ1095" t="n">
        <v>89.007417285</v>
      </c>
      <c r="AR1095" t="n">
        <v>96.091992334</v>
      </c>
      <c r="AS1095" t="n">
        <v>65.094575452</v>
      </c>
      <c r="AT1095" t="n">
        <v>88.755645628</v>
      </c>
      <c r="AU1095" t="n">
        <v/>
      </c>
    </row>
    <row r="1096">
      <c r="A1096" s="107" t="n">
        <v>40238</v>
      </c>
      <c r="B1096" t="n">
        <v>89.63456677000001</v>
      </c>
      <c r="C1096" t="n">
        <v>94.892092326</v>
      </c>
      <c r="D1096" t="n">
        <v>113.074593999</v>
      </c>
      <c r="E1096" t="n">
        <v>88.335397778</v>
      </c>
      <c r="F1096" t="n">
        <v/>
      </c>
      <c r="G1096" t="n">
        <v/>
      </c>
      <c r="H1096" t="n">
        <v>82.171136847</v>
      </c>
      <c r="I1096" t="n">
        <v>89.62709784499999</v>
      </c>
      <c r="J1096" t="n">
        <v>84.785869022</v>
      </c>
      <c r="K1096" t="n">
        <v>86.092825598</v>
      </c>
      <c r="L1096" t="n">
        <v>98.2</v>
      </c>
      <c r="M1096" t="n">
        <v>94.3</v>
      </c>
      <c r="N1096" t="n">
        <v>106.340088617</v>
      </c>
      <c r="O1096" t="n">
        <v>69.805817151</v>
      </c>
      <c r="P1096" t="n">
        <v/>
      </c>
      <c r="Q1096" t="n">
        <v>103.2</v>
      </c>
      <c r="R1096" t="n">
        <v>99.23</v>
      </c>
      <c r="S1096" t="n">
        <v>92.990487583</v>
      </c>
      <c r="T1096" t="n">
        <v>98.727370497</v>
      </c>
      <c r="U1096" t="n">
        <v/>
      </c>
      <c r="V1096" t="n">
        <v>117.772413219</v>
      </c>
      <c r="W1096" t="n">
        <v>77.906492208</v>
      </c>
      <c r="X1096" t="n">
        <v>86.64749612999999</v>
      </c>
      <c r="Y1096" t="n">
        <v/>
      </c>
      <c r="Z1096" t="n">
        <v>65.566637609</v>
      </c>
      <c r="AA1096" t="n">
        <v>81.315882285</v>
      </c>
      <c r="AB1096" t="n">
        <v>91.990632319</v>
      </c>
      <c r="AC1096" t="n">
        <v>105.091242396</v>
      </c>
      <c r="AD1096" t="n">
        <v>101.716463429</v>
      </c>
      <c r="AE1096" t="n">
        <v>90.072</v>
      </c>
      <c r="AF1096" t="n">
        <v>100.408367364</v>
      </c>
      <c r="AG1096" t="n">
        <v>79.7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91.552784047</v>
      </c>
      <c r="AM1096" t="n">
        <v>81.90000000000001</v>
      </c>
      <c r="AN1096" t="n">
        <v>105.165533221</v>
      </c>
      <c r="AO1096" t="n">
        <v>83.5</v>
      </c>
      <c r="AP1096" t="n">
        <v>81.3</v>
      </c>
      <c r="AQ1096" t="n">
        <v>90.707558963</v>
      </c>
      <c r="AR1096" t="n">
        <v>98.791767353</v>
      </c>
      <c r="AS1096" t="n">
        <v>66.29447546</v>
      </c>
      <c r="AT1096" t="n">
        <v>89.38629342500001</v>
      </c>
      <c r="AU1096" t="n">
        <v/>
      </c>
    </row>
    <row r="1097">
      <c r="A1097" s="107" t="n">
        <v>40269</v>
      </c>
      <c r="B1097" t="n">
        <v>89.54263388</v>
      </c>
      <c r="C1097" t="n">
        <v>94.292142321</v>
      </c>
      <c r="D1097" t="n">
        <v>113.515001376</v>
      </c>
      <c r="E1097" t="n">
        <v>88.16203794099999</v>
      </c>
      <c r="F1097" t="n">
        <v/>
      </c>
      <c r="G1097" t="n">
        <v/>
      </c>
      <c r="H1097" t="n">
        <v>89.97770913399999</v>
      </c>
      <c r="I1097" t="n">
        <v>89.535172616</v>
      </c>
      <c r="J1097" t="n">
        <v>85.785702383</v>
      </c>
      <c r="K1097" t="n">
        <v>87.692692276</v>
      </c>
      <c r="L1097" t="n">
        <v>100</v>
      </c>
      <c r="M1097" t="n">
        <v>94.7</v>
      </c>
      <c r="N1097" t="n">
        <v>106.705088921</v>
      </c>
      <c r="O1097" t="n">
        <v>70.705892158</v>
      </c>
      <c r="P1097" t="n">
        <v/>
      </c>
      <c r="Q1097" t="n">
        <v>102.3</v>
      </c>
      <c r="R1097" t="n">
        <v>98.84</v>
      </c>
      <c r="S1097" t="n">
        <v>93.620517419</v>
      </c>
      <c r="T1097" t="n">
        <v>98.942462807</v>
      </c>
      <c r="U1097" t="n">
        <v/>
      </c>
      <c r="V1097" t="n">
        <v>114.276200782</v>
      </c>
      <c r="W1097" t="n">
        <v>79.40661721799999</v>
      </c>
      <c r="X1097" t="n">
        <v>88.029764508</v>
      </c>
      <c r="Y1097" t="n">
        <v/>
      </c>
      <c r="Z1097" t="n">
        <v>61.090453695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91.47799999999999</v>
      </c>
      <c r="AF1097" t="n">
        <v>102.808567381</v>
      </c>
      <c r="AG1097" t="n">
        <v>82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92.192763414</v>
      </c>
      <c r="AM1097" t="n">
        <v>80.59999999999999</v>
      </c>
      <c r="AN1097" t="n">
        <v>102.972062999</v>
      </c>
      <c r="AO1097" t="n">
        <v>82.59999999999999</v>
      </c>
      <c r="AP1097" t="n">
        <v>82.2</v>
      </c>
      <c r="AQ1097" t="n">
        <v>89.907492291</v>
      </c>
      <c r="AR1097" t="n">
        <v>100.39163403</v>
      </c>
      <c r="AS1097" t="n">
        <v>66.994417132</v>
      </c>
      <c r="AT1097" t="n">
        <v>89.712623913</v>
      </c>
      <c r="AU1097" t="n">
        <v/>
      </c>
    </row>
    <row r="1098">
      <c r="A1098" s="107" t="n">
        <v>40299</v>
      </c>
      <c r="B1098" t="n">
        <v>91.74902321</v>
      </c>
      <c r="C1098" t="n">
        <v>96.59195067100001</v>
      </c>
      <c r="D1098" t="n">
        <v>113.294797688</v>
      </c>
      <c r="E1098" t="n">
        <v>90.34722798200001</v>
      </c>
      <c r="F1098" t="n">
        <v/>
      </c>
      <c r="G1098" t="n">
        <v/>
      </c>
      <c r="H1098" t="n">
        <v>88.01368091000001</v>
      </c>
      <c r="I1098" t="n">
        <v>91.741378095</v>
      </c>
      <c r="J1098" t="n">
        <v>84.785869022</v>
      </c>
      <c r="K1098" t="n">
        <v>90.392467294</v>
      </c>
      <c r="L1098" t="n">
        <v>99.8</v>
      </c>
      <c r="M1098" t="n">
        <v>96.5</v>
      </c>
      <c r="N1098" t="n">
        <v>106.244088537</v>
      </c>
      <c r="O1098" t="n">
        <v>72.0060005</v>
      </c>
      <c r="P1098" t="n">
        <v/>
      </c>
      <c r="Q1098" t="n">
        <v>105.9</v>
      </c>
      <c r="R1098" t="n">
        <v>99.62</v>
      </c>
      <c r="S1098" t="n">
        <v>94.669717676</v>
      </c>
      <c r="T1098" t="n">
        <v>98.834916652</v>
      </c>
      <c r="U1098" t="n">
        <v/>
      </c>
      <c r="V1098" t="n">
        <v>116.174144677</v>
      </c>
      <c r="W1098" t="n">
        <v>83.50695891300001</v>
      </c>
      <c r="X1098" t="n">
        <v>85.583396601</v>
      </c>
      <c r="Y1098" t="n">
        <v/>
      </c>
      <c r="Z1098" t="n">
        <v>62.099171197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92.809</v>
      </c>
      <c r="AF1098" t="n">
        <v>102.30852571</v>
      </c>
      <c r="AG1098" t="n">
        <v>82.09999999999999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93.256817291</v>
      </c>
      <c r="AM1098" t="n">
        <v>83.7</v>
      </c>
      <c r="AN1098" t="n">
        <v>103.622861776</v>
      </c>
      <c r="AO1098" t="n">
        <v>82.8</v>
      </c>
      <c r="AP1098" t="n">
        <v>82</v>
      </c>
      <c r="AQ1098" t="n">
        <v>93.20776731399999</v>
      </c>
      <c r="AR1098" t="n">
        <v>102.69144238</v>
      </c>
      <c r="AS1098" t="n">
        <v>68.894258812</v>
      </c>
      <c r="AT1098" t="n">
        <v>90.94129637499999</v>
      </c>
      <c r="AU1098" t="n">
        <v/>
      </c>
    </row>
    <row r="1099">
      <c r="A1099" s="107" t="n">
        <v>40330</v>
      </c>
      <c r="B1099" t="n">
        <v>93.21994943999999</v>
      </c>
      <c r="C1099" t="n">
        <v>97.39188401</v>
      </c>
      <c r="D1099" t="n">
        <v>112.744288467</v>
      </c>
      <c r="E1099" t="n">
        <v>90.928304471</v>
      </c>
      <c r="F1099" t="n">
        <v/>
      </c>
      <c r="G1099" t="n">
        <v/>
      </c>
      <c r="H1099" t="n">
        <v>90.778238961</v>
      </c>
      <c r="I1099" t="n">
        <v>93.212181758</v>
      </c>
      <c r="J1099" t="n">
        <v>86.68555240800001</v>
      </c>
      <c r="K1099" t="n">
        <v>90.092492292</v>
      </c>
      <c r="L1099" t="n">
        <v>99.5</v>
      </c>
      <c r="M1099" t="n">
        <v>96.59999999999999</v>
      </c>
      <c r="N1099" t="n">
        <v>106.318088598</v>
      </c>
      <c r="O1099" t="n">
        <v>74.206183849</v>
      </c>
      <c r="P1099" t="n">
        <v/>
      </c>
      <c r="Q1099" t="n">
        <v>114.5</v>
      </c>
      <c r="R1099" t="n">
        <v>99.23</v>
      </c>
      <c r="S1099" t="n">
        <v>94.70944565000001</v>
      </c>
      <c r="T1099" t="n">
        <v>97.544362789</v>
      </c>
      <c r="U1099" t="n">
        <v/>
      </c>
      <c r="V1099" t="n">
        <v>116.274036461</v>
      </c>
      <c r="W1099" t="n">
        <v>83.406950579</v>
      </c>
      <c r="X1099" t="n">
        <v>85.473830863</v>
      </c>
      <c r="Y1099" t="n">
        <v/>
      </c>
      <c r="Z1099" t="n">
        <v>64.11660620000001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92.925</v>
      </c>
      <c r="AF1099" t="n">
        <v>104.408700725</v>
      </c>
      <c r="AG1099" t="n">
        <v>83.09999999999999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93.405888248</v>
      </c>
      <c r="AM1099" t="n">
        <v>85.5</v>
      </c>
      <c r="AN1099" t="n">
        <v>104.052776894</v>
      </c>
      <c r="AO1099" t="n">
        <v>82.8</v>
      </c>
      <c r="AP1099" t="n">
        <v>81.5</v>
      </c>
      <c r="AQ1099" t="n">
        <v>93.00775064600001</v>
      </c>
      <c r="AR1099" t="n">
        <v>104.791267394</v>
      </c>
      <c r="AS1099" t="n">
        <v>69.294225481</v>
      </c>
      <c r="AT1099" t="n">
        <v>91.155082011</v>
      </c>
      <c r="AU1099" t="n">
        <v/>
      </c>
    </row>
    <row r="1100">
      <c r="A1100" s="107" t="n">
        <v>40360</v>
      </c>
      <c r="B1100" t="n">
        <v>92.20868766</v>
      </c>
      <c r="C1100" t="n">
        <v>97.891842346</v>
      </c>
      <c r="D1100" t="n">
        <v>112.083677402</v>
      </c>
      <c r="E1100" t="n">
        <v>90.9582679</v>
      </c>
      <c r="F1100" t="n">
        <v/>
      </c>
      <c r="G1100" t="n">
        <v/>
      </c>
      <c r="H1100" t="n">
        <v>91.468483556</v>
      </c>
      <c r="I1100" t="n">
        <v>92.201004243</v>
      </c>
      <c r="J1100" t="n">
        <v>87.085485752</v>
      </c>
      <c r="K1100" t="n">
        <v>89.492542288</v>
      </c>
      <c r="L1100" t="n">
        <v>99.59999999999999</v>
      </c>
      <c r="M1100" t="n">
        <v>96.2</v>
      </c>
      <c r="N1100" t="n">
        <v>105.121087601</v>
      </c>
      <c r="O1100" t="n">
        <v>77.80648387399999</v>
      </c>
      <c r="P1100" t="n">
        <v/>
      </c>
      <c r="Q1100" t="n">
        <v>103.8</v>
      </c>
      <c r="R1100" t="n">
        <v>99.95</v>
      </c>
      <c r="S1100" t="n">
        <v>94.990877457</v>
      </c>
      <c r="T1100" t="n">
        <v>97.006632013</v>
      </c>
      <c r="U1100" t="n">
        <v/>
      </c>
      <c r="V1100" t="n">
        <v>109.281611587</v>
      </c>
      <c r="W1100" t="n">
        <v>83.006917243</v>
      </c>
      <c r="X1100" t="n">
        <v>88.688855502</v>
      </c>
      <c r="Y1100" t="n">
        <v/>
      </c>
      <c r="Z1100" t="n">
        <v>63.423112918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93.45399999999999</v>
      </c>
      <c r="AF1100" t="n">
        <v>98.008167347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93.44956374500001</v>
      </c>
      <c r="AM1100" t="n">
        <v>84.8</v>
      </c>
      <c r="AN1100" t="n">
        <v>102.730099016</v>
      </c>
      <c r="AO1100" t="n">
        <v>83</v>
      </c>
      <c r="AP1100" t="n">
        <v>82.8</v>
      </c>
      <c r="AQ1100" t="n">
        <v>92.10767564</v>
      </c>
      <c r="AR1100" t="n">
        <v>104.991250729</v>
      </c>
      <c r="AS1100" t="n">
        <v>69.79418381799999</v>
      </c>
      <c r="AT1100" t="n">
        <v>91.497178694</v>
      </c>
      <c r="AU1100" t="n">
        <v/>
      </c>
    </row>
    <row r="1101">
      <c r="A1101" s="107" t="n">
        <v>40391</v>
      </c>
      <c r="B1101" t="n">
        <v>93.58768099</v>
      </c>
      <c r="C1101" t="n">
        <v>95.992000667</v>
      </c>
      <c r="D1101" t="n">
        <v>111.753371869</v>
      </c>
      <c r="E1101" t="n">
        <v>90.982345655</v>
      </c>
      <c r="F1101" t="n">
        <v/>
      </c>
      <c r="G1101" t="n">
        <v/>
      </c>
      <c r="H1101" t="n">
        <v>93.018135841</v>
      </c>
      <c r="I1101" t="n">
        <v>93.579882666</v>
      </c>
      <c r="J1101" t="n">
        <v>89.085152475</v>
      </c>
      <c r="K1101" t="n">
        <v>90.992417299</v>
      </c>
      <c r="L1101" t="n">
        <v>93.5</v>
      </c>
      <c r="M1101" t="n">
        <v>97</v>
      </c>
      <c r="N1101" t="n">
        <v>104.223086853</v>
      </c>
      <c r="O1101" t="n">
        <v>77.106425535</v>
      </c>
      <c r="P1101" t="n">
        <v/>
      </c>
      <c r="Q1101" t="n">
        <v>107.3</v>
      </c>
      <c r="R1101" t="n">
        <v>98.8</v>
      </c>
      <c r="S1101" t="n">
        <v>95.61648201600001</v>
      </c>
      <c r="T1101" t="n">
        <v>97.221724323</v>
      </c>
      <c r="U1101" t="n">
        <v/>
      </c>
      <c r="V1101" t="n">
        <v>116.973278948</v>
      </c>
      <c r="W1101" t="n">
        <v>85.10709225799999</v>
      </c>
      <c r="X1101" t="n">
        <v>88.033060388</v>
      </c>
      <c r="Y1101" t="n">
        <v/>
      </c>
      <c r="Z1101" t="n">
        <v>58.88388416</v>
      </c>
      <c r="AA1101" t="n">
        <v>77.015397033</v>
      </c>
      <c r="AB1101" t="n">
        <v>90.960187354</v>
      </c>
      <c r="AC1101" t="n">
        <v>112.490625781</v>
      </c>
      <c r="AD1101" t="n">
        <v>103.666627712</v>
      </c>
      <c r="AE1101" t="n">
        <v>93.155</v>
      </c>
      <c r="AF1101" t="n">
        <v>97.508125677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93.93295000800001</v>
      </c>
      <c r="AM1101" t="n">
        <v>83.90000000000001</v>
      </c>
      <c r="AN1101" t="n">
        <v>103.216317364</v>
      </c>
      <c r="AO1101" t="n">
        <v>83.3</v>
      </c>
      <c r="AP1101" t="n">
        <v>83.09999999999999</v>
      </c>
      <c r="AQ1101" t="n">
        <v>95.10792566000001</v>
      </c>
      <c r="AR1101" t="n">
        <v>103.291392384</v>
      </c>
      <c r="AS1101" t="n">
        <v>71.494042163</v>
      </c>
      <c r="AT1101" t="n">
        <v>91.835606513</v>
      </c>
      <c r="AU1101" t="n">
        <v/>
      </c>
    </row>
    <row r="1102">
      <c r="A1102" s="107" t="n">
        <v>40422</v>
      </c>
      <c r="B1102" t="n">
        <v>93.77154677</v>
      </c>
      <c r="C1102" t="n">
        <v>97.69185901199999</v>
      </c>
      <c r="D1102" t="n">
        <v>111.973575557</v>
      </c>
      <c r="E1102" t="n">
        <v>90.54653828799999</v>
      </c>
      <c r="F1102" t="n">
        <v/>
      </c>
      <c r="G1102" t="n">
        <v/>
      </c>
      <c r="H1102" t="n">
        <v>90.20137676500001</v>
      </c>
      <c r="I1102" t="n">
        <v>93.76373312600001</v>
      </c>
      <c r="J1102" t="n">
        <v>90.784869188</v>
      </c>
      <c r="K1102" t="n">
        <v>92.392300642</v>
      </c>
      <c r="L1102" t="n">
        <v>102.4</v>
      </c>
      <c r="M1102" t="n">
        <v>97.2</v>
      </c>
      <c r="N1102" t="n">
        <v>104.867087389</v>
      </c>
      <c r="O1102" t="n">
        <v>79.906658888</v>
      </c>
      <c r="P1102" t="n">
        <v/>
      </c>
      <c r="Q1102" t="n">
        <v>108.3</v>
      </c>
      <c r="R1102" t="n">
        <v>100.1</v>
      </c>
      <c r="S1102" t="n">
        <v>95.94753975499999</v>
      </c>
      <c r="T1102" t="n">
        <v>97.329270479</v>
      </c>
      <c r="U1102" t="n">
        <v/>
      </c>
      <c r="V1102" t="n">
        <v>108.282693748</v>
      </c>
      <c r="W1102" t="n">
        <v>84.107008917</v>
      </c>
      <c r="X1102" t="n">
        <v>88.79896704399999</v>
      </c>
      <c r="Y1102" t="n">
        <v/>
      </c>
      <c r="Z1102" t="n">
        <v>64.494875263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93.468</v>
      </c>
      <c r="AF1102" t="n">
        <v>101.508459038</v>
      </c>
      <c r="AG1102" t="n">
        <v>87.5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94.28334780500001</v>
      </c>
      <c r="AM1102" t="n">
        <v>85.3</v>
      </c>
      <c r="AN1102" t="n">
        <v>103.430124082</v>
      </c>
      <c r="AO1102" t="n">
        <v>84</v>
      </c>
      <c r="AP1102" t="n">
        <v>83.09999999999999</v>
      </c>
      <c r="AQ1102" t="n">
        <v>94.207850654</v>
      </c>
      <c r="AR1102" t="n">
        <v>104.19131739</v>
      </c>
      <c r="AS1102" t="n">
        <v>71.594033831</v>
      </c>
      <c r="AT1102" t="n">
        <v>92.08528751199999</v>
      </c>
      <c r="AU1102" t="n">
        <v/>
      </c>
    </row>
    <row r="1103">
      <c r="A1103" s="107" t="n">
        <v>40452</v>
      </c>
      <c r="B1103" t="n">
        <v>94.23121122000001</v>
      </c>
      <c r="C1103" t="n">
        <v>100.39163403</v>
      </c>
      <c r="D1103" t="n">
        <v>111.753371869</v>
      </c>
      <c r="E1103" t="n">
        <v>91.310070655</v>
      </c>
      <c r="F1103" t="n">
        <v>94.2</v>
      </c>
      <c r="G1103" t="n">
        <v/>
      </c>
      <c r="H1103" t="n">
        <v>90.14571238800001</v>
      </c>
      <c r="I1103" t="n">
        <v>94.223359273</v>
      </c>
      <c r="J1103" t="n">
        <v>90.784869188</v>
      </c>
      <c r="K1103" t="n">
        <v>94.392133989</v>
      </c>
      <c r="L1103" t="n">
        <v>100.7</v>
      </c>
      <c r="M1103" t="n">
        <v>98</v>
      </c>
      <c r="N1103" t="n">
        <v>105.494087912</v>
      </c>
      <c r="O1103" t="n">
        <v>83.806983915</v>
      </c>
      <c r="P1103" t="n">
        <v/>
      </c>
      <c r="Q1103" t="n">
        <v>108.9</v>
      </c>
      <c r="R1103" t="n">
        <v>99.91</v>
      </c>
      <c r="S1103" t="n">
        <v>95.694496989</v>
      </c>
      <c r="T1103" t="n">
        <v>98.18963972</v>
      </c>
      <c r="U1103" t="n">
        <v/>
      </c>
      <c r="V1103" t="n">
        <v>115.574793973</v>
      </c>
      <c r="W1103" t="n">
        <v>85.007083924</v>
      </c>
      <c r="X1103" t="n">
        <v>91.138984463</v>
      </c>
      <c r="Y1103" t="n">
        <v/>
      </c>
      <c r="Z1103" t="n">
        <v>59.766511974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93.56999999999999</v>
      </c>
      <c r="AF1103" t="n">
        <v>102.908575715</v>
      </c>
      <c r="AG1103" t="n">
        <v>90.09999999999999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94.309080107</v>
      </c>
      <c r="AM1103" t="n">
        <v>85.5</v>
      </c>
      <c r="AN1103" t="n">
        <v>101.91117514</v>
      </c>
      <c r="AO1103" t="n">
        <v>85.7</v>
      </c>
      <c r="AP1103" t="n">
        <v>84.09999999999999</v>
      </c>
      <c r="AQ1103" t="n">
        <v>94.407867322</v>
      </c>
      <c r="AR1103" t="n">
        <v>104.19131739</v>
      </c>
      <c r="AS1103" t="n">
        <v>72.293975502</v>
      </c>
      <c r="AT1103" t="n">
        <v>91.834416612</v>
      </c>
      <c r="AU1103" t="n">
        <v/>
      </c>
    </row>
    <row r="1104">
      <c r="A1104" s="107" t="n">
        <v>40483</v>
      </c>
      <c r="B1104" t="n">
        <v>94.32314409999999</v>
      </c>
      <c r="C1104" t="n">
        <v>101.491542371</v>
      </c>
      <c r="D1104" t="n">
        <v>112.413982934</v>
      </c>
      <c r="E1104" t="n">
        <v>91.33816136900001</v>
      </c>
      <c r="F1104" t="n">
        <v>94.09999999999999</v>
      </c>
      <c r="G1104" t="n">
        <v/>
      </c>
      <c r="H1104" t="n">
        <v>91.070033431</v>
      </c>
      <c r="I1104" t="n">
        <v>94.31528449299999</v>
      </c>
      <c r="J1104" t="n">
        <v>90.284952508</v>
      </c>
      <c r="K1104" t="n">
        <v>93.89217565200001</v>
      </c>
      <c r="L1104" t="n">
        <v>99.40000000000001</v>
      </c>
      <c r="M1104" t="n">
        <v>98.90000000000001</v>
      </c>
      <c r="N1104" t="n">
        <v>108.003090003</v>
      </c>
      <c r="O1104" t="n">
        <v>84.107008917</v>
      </c>
      <c r="P1104" t="n">
        <v/>
      </c>
      <c r="Q1104" t="n">
        <v>109</v>
      </c>
      <c r="R1104" t="n">
        <v>101.22</v>
      </c>
      <c r="S1104" t="n">
        <v>96.00915837700001</v>
      </c>
      <c r="T1104" t="n">
        <v>97.221724323</v>
      </c>
      <c r="U1104" t="n">
        <v/>
      </c>
      <c r="V1104" t="n">
        <v>113.976525431</v>
      </c>
      <c r="W1104" t="n">
        <v>87.00725060400001</v>
      </c>
      <c r="X1104" t="n">
        <v>89.536689365</v>
      </c>
      <c r="Y1104" t="n">
        <v/>
      </c>
      <c r="Z1104" t="n">
        <v>65.75577214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94.14100000000001</v>
      </c>
      <c r="AF1104" t="n">
        <v>103.608634053</v>
      </c>
      <c r="AG1104" t="n">
        <v>88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94.799090674</v>
      </c>
      <c r="AM1104" t="n">
        <v>85.40000000000001</v>
      </c>
      <c r="AN1104" t="n">
        <v>104.191965134</v>
      </c>
      <c r="AO1104" t="n">
        <v>86.09999999999999</v>
      </c>
      <c r="AP1104" t="n">
        <v>85.09999999999999</v>
      </c>
      <c r="AQ1104" t="n">
        <v>95.207933994</v>
      </c>
      <c r="AR1104" t="n">
        <v>107.091075744</v>
      </c>
      <c r="AS1104" t="n">
        <v>74.593783851</v>
      </c>
      <c r="AT1104" t="n">
        <v>91.897283075</v>
      </c>
      <c r="AU1104" t="n">
        <v/>
      </c>
    </row>
    <row r="1105">
      <c r="A1105" s="107" t="n">
        <v>40513</v>
      </c>
      <c r="B1105" t="n">
        <v>93.95541255000001</v>
      </c>
      <c r="C1105" t="n">
        <v>98.791767353</v>
      </c>
      <c r="D1105" t="n">
        <v>112.964492155</v>
      </c>
      <c r="E1105" t="n">
        <v>93.066409124</v>
      </c>
      <c r="F1105" t="n">
        <v>95</v>
      </c>
      <c r="G1105" t="n">
        <v/>
      </c>
      <c r="H1105" t="n">
        <v>91.295651451</v>
      </c>
      <c r="I1105" t="n">
        <v>93.947583585</v>
      </c>
      <c r="J1105" t="n">
        <v>89.085152475</v>
      </c>
      <c r="K1105" t="n">
        <v>95.392050662</v>
      </c>
      <c r="L1105" t="n">
        <v>99.09999999999999</v>
      </c>
      <c r="M1105" t="n">
        <v>99.59999999999999</v>
      </c>
      <c r="N1105" t="n">
        <v>105.376087813</v>
      </c>
      <c r="O1105" t="n">
        <v>84.807067256</v>
      </c>
      <c r="P1105" t="n">
        <v/>
      </c>
      <c r="Q1105" t="n">
        <v>110.1</v>
      </c>
      <c r="R1105" t="n">
        <v>102.51</v>
      </c>
      <c r="S1105" t="n">
        <v>96.80547980599999</v>
      </c>
      <c r="T1105" t="n">
        <v>95.60853199500001</v>
      </c>
      <c r="U1105" t="n">
        <v/>
      </c>
      <c r="V1105" t="n">
        <v>114.076417215</v>
      </c>
      <c r="W1105" t="n">
        <v>81.406783899</v>
      </c>
      <c r="X1105" t="n">
        <v>91.17019205</v>
      </c>
      <c r="Y1105" t="n">
        <v/>
      </c>
      <c r="Z1105" t="n">
        <v>65.18836854600001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95.598</v>
      </c>
      <c r="AF1105" t="n">
        <v>100.508375698</v>
      </c>
      <c r="AG1105" t="n">
        <v>89.8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95.340046222</v>
      </c>
      <c r="AM1105" t="n">
        <v>83.40000000000001</v>
      </c>
      <c r="AN1105" t="n">
        <v>106.402722711</v>
      </c>
      <c r="AO1105" t="n">
        <v>86.09999999999999</v>
      </c>
      <c r="AP1105" t="n">
        <v>83.59999999999999</v>
      </c>
      <c r="AQ1105" t="n">
        <v>97.30810900900001</v>
      </c>
      <c r="AR1105" t="n">
        <v>105.991167403</v>
      </c>
      <c r="AS1105" t="n">
        <v>75.79368386</v>
      </c>
      <c r="AT1105" t="n">
        <v>92.786635291</v>
      </c>
      <c r="AU1105" t="n">
        <v/>
      </c>
    </row>
    <row r="1106">
      <c r="A1106" s="107" t="n">
        <v>40544</v>
      </c>
      <c r="B1106" t="n">
        <v>95.42633877</v>
      </c>
      <c r="C1106" t="n">
        <v>100.7916007</v>
      </c>
      <c r="D1106" t="n">
        <v>113.404899532</v>
      </c>
      <c r="E1106" t="n">
        <v>92.851582042</v>
      </c>
      <c r="F1106" t="n">
        <v>96.2</v>
      </c>
      <c r="G1106" t="n">
        <v/>
      </c>
      <c r="H1106" t="n">
        <v>94.392078958</v>
      </c>
      <c r="I1106" t="n">
        <v>95.41838723799999</v>
      </c>
      <c r="J1106" t="n">
        <v>92.184635894</v>
      </c>
      <c r="K1106" t="n">
        <v>95.19206732799999</v>
      </c>
      <c r="L1106" t="n">
        <v>100.3</v>
      </c>
      <c r="M1106" t="n">
        <v>99.09999999999999</v>
      </c>
      <c r="N1106" t="n">
        <v>105.860088217</v>
      </c>
      <c r="O1106" t="n">
        <v>88.90740895099999</v>
      </c>
      <c r="P1106" t="n">
        <v/>
      </c>
      <c r="Q1106" t="n">
        <v>111.7</v>
      </c>
      <c r="R1106" t="n">
        <v>103.74</v>
      </c>
      <c r="S1106" t="n">
        <v>96.639458096</v>
      </c>
      <c r="T1106" t="n">
        <v>93.780247356</v>
      </c>
      <c r="U1106" t="n">
        <v/>
      </c>
      <c r="V1106" t="n">
        <v>111.479230833</v>
      </c>
      <c r="W1106" t="n">
        <v>87.607300608</v>
      </c>
      <c r="X1106" t="n">
        <v>92.239473805</v>
      </c>
      <c r="Y1106" t="n">
        <v/>
      </c>
      <c r="Z1106" t="n">
        <v>62.603529948</v>
      </c>
      <c r="AA1106" t="n">
        <v>85.852824854</v>
      </c>
      <c r="AB1106" t="n">
        <v>96.48711943799999</v>
      </c>
      <c r="AC1106" t="n">
        <v>107.791017415</v>
      </c>
      <c r="AD1106" t="n">
        <v>104.795670192</v>
      </c>
      <c r="AE1106" t="n">
        <v>97.916</v>
      </c>
      <c r="AF1106" t="n">
        <v>105.708809067</v>
      </c>
      <c r="AG1106" t="n">
        <v>87.5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95.715209513</v>
      </c>
      <c r="AM1106" t="n">
        <v>85.90000000000001</v>
      </c>
      <c r="AN1106" t="n">
        <v>102.885008625</v>
      </c>
      <c r="AO1106" t="n">
        <v>87.3</v>
      </c>
      <c r="AP1106" t="n">
        <v>87.8</v>
      </c>
      <c r="AQ1106" t="n">
        <v>94.10784232</v>
      </c>
      <c r="AR1106" t="n">
        <v>106.291142405</v>
      </c>
      <c r="AS1106" t="n">
        <v>78.99341721499999</v>
      </c>
      <c r="AT1106" t="n">
        <v>92.593474613</v>
      </c>
      <c r="AU1106" t="n">
        <v/>
      </c>
    </row>
    <row r="1107">
      <c r="A1107" s="107" t="n">
        <v>40575</v>
      </c>
      <c r="B1107" t="n">
        <v>95.79407033</v>
      </c>
      <c r="C1107" t="n">
        <v>102.69144238</v>
      </c>
      <c r="D1107" t="n">
        <v>114.616019818</v>
      </c>
      <c r="E1107" t="n">
        <v>92.475701532</v>
      </c>
      <c r="F1107" t="n">
        <v>98.2</v>
      </c>
      <c r="G1107" t="n">
        <v/>
      </c>
      <c r="H1107" t="n">
        <v>89.77410959300001</v>
      </c>
      <c r="I1107" t="n">
        <v>95.78608815600001</v>
      </c>
      <c r="J1107" t="n">
        <v>90.98483586099999</v>
      </c>
      <c r="K1107" t="n">
        <v>96.291975669</v>
      </c>
      <c r="L1107" t="n">
        <v>97.90000000000001</v>
      </c>
      <c r="M1107" t="n">
        <v>100.1</v>
      </c>
      <c r="N1107" t="n">
        <v>106.268088557</v>
      </c>
      <c r="O1107" t="n">
        <v>88.707392283</v>
      </c>
      <c r="P1107" t="n">
        <v/>
      </c>
      <c r="Q1107" t="n">
        <v>109.2</v>
      </c>
      <c r="R1107" t="n">
        <v>104.09</v>
      </c>
      <c r="S1107" t="n">
        <v>96.667897287</v>
      </c>
      <c r="T1107" t="n">
        <v>90.661408855</v>
      </c>
      <c r="U1107" t="n">
        <v/>
      </c>
      <c r="V1107" t="n">
        <v>110.979771914</v>
      </c>
      <c r="W1107" t="n">
        <v>88.807400617</v>
      </c>
      <c r="X1107" t="n">
        <v>92.42697620200001</v>
      </c>
      <c r="Y1107" t="n">
        <v/>
      </c>
      <c r="Z1107" t="n">
        <v>63.044843855</v>
      </c>
      <c r="AA1107" t="n">
        <v>85.62895781</v>
      </c>
      <c r="AB1107" t="n">
        <v>93.86416861799999</v>
      </c>
      <c r="AC1107" t="n">
        <v>110.590784101</v>
      </c>
      <c r="AD1107" t="n">
        <v>105.206231094</v>
      </c>
      <c r="AE1107" t="n">
        <v>95.605</v>
      </c>
      <c r="AF1107" t="n">
        <v>107.208934078</v>
      </c>
      <c r="AG1107" t="n">
        <v>89.09999999999999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95.582387158</v>
      </c>
      <c r="AM1107" t="n">
        <v>88.09999999999999</v>
      </c>
      <c r="AN1107" t="n">
        <v>104.18523429</v>
      </c>
      <c r="AO1107" t="n">
        <v>87</v>
      </c>
      <c r="AP1107" t="n">
        <v>87.09999999999999</v>
      </c>
      <c r="AQ1107" t="n">
        <v>93.307775648</v>
      </c>
      <c r="AR1107" t="n">
        <v>107.791017415</v>
      </c>
      <c r="AS1107" t="n">
        <v>77.79351720699999</v>
      </c>
      <c r="AT1107" t="n">
        <v>92.22242366099999</v>
      </c>
      <c r="AU1107" t="n">
        <v/>
      </c>
    </row>
    <row r="1108">
      <c r="A1108" s="107" t="n">
        <v>40603</v>
      </c>
      <c r="B1108" t="n">
        <v>96.25373476999999</v>
      </c>
      <c r="C1108" t="n">
        <v>105.391217399</v>
      </c>
      <c r="D1108" t="n">
        <v>115.166529039</v>
      </c>
      <c r="E1108" t="n">
        <v>93.528166961</v>
      </c>
      <c r="F1108" t="n">
        <v>94.3</v>
      </c>
      <c r="G1108" t="n">
        <v/>
      </c>
      <c r="H1108" t="n">
        <v>92.82163279300001</v>
      </c>
      <c r="I1108" t="n">
        <v>96.245714294</v>
      </c>
      <c r="J1108" t="n">
        <v>90.584902516</v>
      </c>
      <c r="K1108" t="n">
        <v>96.891925673</v>
      </c>
      <c r="L1108" t="n">
        <v>100.3</v>
      </c>
      <c r="M1108" t="n">
        <v>100.2</v>
      </c>
      <c r="N1108" t="n">
        <v>105.424087853</v>
      </c>
      <c r="O1108" t="n">
        <v>90.407533961</v>
      </c>
      <c r="P1108" t="n">
        <v/>
      </c>
      <c r="Q1108" t="n">
        <v>108.3</v>
      </c>
      <c r="R1108" t="n">
        <v>102.79</v>
      </c>
      <c r="S1108" t="n">
        <v>94.139838676</v>
      </c>
      <c r="T1108" t="n">
        <v>90.446316544</v>
      </c>
      <c r="U1108" t="n">
        <v/>
      </c>
      <c r="V1108" t="n">
        <v>110.87988013</v>
      </c>
      <c r="W1108" t="n">
        <v>85.90715892999999</v>
      </c>
      <c r="X1108" t="n">
        <v>94.704831109</v>
      </c>
      <c r="Y1108" t="n">
        <v/>
      </c>
      <c r="Z1108" t="n">
        <v>62.47744026</v>
      </c>
      <c r="AA1108" t="n">
        <v>84.78339834099999</v>
      </c>
      <c r="AB1108" t="n">
        <v>95.644028103</v>
      </c>
      <c r="AC1108" t="n">
        <v>110.790767436</v>
      </c>
      <c r="AD1108" t="n">
        <v>88.57851457</v>
      </c>
      <c r="AE1108" t="n">
        <v>97.79600000000001</v>
      </c>
      <c r="AF1108" t="n">
        <v>106.108842404</v>
      </c>
      <c r="AG1108" t="n">
        <v>90.2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94.04880707</v>
      </c>
      <c r="AM1108" t="n">
        <v>87.2</v>
      </c>
      <c r="AN1108" t="n">
        <v>108.115444538</v>
      </c>
      <c r="AO1108" t="n">
        <v>86.7</v>
      </c>
      <c r="AP1108" t="n">
        <v>85.2</v>
      </c>
      <c r="AQ1108" t="n">
        <v>95.207933994</v>
      </c>
      <c r="AR1108" t="n">
        <v>106.291142405</v>
      </c>
      <c r="AS1108" t="n">
        <v>77.493542205</v>
      </c>
      <c r="AT1108" t="n">
        <v>93.187136305</v>
      </c>
      <c r="AU1108" t="n">
        <v/>
      </c>
    </row>
    <row r="1109">
      <c r="A1109" s="107" t="n">
        <v>40634</v>
      </c>
      <c r="B1109" t="n">
        <v>96.34566766</v>
      </c>
      <c r="C1109" t="n">
        <v>102.791434047</v>
      </c>
      <c r="D1109" t="n">
        <v>112.30388109</v>
      </c>
      <c r="E1109" t="n">
        <v>93.89147353200001</v>
      </c>
      <c r="F1109" t="n">
        <v>95.2</v>
      </c>
      <c r="G1109" t="n">
        <v/>
      </c>
      <c r="H1109" t="n">
        <v>92.54735894300001</v>
      </c>
      <c r="I1109" t="n">
        <v>96.33763952300001</v>
      </c>
      <c r="J1109" t="n">
        <v>90.98483586099999</v>
      </c>
      <c r="K1109" t="n">
        <v>97.491875677</v>
      </c>
      <c r="L1109" t="n">
        <v>100.8</v>
      </c>
      <c r="M1109" t="n">
        <v>99.8</v>
      </c>
      <c r="N1109" t="n">
        <v>104.922087435</v>
      </c>
      <c r="O1109" t="n">
        <v>90.50754229499999</v>
      </c>
      <c r="P1109" t="n">
        <v/>
      </c>
      <c r="Q1109" t="n">
        <v>109.3</v>
      </c>
      <c r="R1109" t="n">
        <v>101.05</v>
      </c>
      <c r="S1109" t="n">
        <v>94.36312919700001</v>
      </c>
      <c r="T1109" t="n">
        <v>90.338770389</v>
      </c>
      <c r="U1109" t="n">
        <v/>
      </c>
      <c r="V1109" t="n">
        <v>107.283775909</v>
      </c>
      <c r="W1109" t="n">
        <v>86.307192266</v>
      </c>
      <c r="X1109" t="n">
        <v>92.845655075</v>
      </c>
      <c r="Y1109" t="n">
        <v/>
      </c>
      <c r="Z1109" t="n">
        <v>63.423112918</v>
      </c>
      <c r="AA1109" t="n">
        <v>85.595485865</v>
      </c>
      <c r="AB1109" t="n">
        <v>95.925058548</v>
      </c>
      <c r="AC1109" t="n">
        <v>111.890675777</v>
      </c>
      <c r="AD1109" t="n">
        <v>90.22075817699999</v>
      </c>
      <c r="AE1109" t="n">
        <v>96.587</v>
      </c>
      <c r="AF1109" t="n">
        <v>105.608800733</v>
      </c>
      <c r="AG1109" t="n">
        <v>92.09999999999999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94.011700152</v>
      </c>
      <c r="AM1109" t="n">
        <v>88.09999999999999</v>
      </c>
      <c r="AN1109" t="n">
        <v>105.191416905</v>
      </c>
      <c r="AO1109" t="n">
        <v>87.7</v>
      </c>
      <c r="AP1109" t="n">
        <v>86.7</v>
      </c>
      <c r="AQ1109" t="n">
        <v>94.00783398599999</v>
      </c>
      <c r="AR1109" t="n">
        <v>105.791184068</v>
      </c>
      <c r="AS1109" t="n">
        <v>77.393550537</v>
      </c>
      <c r="AT1109" t="n">
        <v>92.864375522</v>
      </c>
      <c r="AU1109" t="n">
        <v/>
      </c>
    </row>
    <row r="1110">
      <c r="A1110" s="107" t="n">
        <v>40664</v>
      </c>
      <c r="B1110" t="n">
        <v>96.98919789</v>
      </c>
      <c r="C1110" t="n">
        <v>102.29147571</v>
      </c>
      <c r="D1110" t="n">
        <v>115.606936416</v>
      </c>
      <c r="E1110" t="n">
        <v>92.24723038899999</v>
      </c>
      <c r="F1110" t="n">
        <v>97.90000000000001</v>
      </c>
      <c r="G1110" t="n">
        <v/>
      </c>
      <c r="H1110" t="n">
        <v>92.29969390399999</v>
      </c>
      <c r="I1110" t="n">
        <v>96.98111613</v>
      </c>
      <c r="J1110" t="n">
        <v>92.884519247</v>
      </c>
      <c r="K1110" t="n">
        <v>98.691775685</v>
      </c>
      <c r="L1110" t="n">
        <v>105.7</v>
      </c>
      <c r="M1110" t="n">
        <v>100.4</v>
      </c>
      <c r="N1110" t="n">
        <v>104.063086719</v>
      </c>
      <c r="O1110" t="n">
        <v>90.50754229499999</v>
      </c>
      <c r="P1110" t="n">
        <v/>
      </c>
      <c r="Q1110" t="n">
        <v>110.2</v>
      </c>
      <c r="R1110" t="n">
        <v>104.36</v>
      </c>
      <c r="S1110" t="n">
        <v>95.716558518</v>
      </c>
      <c r="T1110" t="n">
        <v>91.736870407</v>
      </c>
      <c r="U1110" t="n">
        <v/>
      </c>
      <c r="V1110" t="n">
        <v>108.482477316</v>
      </c>
      <c r="W1110" t="n">
        <v>84.707058922</v>
      </c>
      <c r="X1110" t="n">
        <v>90.504117022</v>
      </c>
      <c r="Y1110" t="n">
        <v/>
      </c>
      <c r="Z1110" t="n">
        <v>63.423112918</v>
      </c>
      <c r="AA1110" t="n">
        <v>89.990011458</v>
      </c>
      <c r="AB1110" t="n">
        <v>95.45667447300001</v>
      </c>
      <c r="AC1110" t="n">
        <v>109.690859095</v>
      </c>
      <c r="AD1110" t="n">
        <v>96.173891254</v>
      </c>
      <c r="AE1110" t="n">
        <v>97.822</v>
      </c>
      <c r="AF1110" t="n">
        <v>105.608800733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95.08177315</v>
      </c>
      <c r="AM1110" t="n">
        <v>88.2</v>
      </c>
      <c r="AN1110" t="n">
        <v>103.518261748</v>
      </c>
      <c r="AO1110" t="n">
        <v>87.7</v>
      </c>
      <c r="AP1110" t="n">
        <v>85.40000000000001</v>
      </c>
      <c r="AQ1110" t="n">
        <v>96.308025669</v>
      </c>
      <c r="AR1110" t="n">
        <v>107.091075744</v>
      </c>
      <c r="AS1110" t="n">
        <v>78.193483876</v>
      </c>
      <c r="AT1110" t="n">
        <v>92.998536917</v>
      </c>
      <c r="AU1110" t="n">
        <v/>
      </c>
    </row>
    <row r="1111">
      <c r="A1111" s="107" t="n">
        <v>40695</v>
      </c>
      <c r="B1111" t="n">
        <v>96.897265</v>
      </c>
      <c r="C1111" t="n">
        <v>100.191650696</v>
      </c>
      <c r="D1111" t="n">
        <v>113.404899532</v>
      </c>
      <c r="E1111" t="n">
        <v>92.821083552</v>
      </c>
      <c r="F1111" t="n">
        <v>95</v>
      </c>
      <c r="G1111" t="n">
        <v/>
      </c>
      <c r="H1111" t="n">
        <v>91.694903321</v>
      </c>
      <c r="I1111" t="n">
        <v>96.88919090100001</v>
      </c>
      <c r="J1111" t="n">
        <v>92.184635894</v>
      </c>
      <c r="K1111" t="n">
        <v>97.091909008</v>
      </c>
      <c r="L1111" t="n">
        <v>102.1</v>
      </c>
      <c r="M1111" t="n">
        <v>99</v>
      </c>
      <c r="N1111" t="n">
        <v>104.452087043</v>
      </c>
      <c r="O1111" t="n">
        <v>91.90765897199999</v>
      </c>
      <c r="P1111" t="n">
        <v/>
      </c>
      <c r="Q1111" t="n">
        <v>107.2</v>
      </c>
      <c r="R1111" t="n">
        <v>101.53</v>
      </c>
      <c r="S1111" t="n">
        <v>96.197985496</v>
      </c>
      <c r="T1111" t="n">
        <v>92.274601183</v>
      </c>
      <c r="U1111" t="n">
        <v/>
      </c>
      <c r="V1111" t="n">
        <v>103.987347041</v>
      </c>
      <c r="W1111" t="n">
        <v>85.007083924</v>
      </c>
      <c r="X1111" t="n">
        <v>93.74711023</v>
      </c>
      <c r="Y1111" t="n">
        <v/>
      </c>
      <c r="Z1111" t="n">
        <v>62.162216041</v>
      </c>
      <c r="AA1111" t="n">
        <v>96.350996534</v>
      </c>
      <c r="AB1111" t="n">
        <v>94.14519906300001</v>
      </c>
      <c r="AC1111" t="n">
        <v>108.890925756</v>
      </c>
      <c r="AD1111" t="n">
        <v>100.074219821</v>
      </c>
      <c r="AE1111" t="n">
        <v>98.413</v>
      </c>
      <c r="AF1111" t="n">
        <v>100.8084007</v>
      </c>
      <c r="AG1111" t="n">
        <v>93.40000000000001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95.333209528</v>
      </c>
      <c r="AM1111" t="n">
        <v>87.7</v>
      </c>
      <c r="AN1111" t="n">
        <v>100.825742485</v>
      </c>
      <c r="AO1111" t="n">
        <v>88.2</v>
      </c>
      <c r="AP1111" t="n">
        <v>88.40000000000001</v>
      </c>
      <c r="AQ1111" t="n">
        <v>92.507708976</v>
      </c>
      <c r="AR1111" t="n">
        <v>103.491375719</v>
      </c>
      <c r="AS1111" t="n">
        <v>79.693358887</v>
      </c>
      <c r="AT1111" t="n">
        <v>93.246433064</v>
      </c>
      <c r="AU1111" t="n">
        <v/>
      </c>
    </row>
    <row r="1112">
      <c r="A1112" s="107" t="n">
        <v>40725</v>
      </c>
      <c r="B1112" t="n">
        <v>96.069869</v>
      </c>
      <c r="C1112" t="n">
        <v>101.091575702</v>
      </c>
      <c r="D1112" t="n">
        <v>113.404899532</v>
      </c>
      <c r="E1112" t="n">
        <v>94.466396817</v>
      </c>
      <c r="F1112" t="n">
        <v>97.2</v>
      </c>
      <c r="G1112" t="n">
        <v/>
      </c>
      <c r="H1112" t="n">
        <v>87.02998851700001</v>
      </c>
      <c r="I1112" t="n">
        <v>96.061863845</v>
      </c>
      <c r="J1112" t="n">
        <v>90.784869188</v>
      </c>
      <c r="K1112" t="n">
        <v>100.091659028</v>
      </c>
      <c r="L1112" t="n">
        <v>97.09999999999999</v>
      </c>
      <c r="M1112" t="n">
        <v>100</v>
      </c>
      <c r="N1112" t="n">
        <v>104.668087223</v>
      </c>
      <c r="O1112" t="n">
        <v>94.407867322</v>
      </c>
      <c r="P1112" t="n">
        <v/>
      </c>
      <c r="Q1112" t="n">
        <v>104.6</v>
      </c>
      <c r="R1112" t="n">
        <v>102.61</v>
      </c>
      <c r="S1112" t="n">
        <v>97.097832645</v>
      </c>
      <c r="T1112" t="n">
        <v>92.059508873</v>
      </c>
      <c r="U1112" t="n">
        <v/>
      </c>
      <c r="V1112" t="n">
        <v>110.87988013</v>
      </c>
      <c r="W1112" t="n">
        <v>86.107175598</v>
      </c>
      <c r="X1112" t="n">
        <v>92.089444521</v>
      </c>
      <c r="Y1112" t="n">
        <v/>
      </c>
      <c r="Z1112" t="n">
        <v>58.442570253</v>
      </c>
      <c r="AA1112" t="n">
        <v>94.36375154</v>
      </c>
      <c r="AB1112" t="n">
        <v>95.081967213</v>
      </c>
      <c r="AC1112" t="n">
        <v>108.490959087</v>
      </c>
      <c r="AD1112" t="n">
        <v>100.99798185</v>
      </c>
      <c r="AE1112" t="n">
        <v>98.47799999999999</v>
      </c>
      <c r="AF1112" t="n">
        <v>102.608550713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96.00988373200001</v>
      </c>
      <c r="AM1112" t="n">
        <v>88.2</v>
      </c>
      <c r="AN1112" t="n">
        <v>100.866739444</v>
      </c>
      <c r="AO1112" t="n">
        <v>88.5</v>
      </c>
      <c r="AP1112" t="n">
        <v>87.2</v>
      </c>
      <c r="AQ1112" t="n">
        <v>93.60780065</v>
      </c>
      <c r="AR1112" t="n">
        <v>105.991167403</v>
      </c>
      <c r="AS1112" t="n">
        <v>81.193233897</v>
      </c>
      <c r="AT1112" t="n">
        <v>93.719220595</v>
      </c>
      <c r="AU1112" t="n">
        <v/>
      </c>
    </row>
    <row r="1113">
      <c r="A1113" s="107" t="n">
        <v>40756</v>
      </c>
      <c r="B1113" t="n">
        <v>96.71339922</v>
      </c>
      <c r="C1113" t="n">
        <v>104.691275727</v>
      </c>
      <c r="D1113" t="n">
        <v>112.193779246</v>
      </c>
      <c r="E1113" t="n">
        <v>95.46535612300001</v>
      </c>
      <c r="F1113" t="n">
        <v>95.5</v>
      </c>
      <c r="G1113" t="n">
        <v/>
      </c>
      <c r="H1113" t="n">
        <v>91.992017707</v>
      </c>
      <c r="I1113" t="n">
        <v>96.70534044199999</v>
      </c>
      <c r="J1113" t="n">
        <v>91.48475254100001</v>
      </c>
      <c r="K1113" t="n">
        <v>99.29172569000001</v>
      </c>
      <c r="L1113" t="n">
        <v>99</v>
      </c>
      <c r="M1113" t="n">
        <v>100.1</v>
      </c>
      <c r="N1113" t="n">
        <v>104.566087138</v>
      </c>
      <c r="O1113" t="n">
        <v>94.30785898800001</v>
      </c>
      <c r="P1113" t="n">
        <v/>
      </c>
      <c r="Q1113" t="n">
        <v>107.1</v>
      </c>
      <c r="R1113" t="n">
        <v>101.78</v>
      </c>
      <c r="S1113" t="n">
        <v>97.497789521</v>
      </c>
      <c r="T1113" t="n">
        <v>91.736870407</v>
      </c>
      <c r="U1113" t="n">
        <v/>
      </c>
      <c r="V1113" t="n">
        <v>105.885290935</v>
      </c>
      <c r="W1113" t="n">
        <v>85.607133928</v>
      </c>
      <c r="X1113" t="n">
        <v>90.649553036</v>
      </c>
      <c r="Y1113" t="n">
        <v/>
      </c>
      <c r="Z1113" t="n">
        <v>63.990516512</v>
      </c>
      <c r="AA1113" t="n">
        <v>93.485661349</v>
      </c>
      <c r="AB1113" t="n">
        <v>91.709601874</v>
      </c>
      <c r="AC1113" t="n">
        <v>107.791017415</v>
      </c>
      <c r="AD1113" t="n">
        <v>102.537585232</v>
      </c>
      <c r="AE1113" t="n">
        <v>98.11</v>
      </c>
      <c r="AF1113" t="n">
        <v>103.508625719</v>
      </c>
      <c r="AG1113" t="n">
        <v>92.59999999999999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96.552987946</v>
      </c>
      <c r="AM1113" t="n">
        <v>90.40000000000001</v>
      </c>
      <c r="AN1113" t="n">
        <v>103.5599681</v>
      </c>
      <c r="AO1113" t="n">
        <v>88</v>
      </c>
      <c r="AP1113" t="n">
        <v>85.90000000000001</v>
      </c>
      <c r="AQ1113" t="n">
        <v>92.70772564400001</v>
      </c>
      <c r="AR1113" t="n">
        <v>103.391384051</v>
      </c>
      <c r="AS1113" t="n">
        <v>83.593033914</v>
      </c>
      <c r="AT1113" t="n">
        <v>94.325772886</v>
      </c>
      <c r="AU1113" t="n">
        <v/>
      </c>
    </row>
    <row r="1114">
      <c r="A1114" s="107" t="n">
        <v>40787</v>
      </c>
      <c r="B1114" t="n">
        <v>96.71339922</v>
      </c>
      <c r="C1114" t="n">
        <v>102.091492376</v>
      </c>
      <c r="D1114" t="n">
        <v>110.542251583</v>
      </c>
      <c r="E1114" t="n">
        <v>96.10769712299999</v>
      </c>
      <c r="F1114" t="n">
        <v>97.8</v>
      </c>
      <c r="G1114" t="n">
        <v/>
      </c>
      <c r="H1114" t="n">
        <v>93.889476351</v>
      </c>
      <c r="I1114" t="n">
        <v>96.70534044199999</v>
      </c>
      <c r="J1114" t="n">
        <v>91.284785869</v>
      </c>
      <c r="K1114" t="n">
        <v>97.79185067900001</v>
      </c>
      <c r="L1114" t="n">
        <v>98.7</v>
      </c>
      <c r="M1114" t="n">
        <v>99.09999999999999</v>
      </c>
      <c r="N1114" t="n">
        <v>103.156085963</v>
      </c>
      <c r="O1114" t="n">
        <v>89.807483957</v>
      </c>
      <c r="P1114" t="n">
        <v/>
      </c>
      <c r="Q1114" t="n">
        <v>107.2</v>
      </c>
      <c r="R1114" t="n">
        <v>101.05</v>
      </c>
      <c r="S1114" t="n">
        <v>97.135204598</v>
      </c>
      <c r="T1114" t="n">
        <v>91.951962717</v>
      </c>
      <c r="U1114" t="n">
        <v/>
      </c>
      <c r="V1114" t="n">
        <v>111.579122617</v>
      </c>
      <c r="W1114" t="n">
        <v>86.807233936</v>
      </c>
      <c r="X1114" t="n">
        <v>91.04016898</v>
      </c>
      <c r="Y1114" t="n">
        <v/>
      </c>
      <c r="Z1114" t="n">
        <v>65.692727297</v>
      </c>
      <c r="AA1114" t="n">
        <v>91.755065831</v>
      </c>
      <c r="AB1114" t="n">
        <v>94.051522248</v>
      </c>
      <c r="AC1114" t="n">
        <v>107.291059078</v>
      </c>
      <c r="AD1114" t="n">
        <v>101.921743879</v>
      </c>
      <c r="AE1114" t="n">
        <v>98.602</v>
      </c>
      <c r="AF1114" t="n">
        <v>99.608300692</v>
      </c>
      <c r="AG1114" t="n">
        <v>95.2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96.26222236</v>
      </c>
      <c r="AM1114" t="n">
        <v>91.2</v>
      </c>
      <c r="AN1114" t="n">
        <v>101.277027725</v>
      </c>
      <c r="AO1114" t="n">
        <v>88.09999999999999</v>
      </c>
      <c r="AP1114" t="n">
        <v>85.5</v>
      </c>
      <c r="AQ1114" t="n">
        <v>95.507958997</v>
      </c>
      <c r="AR1114" t="n">
        <v>105.391217399</v>
      </c>
      <c r="AS1114" t="n">
        <v>79.19340055000001</v>
      </c>
      <c r="AT1114" t="n">
        <v>94.273119745</v>
      </c>
      <c r="AU1114" t="n">
        <v/>
      </c>
    </row>
    <row r="1115">
      <c r="A1115" s="107" t="n">
        <v>40817</v>
      </c>
      <c r="B1115" t="n">
        <v>96.71339922</v>
      </c>
      <c r="C1115" t="n">
        <v>99.791684026</v>
      </c>
      <c r="D1115" t="n">
        <v>109.441233141</v>
      </c>
      <c r="E1115" t="n">
        <v>95.470974266</v>
      </c>
      <c r="F1115" t="n">
        <v>97</v>
      </c>
      <c r="G1115" t="n">
        <v/>
      </c>
      <c r="H1115" t="n">
        <v>93.682976557</v>
      </c>
      <c r="I1115" t="n">
        <v>96.70534044199999</v>
      </c>
      <c r="J1115" t="n">
        <v>91.884685886</v>
      </c>
      <c r="K1115" t="n">
        <v>98.89175901999999</v>
      </c>
      <c r="L1115" t="n">
        <v>98.7</v>
      </c>
      <c r="M1115" t="n">
        <v>98.8</v>
      </c>
      <c r="N1115" t="n">
        <v>101.660084717</v>
      </c>
      <c r="O1115" t="n">
        <v>90.00750062500001</v>
      </c>
      <c r="P1115" t="n">
        <v/>
      </c>
      <c r="Q1115" t="n">
        <v>106.9</v>
      </c>
      <c r="R1115" t="n">
        <v>101.26</v>
      </c>
      <c r="S1115" t="n">
        <v>97.82054142200001</v>
      </c>
      <c r="T1115" t="n">
        <v>92.489693493</v>
      </c>
      <c r="U1115" t="n">
        <v/>
      </c>
      <c r="V1115" t="n">
        <v>102.089403147</v>
      </c>
      <c r="W1115" t="n">
        <v>87.40728394</v>
      </c>
      <c r="X1115" t="n">
        <v>86.542741558</v>
      </c>
      <c r="Y1115" t="n">
        <v/>
      </c>
      <c r="Z1115" t="n">
        <v>64.620964951</v>
      </c>
      <c r="AA1115" t="n">
        <v>91.468855222</v>
      </c>
      <c r="AB1115" t="n">
        <v>93.770491803</v>
      </c>
      <c r="AC1115" t="n">
        <v>105.991167403</v>
      </c>
      <c r="AD1115" t="n">
        <v>103.563987487</v>
      </c>
      <c r="AE1115" t="n">
        <v>99.559</v>
      </c>
      <c r="AF1115" t="n">
        <v>97.608134011</v>
      </c>
      <c r="AG1115" t="n">
        <v>94.3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96.766225289</v>
      </c>
      <c r="AM1115" t="n">
        <v>90.7</v>
      </c>
      <c r="AN1115" t="n">
        <v>99.065296026</v>
      </c>
      <c r="AO1115" t="n">
        <v>88.8</v>
      </c>
      <c r="AP1115" t="n">
        <v>88.3</v>
      </c>
      <c r="AQ1115" t="n">
        <v>95.007917326</v>
      </c>
      <c r="AR1115" t="n">
        <v>105.291225731</v>
      </c>
      <c r="AS1115" t="n">
        <v>83.693025581</v>
      </c>
      <c r="AT1115" t="n">
        <v>94.92350007500001</v>
      </c>
      <c r="AU1115" t="n">
        <v/>
      </c>
    </row>
    <row r="1116">
      <c r="A1116" s="107" t="n">
        <v>40848</v>
      </c>
      <c r="B1116" t="n">
        <v>97.81659388999999</v>
      </c>
      <c r="C1116" t="n">
        <v>99.891675694</v>
      </c>
      <c r="D1116" t="n">
        <v>109.991742362</v>
      </c>
      <c r="E1116" t="n">
        <v>95.225648695</v>
      </c>
      <c r="F1116" t="n">
        <v>97.40000000000001</v>
      </c>
      <c r="G1116" t="n">
        <v/>
      </c>
      <c r="H1116" t="n">
        <v>93.649244795</v>
      </c>
      <c r="I1116" t="n">
        <v>97.80844318600001</v>
      </c>
      <c r="J1116" t="n">
        <v>94.484252625</v>
      </c>
      <c r="K1116" t="n">
        <v>98.191817349</v>
      </c>
      <c r="L1116" t="n">
        <v>98.90000000000001</v>
      </c>
      <c r="M1116" t="n">
        <v>99.09999999999999</v>
      </c>
      <c r="N1116" t="n">
        <v>101.116084263</v>
      </c>
      <c r="O1116" t="n">
        <v>91.407617301</v>
      </c>
      <c r="P1116" t="n">
        <v/>
      </c>
      <c r="Q1116" t="n">
        <v>109.6</v>
      </c>
      <c r="R1116" t="n">
        <v>103.29</v>
      </c>
      <c r="S1116" t="n">
        <v>97.446510218</v>
      </c>
      <c r="T1116" t="n">
        <v>91.736870407</v>
      </c>
      <c r="U1116" t="n">
        <v/>
      </c>
      <c r="V1116" t="n">
        <v>105.285940231</v>
      </c>
      <c r="W1116" t="n">
        <v>90.107508959</v>
      </c>
      <c r="X1116" t="n">
        <v>95.13274918</v>
      </c>
      <c r="Y1116" t="n">
        <v/>
      </c>
      <c r="Z1116" t="n">
        <v>62.036126353</v>
      </c>
      <c r="AA1116" t="n">
        <v>91.328986379</v>
      </c>
      <c r="AB1116" t="n">
        <v>92.084309133</v>
      </c>
      <c r="AC1116" t="n">
        <v>106.791100742</v>
      </c>
      <c r="AD1116" t="n">
        <v>101.511182978</v>
      </c>
      <c r="AE1116" t="n">
        <v>97.72</v>
      </c>
      <c r="AF1116" t="n">
        <v>102.808567381</v>
      </c>
      <c r="AG1116" t="n">
        <v>95.2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96.506081038</v>
      </c>
      <c r="AM1116" t="n">
        <v>92.09999999999999</v>
      </c>
      <c r="AN1116" t="n">
        <v>99.159020985</v>
      </c>
      <c r="AO1116" t="n">
        <v>89.09999999999999</v>
      </c>
      <c r="AP1116" t="n">
        <v>87.40000000000001</v>
      </c>
      <c r="AQ1116" t="n">
        <v>95.907992333</v>
      </c>
      <c r="AR1116" t="n">
        <v>101.791517374</v>
      </c>
      <c r="AS1116" t="n">
        <v>82.89309224199999</v>
      </c>
      <c r="AT1116" t="n">
        <v>94.939762063</v>
      </c>
      <c r="AU1116" t="n">
        <v/>
      </c>
    </row>
    <row r="1117">
      <c r="A1117" s="107" t="n">
        <v>40878</v>
      </c>
      <c r="B1117" t="n">
        <v>98.09239255</v>
      </c>
      <c r="C1117" t="n">
        <v>99.591700692</v>
      </c>
      <c r="D1117" t="n">
        <v>112.744288467</v>
      </c>
      <c r="E1117" t="n">
        <v>96.138730674</v>
      </c>
      <c r="F1117" t="n">
        <v>97.7</v>
      </c>
      <c r="G1117" t="n">
        <v/>
      </c>
      <c r="H1117" t="n">
        <v>96.620041786</v>
      </c>
      <c r="I1117" t="n">
        <v>98.084218865</v>
      </c>
      <c r="J1117" t="n">
        <v>93.284452591</v>
      </c>
      <c r="K1117" t="n">
        <v>96.791934005</v>
      </c>
      <c r="L1117" t="n">
        <v>97.59999999999999</v>
      </c>
      <c r="M1117" t="n">
        <v>98.5</v>
      </c>
      <c r="N1117" t="n">
        <v>102.296085247</v>
      </c>
      <c r="O1117" t="n">
        <v>89.807483957</v>
      </c>
      <c r="P1117" t="n">
        <v/>
      </c>
      <c r="Q1117" t="n">
        <v>111.3</v>
      </c>
      <c r="R1117" t="n">
        <v>101.25</v>
      </c>
      <c r="S1117" t="n">
        <v>97.834018505</v>
      </c>
      <c r="T1117" t="n">
        <v>91.629324252</v>
      </c>
      <c r="U1117" t="n">
        <v/>
      </c>
      <c r="V1117" t="n">
        <v>99.592108549</v>
      </c>
      <c r="W1117" t="n">
        <v>87.00725060400001</v>
      </c>
      <c r="X1117" t="n">
        <v>93.924166769</v>
      </c>
      <c r="Y1117" t="n">
        <v/>
      </c>
      <c r="Z1117" t="n">
        <v>62.099171197</v>
      </c>
      <c r="AA1117" t="n">
        <v>90.473201432</v>
      </c>
      <c r="AB1117" t="n">
        <v>93.208430913</v>
      </c>
      <c r="AC1117" t="n">
        <v>107.691025748</v>
      </c>
      <c r="AD1117" t="n">
        <v>103.563987487</v>
      </c>
      <c r="AE1117" t="n">
        <v>95.88800000000001</v>
      </c>
      <c r="AF1117" t="n">
        <v>95.307942329</v>
      </c>
      <c r="AG1117" t="n">
        <v>92.5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96.67187909</v>
      </c>
      <c r="AM1117" t="n">
        <v>94.09999999999999</v>
      </c>
      <c r="AN1117" t="n">
        <v>97.62126974900001</v>
      </c>
      <c r="AO1117" t="n">
        <v>89.7</v>
      </c>
      <c r="AP1117" t="n">
        <v>89.8</v>
      </c>
      <c r="AQ1117" t="n">
        <v>93.80781731800001</v>
      </c>
      <c r="AR1117" t="n">
        <v>101.491542371</v>
      </c>
      <c r="AS1117" t="n">
        <v>82.89309224199999</v>
      </c>
      <c r="AT1117" t="n">
        <v>95.405013551</v>
      </c>
      <c r="AU1117" t="n">
        <v/>
      </c>
    </row>
    <row r="1118">
      <c r="A1118" s="107" t="n">
        <v>40909</v>
      </c>
      <c r="B1118" t="n">
        <v>96.897265</v>
      </c>
      <c r="C1118" t="n">
        <v>100.591617365</v>
      </c>
      <c r="D1118" t="n">
        <v>108.009909166</v>
      </c>
      <c r="E1118" t="n">
        <v>96.14969942899999</v>
      </c>
      <c r="F1118" t="n">
        <v>98.3</v>
      </c>
      <c r="G1118" t="n">
        <v/>
      </c>
      <c r="H1118" t="n">
        <v>94.675031727</v>
      </c>
      <c r="I1118" t="n">
        <v>96.88919090100001</v>
      </c>
      <c r="J1118" t="n">
        <v>92.184635894</v>
      </c>
      <c r="K1118" t="n">
        <v>97.291892342</v>
      </c>
      <c r="L1118" t="n">
        <v>98.09999999999999</v>
      </c>
      <c r="M1118" t="n">
        <v>97.7</v>
      </c>
      <c r="N1118" t="n">
        <v>100.693083911</v>
      </c>
      <c r="O1118" t="n">
        <v>91.207600633</v>
      </c>
      <c r="P1118" t="n">
        <v/>
      </c>
      <c r="Q1118" t="n">
        <v>106.5</v>
      </c>
      <c r="R1118" t="n">
        <v>100.9</v>
      </c>
      <c r="S1118" t="n">
        <v>97.94714057500001</v>
      </c>
      <c r="T1118" t="n">
        <v>91.19913963099999</v>
      </c>
      <c r="U1118" t="n">
        <v/>
      </c>
      <c r="V1118" t="n">
        <v>103.687671689</v>
      </c>
      <c r="W1118" t="n">
        <v>86.007167264</v>
      </c>
      <c r="X1118" t="n">
        <v>92.952301014</v>
      </c>
      <c r="Y1118" t="n">
        <v/>
      </c>
      <c r="Z1118" t="n">
        <v>62.414395416</v>
      </c>
      <c r="AA1118" t="n">
        <v>94.24214014499999</v>
      </c>
      <c r="AB1118" t="n">
        <v>95.45667447300001</v>
      </c>
      <c r="AC1118" t="n">
        <v>103.591367386</v>
      </c>
      <c r="AD1118" t="n">
        <v>103.871908163</v>
      </c>
      <c r="AE1118" t="n">
        <v>97.93300000000001</v>
      </c>
      <c r="AF1118" t="n">
        <v>99.80831736</v>
      </c>
      <c r="AG1118" t="n">
        <v>96.40000000000001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96.804568922</v>
      </c>
      <c r="AM1118" t="n">
        <v>91</v>
      </c>
      <c r="AN1118" t="n">
        <v>97.042640961</v>
      </c>
      <c r="AO1118" t="n">
        <v>90.09999999999999</v>
      </c>
      <c r="AP1118" t="n">
        <v>89.8</v>
      </c>
      <c r="AQ1118" t="n">
        <v>94.407867322</v>
      </c>
      <c r="AR1118" t="n">
        <v>107.59103408</v>
      </c>
      <c r="AS1118" t="n">
        <v>81.99316723600001</v>
      </c>
      <c r="AT1118" t="n">
        <v>95.990445091</v>
      </c>
      <c r="AU1118" t="n">
        <v/>
      </c>
    </row>
    <row r="1119">
      <c r="A1119" s="107" t="n">
        <v>40940</v>
      </c>
      <c r="B1119" t="n">
        <v>95.79407033</v>
      </c>
      <c r="C1119" t="n">
        <v>102.491459045</v>
      </c>
      <c r="D1119" t="n">
        <v>108.89072392</v>
      </c>
      <c r="E1119" t="n">
        <v>94.06108793999999</v>
      </c>
      <c r="F1119" t="n">
        <v>97.5</v>
      </c>
      <c r="G1119" t="n">
        <v/>
      </c>
      <c r="H1119" t="n">
        <v>93.572459944</v>
      </c>
      <c r="I1119" t="n">
        <v>95.78608815600001</v>
      </c>
      <c r="J1119" t="n">
        <v>93.284452591</v>
      </c>
      <c r="K1119" t="n">
        <v>97.191900675</v>
      </c>
      <c r="L1119" t="n">
        <v>100.5</v>
      </c>
      <c r="M1119" t="n">
        <v>98.40000000000001</v>
      </c>
      <c r="N1119" t="n">
        <v>99.474082895</v>
      </c>
      <c r="O1119" t="n">
        <v>90.407533961</v>
      </c>
      <c r="P1119" t="n">
        <v/>
      </c>
      <c r="Q1119" t="n">
        <v>106.5</v>
      </c>
      <c r="R1119" t="n">
        <v>101.82</v>
      </c>
      <c r="S1119" t="n">
        <v>97.983363666</v>
      </c>
      <c r="T1119" t="n">
        <v>91.091593476</v>
      </c>
      <c r="U1119" t="n">
        <v/>
      </c>
      <c r="V1119" t="n">
        <v>102.18929493</v>
      </c>
      <c r="W1119" t="n">
        <v>86.607217268</v>
      </c>
      <c r="X1119" t="n">
        <v>93.06203981100001</v>
      </c>
      <c r="Y1119" t="n">
        <v/>
      </c>
      <c r="Z1119" t="n">
        <v>62.351350572</v>
      </c>
      <c r="AA1119" t="n">
        <v>98.195393063</v>
      </c>
      <c r="AB1119" t="n">
        <v>91.428571429</v>
      </c>
      <c r="AC1119" t="n">
        <v>103.891342388</v>
      </c>
      <c r="AD1119" t="n">
        <v>103.666627712</v>
      </c>
      <c r="AE1119" t="n">
        <v>101.075</v>
      </c>
      <c r="AF1119" t="n">
        <v>96.008000667</v>
      </c>
      <c r="AG1119" t="n">
        <v>97.59999999999999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96.89523750799999</v>
      </c>
      <c r="AM1119" t="n">
        <v>88.7</v>
      </c>
      <c r="AN1119" t="n">
        <v>97.237890654</v>
      </c>
      <c r="AO1119" t="n">
        <v>90.8</v>
      </c>
      <c r="AP1119" t="n">
        <v>89.90000000000001</v>
      </c>
      <c r="AQ1119" t="n">
        <v>95.207933994</v>
      </c>
      <c r="AR1119" t="n">
        <v>101.691525706</v>
      </c>
      <c r="AS1119" t="n">
        <v>80.893258895</v>
      </c>
      <c r="AT1119" t="n">
        <v>96.28613561500001</v>
      </c>
      <c r="AU1119" t="n">
        <v/>
      </c>
    </row>
    <row r="1120">
      <c r="A1120" s="107" t="n">
        <v>40969</v>
      </c>
      <c r="B1120" t="n">
        <v>97.63272811</v>
      </c>
      <c r="C1120" t="n">
        <v>103.091409049</v>
      </c>
      <c r="D1120" t="n">
        <v>108.230112854</v>
      </c>
      <c r="E1120" t="n">
        <v>94.225886797</v>
      </c>
      <c r="F1120" t="n">
        <v>96.59999999999999</v>
      </c>
      <c r="G1120" t="n">
        <v/>
      </c>
      <c r="H1120" t="n">
        <v>95.402762053</v>
      </c>
      <c r="I1120" t="n">
        <v>97.62459272700001</v>
      </c>
      <c r="J1120" t="n">
        <v>92.384602566</v>
      </c>
      <c r="K1120" t="n">
        <v>98.391800683</v>
      </c>
      <c r="L1120" t="n">
        <v>98.40000000000001</v>
      </c>
      <c r="M1120" t="n">
        <v>98.2</v>
      </c>
      <c r="N1120" t="n">
        <v>97.92208160200001</v>
      </c>
      <c r="O1120" t="n">
        <v>89.507458955</v>
      </c>
      <c r="P1120" t="n">
        <v/>
      </c>
      <c r="Q1120" t="n">
        <v>107</v>
      </c>
      <c r="R1120" t="n">
        <v>100.63</v>
      </c>
      <c r="S1120" t="n">
        <v>97.82665029</v>
      </c>
      <c r="T1120" t="n">
        <v>90.55386269900001</v>
      </c>
      <c r="U1120" t="n">
        <v/>
      </c>
      <c r="V1120" t="n">
        <v>101.789727795</v>
      </c>
      <c r="W1120" t="n">
        <v>86.20718393200001</v>
      </c>
      <c r="X1120" t="n">
        <v>92.267273214</v>
      </c>
      <c r="Y1120" t="n">
        <v/>
      </c>
      <c r="Z1120" t="n">
        <v>63.107888699</v>
      </c>
      <c r="AA1120" t="n">
        <v>99.93846533599999</v>
      </c>
      <c r="AB1120" t="n">
        <v>96.955503513</v>
      </c>
      <c r="AC1120" t="n">
        <v>104.291309058</v>
      </c>
      <c r="AD1120" t="n">
        <v>103.461347261</v>
      </c>
      <c r="AE1120" t="n">
        <v>98.566</v>
      </c>
      <c r="AF1120" t="n">
        <v>98.408200683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96.73543726600001</v>
      </c>
      <c r="AM1120" t="n">
        <v>90.2</v>
      </c>
      <c r="AN1120" t="n">
        <v>97.510168255</v>
      </c>
      <c r="AO1120" t="n">
        <v>90.09999999999999</v>
      </c>
      <c r="AP1120" t="n">
        <v>90.59999999999999</v>
      </c>
      <c r="AQ1120" t="n">
        <v>94.60788399</v>
      </c>
      <c r="AR1120" t="n">
        <v>102.491459045</v>
      </c>
      <c r="AS1120" t="n">
        <v>82.693108908</v>
      </c>
      <c r="AT1120" t="n">
        <v>95.784393814</v>
      </c>
      <c r="AU1120" t="n">
        <v/>
      </c>
    </row>
    <row r="1121">
      <c r="A1121" s="107" t="n">
        <v>41000</v>
      </c>
      <c r="B1121" t="n">
        <v>97.90852678</v>
      </c>
      <c r="C1121" t="n">
        <v>99.09174235499999</v>
      </c>
      <c r="D1121" t="n">
        <v>108.340214699</v>
      </c>
      <c r="E1121" t="n">
        <v>95.07208612300001</v>
      </c>
      <c r="F1121" t="n">
        <v>99.40000000000001</v>
      </c>
      <c r="G1121" t="n">
        <v/>
      </c>
      <c r="H1121" t="n">
        <v>96.67658707</v>
      </c>
      <c r="I1121" t="n">
        <v>97.90036841600001</v>
      </c>
      <c r="J1121" t="n">
        <v>92.28461923</v>
      </c>
      <c r="K1121" t="n">
        <v>96.59195067100001</v>
      </c>
      <c r="L1121" t="n">
        <v>97</v>
      </c>
      <c r="M1121" t="n">
        <v>97.40000000000001</v>
      </c>
      <c r="N1121" t="n">
        <v>97.144080953</v>
      </c>
      <c r="O1121" t="n">
        <v>90.707558963</v>
      </c>
      <c r="P1121" t="n">
        <v/>
      </c>
      <c r="Q1121" t="n">
        <v>107.8</v>
      </c>
      <c r="R1121" t="n">
        <v>100.95</v>
      </c>
      <c r="S1121" t="n">
        <v>97.829762622</v>
      </c>
      <c r="T1121" t="n">
        <v>91.52177809600001</v>
      </c>
      <c r="U1121" t="n">
        <v/>
      </c>
      <c r="V1121" t="n">
        <v>102.68875385</v>
      </c>
      <c r="W1121" t="n">
        <v>84.107008917</v>
      </c>
      <c r="X1121" t="n">
        <v>90.605337193</v>
      </c>
      <c r="Y1121" t="n">
        <v/>
      </c>
      <c r="Z1121" t="n">
        <v>61.090453695</v>
      </c>
      <c r="AA1121" t="n">
        <v>104.27169029</v>
      </c>
      <c r="AB1121" t="n">
        <v>100.234192037</v>
      </c>
      <c r="AC1121" t="n">
        <v>102.791434047</v>
      </c>
      <c r="AD1121" t="n">
        <v>102.948146134</v>
      </c>
      <c r="AE1121" t="n">
        <v>99.95999999999999</v>
      </c>
      <c r="AF1121" t="n">
        <v>98.008167347</v>
      </c>
      <c r="AG1121" t="n">
        <v>96.40000000000001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96.875787589</v>
      </c>
      <c r="AM1121" t="n">
        <v>90.40000000000001</v>
      </c>
      <c r="AN1121" t="n">
        <v>92.759628123</v>
      </c>
      <c r="AO1121" t="n">
        <v>90.2</v>
      </c>
      <c r="AP1121" t="n">
        <v>91.40000000000001</v>
      </c>
      <c r="AQ1121" t="n">
        <v>96.20801733499999</v>
      </c>
      <c r="AR1121" t="n">
        <v>102.69144238</v>
      </c>
      <c r="AS1121" t="n">
        <v>83.693025581</v>
      </c>
      <c r="AT1121" t="n">
        <v>96.481775254</v>
      </c>
      <c r="AU1121" t="n">
        <v/>
      </c>
    </row>
    <row r="1122">
      <c r="A1122" s="107" t="n">
        <v>41030</v>
      </c>
      <c r="B1122" t="n">
        <v>99.379453</v>
      </c>
      <c r="C1122" t="n">
        <v>100.591617365</v>
      </c>
      <c r="D1122" t="n">
        <v>108.89072392</v>
      </c>
      <c r="E1122" t="n">
        <v>95.01804494</v>
      </c>
      <c r="F1122" t="n">
        <v>97.3</v>
      </c>
      <c r="G1122" t="n">
        <v/>
      </c>
      <c r="H1122" t="n">
        <v>96.121528322</v>
      </c>
      <c r="I1122" t="n">
        <v>99.371172069</v>
      </c>
      <c r="J1122" t="n">
        <v>92.48458590200001</v>
      </c>
      <c r="K1122" t="n">
        <v>98.491792351</v>
      </c>
      <c r="L1122" t="n">
        <v>100</v>
      </c>
      <c r="M1122" t="n">
        <v>98.3</v>
      </c>
      <c r="N1122" t="n">
        <v>97.621081351</v>
      </c>
      <c r="O1122" t="n">
        <v>91.30760896699999</v>
      </c>
      <c r="P1122" t="n">
        <v/>
      </c>
      <c r="Q1122" t="n">
        <v>107</v>
      </c>
      <c r="R1122" t="n">
        <v>99.7</v>
      </c>
      <c r="S1122" t="n">
        <v>97.990374484</v>
      </c>
      <c r="T1122" t="n">
        <v>93.02742427</v>
      </c>
      <c r="U1122" t="n">
        <v/>
      </c>
      <c r="V1122" t="n">
        <v>105.385832015</v>
      </c>
      <c r="W1122" t="n">
        <v>87.107258938</v>
      </c>
      <c r="X1122" t="n">
        <v>92.74928451300001</v>
      </c>
      <c r="Y1122" t="n">
        <v/>
      </c>
      <c r="Z1122" t="n">
        <v>63.738337137</v>
      </c>
      <c r="AA1122" t="n">
        <v>97.548970325</v>
      </c>
      <c r="AB1122" t="n">
        <v>99.39110070300001</v>
      </c>
      <c r="AC1122" t="n">
        <v>104.291309058</v>
      </c>
      <c r="AD1122" t="n">
        <v>101.100622076</v>
      </c>
      <c r="AE1122" t="n">
        <v>101.181</v>
      </c>
      <c r="AF1122" t="n">
        <v>96.908075673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97.19852088899999</v>
      </c>
      <c r="AM1122" t="n">
        <v>91.90000000000001</v>
      </c>
      <c r="AN1122" t="n">
        <v>96.506164512</v>
      </c>
      <c r="AO1122" t="n">
        <v>90.8</v>
      </c>
      <c r="AP1122" t="n">
        <v>90.90000000000001</v>
      </c>
      <c r="AQ1122" t="n">
        <v>93.307775648</v>
      </c>
      <c r="AR1122" t="n">
        <v>106.791100742</v>
      </c>
      <c r="AS1122" t="n">
        <v>83.993000583</v>
      </c>
      <c r="AT1122" t="n">
        <v>96.684058509</v>
      </c>
      <c r="AU1122" t="n">
        <v/>
      </c>
    </row>
    <row r="1123">
      <c r="A1123" s="107" t="n">
        <v>41061</v>
      </c>
      <c r="B1123" t="n">
        <v>98.73592278</v>
      </c>
      <c r="C1123" t="n">
        <v>99.691692359</v>
      </c>
      <c r="D1123" t="n">
        <v>109.110927608</v>
      </c>
      <c r="E1123" t="n">
        <v>94.47174742999999</v>
      </c>
      <c r="F1123" t="n">
        <v>98.7</v>
      </c>
      <c r="G1123" t="n">
        <v/>
      </c>
      <c r="H1123" t="n">
        <v>95.22024016</v>
      </c>
      <c r="I1123" t="n">
        <v>98.72769547199999</v>
      </c>
      <c r="J1123" t="n">
        <v>92.28461923</v>
      </c>
      <c r="K1123" t="n">
        <v>97.291892342</v>
      </c>
      <c r="L1123" t="n">
        <v>98.5</v>
      </c>
      <c r="M1123" t="n">
        <v>97.40000000000001</v>
      </c>
      <c r="N1123" t="n">
        <v>97.690081408</v>
      </c>
      <c r="O1123" t="n">
        <v>92.007667306</v>
      </c>
      <c r="P1123" t="n">
        <v/>
      </c>
      <c r="Q1123" t="n">
        <v>108.3</v>
      </c>
      <c r="R1123" t="n">
        <v>98.79000000000001</v>
      </c>
      <c r="S1123" t="n">
        <v>97.397893407</v>
      </c>
      <c r="T1123" t="n">
        <v>91.629324252</v>
      </c>
      <c r="U1123" t="n">
        <v/>
      </c>
      <c r="V1123" t="n">
        <v>103.787563473</v>
      </c>
      <c r="W1123" t="n">
        <v>84.60705058800001</v>
      </c>
      <c r="X1123" t="n">
        <v>91.551379048</v>
      </c>
      <c r="Y1123" t="n">
        <v/>
      </c>
      <c r="Z1123" t="n">
        <v>62.666574792</v>
      </c>
      <c r="AA1123" t="n">
        <v>93.30494420300001</v>
      </c>
      <c r="AB1123" t="n">
        <v>96.955503513</v>
      </c>
      <c r="AC1123" t="n">
        <v>102.191484043</v>
      </c>
      <c r="AD1123" t="n">
        <v>100.382140498</v>
      </c>
      <c r="AE1123" t="n">
        <v>99.188</v>
      </c>
      <c r="AF1123" t="n">
        <v>101.108425702</v>
      </c>
      <c r="AG1123" t="n">
        <v>98.2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96.656743128</v>
      </c>
      <c r="AM1123" t="n">
        <v>90.7</v>
      </c>
      <c r="AN1123" t="n">
        <v>96.437127957</v>
      </c>
      <c r="AO1123" t="n">
        <v>90.90000000000001</v>
      </c>
      <c r="AP1123" t="n">
        <v>88.59999999999999</v>
      </c>
      <c r="AQ1123" t="n">
        <v>95.207933994</v>
      </c>
      <c r="AR1123" t="n">
        <v>104.391300725</v>
      </c>
      <c r="AS1123" t="n">
        <v>83.393050579</v>
      </c>
      <c r="AT1123" t="n">
        <v>96.66987885</v>
      </c>
      <c r="AU1123" t="n">
        <v/>
      </c>
    </row>
    <row r="1124">
      <c r="A1124" s="107" t="n">
        <v>41091</v>
      </c>
      <c r="B1124" t="n">
        <v>99.379453</v>
      </c>
      <c r="C1124" t="n">
        <v>99.791684026</v>
      </c>
      <c r="D1124" t="n">
        <v>110.542251583</v>
      </c>
      <c r="E1124" t="n">
        <v>94.114861593</v>
      </c>
      <c r="F1124" t="n">
        <v>97.59999999999999</v>
      </c>
      <c r="G1124" t="n">
        <v/>
      </c>
      <c r="H1124" t="n">
        <v>92.75077964</v>
      </c>
      <c r="I1124" t="n">
        <v>99.371172069</v>
      </c>
      <c r="J1124" t="n">
        <v>92.384602566</v>
      </c>
      <c r="K1124" t="n">
        <v>98.391800683</v>
      </c>
      <c r="L1124" t="n">
        <v>101.6</v>
      </c>
      <c r="M1124" t="n">
        <v>97.7</v>
      </c>
      <c r="N1124" t="n">
        <v>96.954080795</v>
      </c>
      <c r="O1124" t="n">
        <v>90.207517293</v>
      </c>
      <c r="P1124" t="n">
        <v/>
      </c>
      <c r="Q1124" t="n">
        <v>107.4</v>
      </c>
      <c r="R1124" t="n">
        <v>99.54000000000001</v>
      </c>
      <c r="S1124" t="n">
        <v>97.838048887</v>
      </c>
      <c r="T1124" t="n">
        <v>94.533070443</v>
      </c>
      <c r="U1124" t="n">
        <v/>
      </c>
      <c r="V1124" t="n">
        <v>106.484641638</v>
      </c>
      <c r="W1124" t="n">
        <v>84.807067256</v>
      </c>
      <c r="X1124" t="n">
        <v>90.965094444</v>
      </c>
      <c r="Y1124" t="n">
        <v/>
      </c>
      <c r="Z1124" t="n">
        <v>61.783946978</v>
      </c>
      <c r="AA1124" t="n">
        <v>91.75529026300001</v>
      </c>
      <c r="AB1124" t="n">
        <v>100.234192037</v>
      </c>
      <c r="AC1124" t="n">
        <v>103.291392384</v>
      </c>
      <c r="AD1124" t="n">
        <v>99.86893937000001</v>
      </c>
      <c r="AE1124" t="n">
        <v>98.511</v>
      </c>
      <c r="AF1124" t="n">
        <v>101.208434036</v>
      </c>
      <c r="AG1124" t="n">
        <v>97.2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96.823805498</v>
      </c>
      <c r="AM1124" t="n">
        <v>90.7</v>
      </c>
      <c r="AN1124" t="n">
        <v>97.800604175</v>
      </c>
      <c r="AO1124" t="n">
        <v>91.3</v>
      </c>
      <c r="AP1124" t="n">
        <v>92.3</v>
      </c>
      <c r="AQ1124" t="n">
        <v>93.80781731800001</v>
      </c>
      <c r="AR1124" t="n">
        <v>103.891342388</v>
      </c>
      <c r="AS1124" t="n">
        <v>84.192983918</v>
      </c>
      <c r="AT1124" t="n">
        <v>96.901017217</v>
      </c>
      <c r="AU1124" t="n">
        <v/>
      </c>
    </row>
    <row r="1125">
      <c r="A1125" s="107" t="n">
        <v>41122</v>
      </c>
      <c r="B1125" t="n">
        <v>100.6665134</v>
      </c>
      <c r="C1125" t="n">
        <v>100.891592367</v>
      </c>
      <c r="D1125" t="n">
        <v>112.634186623</v>
      </c>
      <c r="E1125" t="n">
        <v>93.168338287</v>
      </c>
      <c r="F1125" t="n">
        <v>99.3</v>
      </c>
      <c r="G1125" t="n">
        <v/>
      </c>
      <c r="H1125" t="n">
        <v>97.150417621</v>
      </c>
      <c r="I1125" t="n">
        <v>100.658125223</v>
      </c>
      <c r="J1125" t="n">
        <v>89.68505249099999</v>
      </c>
      <c r="K1125" t="n">
        <v>98.391800683</v>
      </c>
      <c r="L1125" t="n">
        <v>99.2</v>
      </c>
      <c r="M1125" t="n">
        <v>98.40000000000001</v>
      </c>
      <c r="N1125" t="n">
        <v>98.846082372</v>
      </c>
      <c r="O1125" t="n">
        <v>94.00783398599999</v>
      </c>
      <c r="P1125" t="n">
        <v/>
      </c>
      <c r="Q1125" t="n">
        <v>105.4</v>
      </c>
      <c r="R1125" t="n">
        <v>101.72</v>
      </c>
      <c r="S1125" t="n">
        <v>97.418042818</v>
      </c>
      <c r="T1125" t="n">
        <v>93.780247356</v>
      </c>
      <c r="U1125" t="n">
        <v/>
      </c>
      <c r="V1125" t="n">
        <v>106.484641638</v>
      </c>
      <c r="W1125" t="n">
        <v>87.80731727600001</v>
      </c>
      <c r="X1125" t="n">
        <v>91.21331084099999</v>
      </c>
      <c r="Y1125" t="n">
        <v/>
      </c>
      <c r="Z1125" t="n">
        <v>64.999234014</v>
      </c>
      <c r="AA1125" t="n">
        <v>91.204108104</v>
      </c>
      <c r="AB1125" t="n">
        <v>102.201405152</v>
      </c>
      <c r="AC1125" t="n">
        <v>102.591450712</v>
      </c>
      <c r="AD1125" t="n">
        <v>98.637256665</v>
      </c>
      <c r="AE1125" t="n">
        <v>96.809</v>
      </c>
      <c r="AF1125" t="n">
        <v>96.50804233700001</v>
      </c>
      <c r="AG1125" t="n">
        <v>100.3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96.563080231</v>
      </c>
      <c r="AM1125" t="n">
        <v>90.59999999999999</v>
      </c>
      <c r="AN1125" t="n">
        <v>99.973732216</v>
      </c>
      <c r="AO1125" t="n">
        <v>92.09999999999999</v>
      </c>
      <c r="AP1125" t="n">
        <v>88.40000000000001</v>
      </c>
      <c r="AQ1125" t="n">
        <v>96.108009001</v>
      </c>
      <c r="AR1125" t="n">
        <v>107.891009083</v>
      </c>
      <c r="AS1125" t="n">
        <v>82.99308391</v>
      </c>
      <c r="AT1125" t="n">
        <v>96.49407090299999</v>
      </c>
      <c r="AU1125" t="n">
        <v/>
      </c>
    </row>
    <row r="1126">
      <c r="A1126" s="107" t="n">
        <v>41153</v>
      </c>
      <c r="B1126" t="n">
        <v>99.01172144</v>
      </c>
      <c r="C1126" t="n">
        <v>101.091575702</v>
      </c>
      <c r="D1126" t="n">
        <v>110.872557115</v>
      </c>
      <c r="E1126" t="n">
        <v>92.85505994</v>
      </c>
      <c r="F1126" t="n">
        <v>98.59999999999999</v>
      </c>
      <c r="G1126" t="n">
        <v/>
      </c>
      <c r="H1126" t="n">
        <v>96.56389718600001</v>
      </c>
      <c r="I1126" t="n">
        <v>99.003471151</v>
      </c>
      <c r="J1126" t="n">
        <v>90.184969172</v>
      </c>
      <c r="K1126" t="n">
        <v>97.091909008</v>
      </c>
      <c r="L1126" t="n">
        <v>100.2</v>
      </c>
      <c r="M1126" t="n">
        <v>96.5</v>
      </c>
      <c r="N1126" t="n">
        <v>95.75907979900001</v>
      </c>
      <c r="O1126" t="n">
        <v>94.80790065799999</v>
      </c>
      <c r="P1126" t="n">
        <v/>
      </c>
      <c r="Q1126" t="n">
        <v>105.5</v>
      </c>
      <c r="R1126" t="n">
        <v>99.41</v>
      </c>
      <c r="S1126" t="n">
        <v>96.534013429</v>
      </c>
      <c r="T1126" t="n">
        <v>91.414231941</v>
      </c>
      <c r="U1126" t="n">
        <v/>
      </c>
      <c r="V1126" t="n">
        <v>103.987347041</v>
      </c>
      <c r="W1126" t="n">
        <v>86.90724227</v>
      </c>
      <c r="X1126" t="n">
        <v>89.84103297</v>
      </c>
      <c r="Y1126" t="n">
        <v/>
      </c>
      <c r="Z1126" t="n">
        <v>56.551224938</v>
      </c>
      <c r="AA1126" t="n">
        <v>93.771965278</v>
      </c>
      <c r="AB1126" t="n">
        <v>100.983606557</v>
      </c>
      <c r="AC1126" t="n">
        <v>102.391467378</v>
      </c>
      <c r="AD1126" t="n">
        <v>96.48181193000001</v>
      </c>
      <c r="AE1126" t="n">
        <v>98.068</v>
      </c>
      <c r="AF1126" t="n">
        <v>99.80831736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95.871803421</v>
      </c>
      <c r="AM1126" t="n">
        <v>90.90000000000001</v>
      </c>
      <c r="AN1126" t="n">
        <v>96.130299374</v>
      </c>
      <c r="AO1126" t="n">
        <v>91.5</v>
      </c>
      <c r="AP1126" t="n">
        <v>89.5</v>
      </c>
      <c r="AQ1126" t="n">
        <v>94.60788399</v>
      </c>
      <c r="AR1126" t="n">
        <v>100.891592367</v>
      </c>
      <c r="AS1126" t="n">
        <v>84.89292559</v>
      </c>
      <c r="AT1126" t="n">
        <v>96.42218102</v>
      </c>
      <c r="AU1126" t="n">
        <v/>
      </c>
    </row>
    <row r="1127">
      <c r="A1127" s="107" t="n">
        <v>41183</v>
      </c>
      <c r="B1127" t="n">
        <v>100.3907148</v>
      </c>
      <c r="C1127" t="n">
        <v>96.791934005</v>
      </c>
      <c r="D1127" t="n">
        <v>112.30388109</v>
      </c>
      <c r="E1127" t="n">
        <v>92.831784777</v>
      </c>
      <c r="F1127" t="n">
        <v>98.90000000000001</v>
      </c>
      <c r="G1127" t="n">
        <v/>
      </c>
      <c r="H1127" t="n">
        <v>96.827471769</v>
      </c>
      <c r="I1127" t="n">
        <v>100.382349604</v>
      </c>
      <c r="J1127" t="n">
        <v>88.785202466</v>
      </c>
      <c r="K1127" t="n">
        <v>95.792017332</v>
      </c>
      <c r="L1127" t="n">
        <v>99.59999999999999</v>
      </c>
      <c r="M1127" t="n">
        <v>95.8</v>
      </c>
      <c r="N1127" t="n">
        <v>96.24308020300001</v>
      </c>
      <c r="O1127" t="n">
        <v>90.00750062500001</v>
      </c>
      <c r="P1127" t="n">
        <v/>
      </c>
      <c r="Q1127" t="n">
        <v>104.6</v>
      </c>
      <c r="R1127" t="n">
        <v>97.98999999999999</v>
      </c>
      <c r="S1127" t="n">
        <v>96.340007935</v>
      </c>
      <c r="T1127" t="n">
        <v>91.19913963099999</v>
      </c>
      <c r="U1127" t="n">
        <v/>
      </c>
      <c r="V1127" t="n">
        <v>105.285940231</v>
      </c>
      <c r="W1127" t="n">
        <v>84.60705058800001</v>
      </c>
      <c r="X1127" t="n">
        <v>92.141838773</v>
      </c>
      <c r="Y1127" t="n">
        <v/>
      </c>
      <c r="Z1127" t="n">
        <v>61.531767602</v>
      </c>
      <c r="AA1127" t="n">
        <v>97.52485104</v>
      </c>
      <c r="AB1127" t="n">
        <v>100.234192037</v>
      </c>
      <c r="AC1127" t="n">
        <v>100.491625698</v>
      </c>
      <c r="AD1127" t="n">
        <v>96.789732607</v>
      </c>
      <c r="AE1127" t="n">
        <v>99.91200000000001</v>
      </c>
      <c r="AF1127" t="n">
        <v>98.60821735099999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95.828871991</v>
      </c>
      <c r="AM1127" t="n">
        <v>90.7</v>
      </c>
      <c r="AN1127" t="n">
        <v>94.773439131</v>
      </c>
      <c r="AO1127" t="n">
        <v>90.7</v>
      </c>
      <c r="AP1127" t="n">
        <v>88.90000000000001</v>
      </c>
      <c r="AQ1127" t="n">
        <v>93.707808984</v>
      </c>
      <c r="AR1127" t="n">
        <v>102.491459045</v>
      </c>
      <c r="AS1127" t="n">
        <v>84.992917257</v>
      </c>
      <c r="AT1127" t="n">
        <v>96.73998388</v>
      </c>
      <c r="AU1127" t="n">
        <v/>
      </c>
    </row>
    <row r="1128">
      <c r="A1128" s="107" t="n">
        <v>41214</v>
      </c>
      <c r="B1128" t="n">
        <v>98.64398989</v>
      </c>
      <c r="C1128" t="n">
        <v>96.39196733599999</v>
      </c>
      <c r="D1128" t="n">
        <v>110.762455271</v>
      </c>
      <c r="E1128" t="n">
        <v>93.780180797</v>
      </c>
      <c r="F1128" t="n">
        <v>99.90000000000001</v>
      </c>
      <c r="G1128" t="n">
        <v/>
      </c>
      <c r="H1128" t="n">
        <v>97.25273269900001</v>
      </c>
      <c r="I1128" t="n">
        <v>98.63577024200001</v>
      </c>
      <c r="J1128" t="n">
        <v>88.085319113</v>
      </c>
      <c r="K1128" t="n">
        <v>95.09207566000001</v>
      </c>
      <c r="L1128" t="n">
        <v>101.8</v>
      </c>
      <c r="M1128" t="n">
        <v>95.09999999999999</v>
      </c>
      <c r="N1128" t="n">
        <v>93.979078316</v>
      </c>
      <c r="O1128" t="n">
        <v>93.20776731399999</v>
      </c>
      <c r="P1128" t="n">
        <v/>
      </c>
      <c r="Q1128" t="n">
        <v>103.7</v>
      </c>
      <c r="R1128" t="n">
        <v>97.97</v>
      </c>
      <c r="S1128" t="n">
        <v>96.260428641</v>
      </c>
      <c r="T1128" t="n">
        <v>91.19913963099999</v>
      </c>
      <c r="U1128" t="n">
        <v/>
      </c>
      <c r="V1128" t="n">
        <v>101.989511363</v>
      </c>
      <c r="W1128" t="n">
        <v>84.00700058300001</v>
      </c>
      <c r="X1128" t="n">
        <v>91.129276422</v>
      </c>
      <c r="Y1128" t="n">
        <v/>
      </c>
      <c r="Z1128" t="n">
        <v>60.144781037</v>
      </c>
      <c r="AA1128" t="n">
        <v>89.14941612299999</v>
      </c>
      <c r="AB1128" t="n">
        <v>98.82903981299999</v>
      </c>
      <c r="AC1128" t="n">
        <v>99.09174235499999</v>
      </c>
      <c r="AD1128" t="n">
        <v>96.07125102800001</v>
      </c>
      <c r="AE1128" t="n">
        <v>100.634</v>
      </c>
      <c r="AF1128" t="n">
        <v>90.607550629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95.65062337800001</v>
      </c>
      <c r="AM1128" t="n">
        <v>89.3</v>
      </c>
      <c r="AN1128" t="n">
        <v>94.796097733</v>
      </c>
      <c r="AO1128" t="n">
        <v>91.2</v>
      </c>
      <c r="AP1128" t="n">
        <v>86.3</v>
      </c>
      <c r="AQ1128" t="n">
        <v>91.507625635</v>
      </c>
      <c r="AR1128" t="n">
        <v>101.591534039</v>
      </c>
      <c r="AS1128" t="n">
        <v>83.793017249</v>
      </c>
      <c r="AT1128" t="n">
        <v>97.134535387</v>
      </c>
      <c r="AU1128" t="n">
        <v/>
      </c>
    </row>
    <row r="1129">
      <c r="A1129" s="107" t="n">
        <v>41244</v>
      </c>
      <c r="B1129" t="n">
        <v>98.46012411</v>
      </c>
      <c r="C1129" t="n">
        <v>97.99183401400001</v>
      </c>
      <c r="D1129" t="n">
        <v>111.533168181</v>
      </c>
      <c r="E1129" t="n">
        <v>93.372731675</v>
      </c>
      <c r="F1129" t="n">
        <v>98.8</v>
      </c>
      <c r="G1129" t="n">
        <v/>
      </c>
      <c r="H1129" t="n">
        <v>96.43986771900001</v>
      </c>
      <c r="I1129" t="n">
        <v>98.45191978299999</v>
      </c>
      <c r="J1129" t="n">
        <v>89.18513581099999</v>
      </c>
      <c r="K1129" t="n">
        <v>95.892008999</v>
      </c>
      <c r="L1129" t="n">
        <v>99.8</v>
      </c>
      <c r="M1129" t="n">
        <v>95.59999999999999</v>
      </c>
      <c r="N1129" t="n">
        <v>94.366078638</v>
      </c>
      <c r="O1129" t="n">
        <v>96.608050671</v>
      </c>
      <c r="P1129" t="n">
        <v/>
      </c>
      <c r="Q1129" t="n">
        <v>104.4</v>
      </c>
      <c r="R1129" t="n">
        <v>98.78</v>
      </c>
      <c r="S1129" t="n">
        <v>96.779519927</v>
      </c>
      <c r="T1129" t="n">
        <v>91.091593476</v>
      </c>
      <c r="U1129" t="n">
        <v/>
      </c>
      <c r="V1129" t="n">
        <v>100.491134604</v>
      </c>
      <c r="W1129" t="n">
        <v>85.707142262</v>
      </c>
      <c r="X1129" t="n">
        <v>91.372575563</v>
      </c>
      <c r="Y1129" t="n">
        <v/>
      </c>
      <c r="Z1129" t="n">
        <v>61.468722758</v>
      </c>
      <c r="AA1129" t="n">
        <v>80.456293372</v>
      </c>
      <c r="AB1129" t="n">
        <v>94.238875878</v>
      </c>
      <c r="AC1129" t="n">
        <v>99.891675694</v>
      </c>
      <c r="AD1129" t="n">
        <v>97.40557395899999</v>
      </c>
      <c r="AE1129" t="n">
        <v>100.685</v>
      </c>
      <c r="AF1129" t="n">
        <v>94.407867322</v>
      </c>
      <c r="AG1129" t="n">
        <v>101.4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96.006760098</v>
      </c>
      <c r="AM1129" t="n">
        <v>89.09999999999999</v>
      </c>
      <c r="AN1129" t="n">
        <v>93.97554101</v>
      </c>
      <c r="AO1129" t="n">
        <v>91.59999999999999</v>
      </c>
      <c r="AP1129" t="n">
        <v>88.3</v>
      </c>
      <c r="AQ1129" t="n">
        <v>92.20768397400001</v>
      </c>
      <c r="AR1129" t="n">
        <v>102.491459045</v>
      </c>
      <c r="AS1129" t="n">
        <v>84.992917257</v>
      </c>
      <c r="AT1129" t="n">
        <v>97.379655097</v>
      </c>
      <c r="AU1129" t="n">
        <v/>
      </c>
    </row>
    <row r="1130">
      <c r="A1130" s="107" t="n">
        <v>41275</v>
      </c>
      <c r="B1130" t="n">
        <v>97.63272811</v>
      </c>
      <c r="C1130" t="n">
        <v>96.39196733599999</v>
      </c>
      <c r="D1130" t="n">
        <v>112.634186623</v>
      </c>
      <c r="E1130" t="n">
        <v>94.095599389</v>
      </c>
      <c r="F1130" t="n">
        <v>98.09999999999999</v>
      </c>
      <c r="G1130" t="n">
        <v/>
      </c>
      <c r="H1130" t="n">
        <v>100.526522692</v>
      </c>
      <c r="I1130" t="n">
        <v>97.62459272700001</v>
      </c>
      <c r="J1130" t="n">
        <v>87.385435761</v>
      </c>
      <c r="K1130" t="n">
        <v>94.692108991</v>
      </c>
      <c r="L1130" t="n">
        <v>101.2</v>
      </c>
      <c r="M1130" t="n">
        <v>95.2</v>
      </c>
      <c r="N1130" t="n">
        <v>95.139079283</v>
      </c>
      <c r="O1130" t="n">
        <v>96.908075673</v>
      </c>
      <c r="P1130" t="n">
        <v/>
      </c>
      <c r="Q1130" t="n">
        <v>104.5</v>
      </c>
      <c r="R1130" t="n">
        <v>98.75</v>
      </c>
      <c r="S1130" t="n">
        <v>96.159037591</v>
      </c>
      <c r="T1130" t="n">
        <v>88.833124216</v>
      </c>
      <c r="U1130" t="n">
        <v/>
      </c>
      <c r="V1130" t="n">
        <v>100.591026388</v>
      </c>
      <c r="W1130" t="n">
        <v>84.90707559000001</v>
      </c>
      <c r="X1130" t="n">
        <v>91.366183815</v>
      </c>
      <c r="Y1130" t="n">
        <v/>
      </c>
      <c r="Z1130" t="n">
        <v>59.640422287</v>
      </c>
      <c r="AA1130" t="n">
        <v>90.147097468</v>
      </c>
      <c r="AB1130" t="n">
        <v>96.20608899299999</v>
      </c>
      <c r="AC1130" t="n">
        <v>99.891675694</v>
      </c>
      <c r="AD1130" t="n">
        <v>95.392050662</v>
      </c>
      <c r="AE1130" t="n">
        <v>100.815</v>
      </c>
      <c r="AF1130" t="n">
        <v>93.00775064600001</v>
      </c>
      <c r="AG1130" t="n">
        <v>99.5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95.577084726</v>
      </c>
      <c r="AM1130" t="n">
        <v>89.2</v>
      </c>
      <c r="AN1130" t="n">
        <v>96.073619427</v>
      </c>
      <c r="AO1130" t="n">
        <v>89.59999999999999</v>
      </c>
      <c r="AP1130" t="n">
        <v>88.09999999999999</v>
      </c>
      <c r="AQ1130" t="n">
        <v>93.50779231600001</v>
      </c>
      <c r="AR1130" t="n">
        <v>99.791684026</v>
      </c>
      <c r="AS1130" t="n">
        <v>85.392883926</v>
      </c>
      <c r="AT1130" t="n">
        <v>97.37261484699999</v>
      </c>
      <c r="AU1130" t="n">
        <v/>
      </c>
    </row>
    <row r="1131">
      <c r="A1131" s="107" t="n">
        <v>41306</v>
      </c>
      <c r="B1131" t="n">
        <v>97.35692944</v>
      </c>
      <c r="C1131" t="n">
        <v>96.39196733599999</v>
      </c>
      <c r="D1131" t="n">
        <v>109.551334985</v>
      </c>
      <c r="E1131" t="n">
        <v>95.097501532</v>
      </c>
      <c r="F1131" t="n">
        <v>100.3</v>
      </c>
      <c r="G1131" t="n">
        <v/>
      </c>
      <c r="H1131" t="n">
        <v>99.163549635</v>
      </c>
      <c r="I1131" t="n">
        <v>97.348817039</v>
      </c>
      <c r="J1131" t="n">
        <v>88.585235794</v>
      </c>
      <c r="K1131" t="n">
        <v>95.49204233</v>
      </c>
      <c r="L1131" t="n">
        <v>98.7</v>
      </c>
      <c r="M1131" t="n">
        <v>95.3</v>
      </c>
      <c r="N1131" t="n">
        <v>94.61207884300001</v>
      </c>
      <c r="O1131" t="n">
        <v>94.707892324</v>
      </c>
      <c r="P1131" t="n">
        <v/>
      </c>
      <c r="Q1131" t="n">
        <v>103.8</v>
      </c>
      <c r="R1131" t="n">
        <v>99.63</v>
      </c>
      <c r="S1131" t="n">
        <v>96.85179954</v>
      </c>
      <c r="T1131" t="n">
        <v>88.940670371</v>
      </c>
      <c r="U1131" t="n">
        <v/>
      </c>
      <c r="V1131" t="n">
        <v>98.992757846</v>
      </c>
      <c r="W1131" t="n">
        <v>84.507042254</v>
      </c>
      <c r="X1131" t="n">
        <v>91.151141314</v>
      </c>
      <c r="Y1131" t="n">
        <v/>
      </c>
      <c r="Z1131" t="n">
        <v>59.325198067</v>
      </c>
      <c r="AA1131" t="n">
        <v>101.726184807</v>
      </c>
      <c r="AB1131" t="n">
        <v>98.36065573800001</v>
      </c>
      <c r="AC1131" t="n">
        <v>99.29172569000001</v>
      </c>
      <c r="AD1131" t="n">
        <v>96.99191734</v>
      </c>
      <c r="AE1131" t="n">
        <v>99.717</v>
      </c>
      <c r="AF1131" t="n">
        <v>93.50779231600001</v>
      </c>
      <c r="AG1131" t="n">
        <v>97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96.02984644</v>
      </c>
      <c r="AM1131" t="n">
        <v>90.2</v>
      </c>
      <c r="AN1131" t="n">
        <v>95.309575084</v>
      </c>
      <c r="AO1131" t="n">
        <v>90.2</v>
      </c>
      <c r="AP1131" t="n">
        <v>88.2</v>
      </c>
      <c r="AQ1131" t="n">
        <v>95.207933994</v>
      </c>
      <c r="AR1131" t="n">
        <v>99.591700692</v>
      </c>
      <c r="AS1131" t="n">
        <v>87.292725606</v>
      </c>
      <c r="AT1131" t="n">
        <v>97.853037579</v>
      </c>
      <c r="AU1131" t="n">
        <v/>
      </c>
    </row>
    <row r="1132">
      <c r="A1132" s="107" t="n">
        <v>41334</v>
      </c>
      <c r="B1132" t="n">
        <v>96.897265</v>
      </c>
      <c r="C1132" t="n">
        <v>98.99175068700001</v>
      </c>
      <c r="D1132" t="n">
        <v>111.643270025</v>
      </c>
      <c r="E1132" t="n">
        <v>95.68820912299999</v>
      </c>
      <c r="F1132" t="n">
        <v>100.1</v>
      </c>
      <c r="G1132" t="n">
        <v/>
      </c>
      <c r="H1132" t="n">
        <v>99.958734996</v>
      </c>
      <c r="I1132" t="n">
        <v>96.88919090100001</v>
      </c>
      <c r="J1132" t="n">
        <v>87.985335777</v>
      </c>
      <c r="K1132" t="n">
        <v>96.791934005</v>
      </c>
      <c r="L1132" t="n">
        <v>98.3</v>
      </c>
      <c r="M1132" t="n">
        <v>96.40000000000001</v>
      </c>
      <c r="N1132" t="n">
        <v>95.40207950200001</v>
      </c>
      <c r="O1132" t="n">
        <v>97.80815067899999</v>
      </c>
      <c r="P1132" t="n">
        <v/>
      </c>
      <c r="Q1132" t="n">
        <v>105.4</v>
      </c>
      <c r="R1132" t="n">
        <v>99.89</v>
      </c>
      <c r="S1132" t="n">
        <v>97.529833803</v>
      </c>
      <c r="T1132" t="n">
        <v>90.98404732</v>
      </c>
      <c r="U1132" t="n">
        <v/>
      </c>
      <c r="V1132" t="n">
        <v>101.290268875</v>
      </c>
      <c r="W1132" t="n">
        <v>84.90707559000001</v>
      </c>
      <c r="X1132" t="n">
        <v>92.902530176</v>
      </c>
      <c r="Y1132" t="n">
        <v/>
      </c>
      <c r="Z1132" t="n">
        <v>60.460005257</v>
      </c>
      <c r="AA1132" t="n">
        <v>93.602910704</v>
      </c>
      <c r="AB1132" t="n">
        <v>96.299765808</v>
      </c>
      <c r="AC1132" t="n">
        <v>98.791767353</v>
      </c>
      <c r="AD1132" t="n">
        <v>97.891842346</v>
      </c>
      <c r="AE1132" t="n">
        <v>98.379</v>
      </c>
      <c r="AF1132" t="n">
        <v>90.207517293</v>
      </c>
      <c r="AG1132" t="n">
        <v>96.09999999999999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96.521192364</v>
      </c>
      <c r="AM1132" t="n">
        <v>89.59999999999999</v>
      </c>
      <c r="AN1132" t="n">
        <v>98.24287273900001</v>
      </c>
      <c r="AO1132" t="n">
        <v>93.40000000000001</v>
      </c>
      <c r="AP1132" t="n">
        <v>90.3</v>
      </c>
      <c r="AQ1132" t="n">
        <v>91.207600633</v>
      </c>
      <c r="AR1132" t="n">
        <v>100.691609033</v>
      </c>
      <c r="AS1132" t="n">
        <v>86.99275060399999</v>
      </c>
      <c r="AT1132" t="n">
        <v>98.265437609</v>
      </c>
      <c r="AU1132" t="n">
        <v/>
      </c>
    </row>
    <row r="1133">
      <c r="A1133" s="107" t="n">
        <v>41365</v>
      </c>
      <c r="B1133" t="n">
        <v>99.379453</v>
      </c>
      <c r="C1133" t="n">
        <v>99.491709024</v>
      </c>
      <c r="D1133" t="n">
        <v>113.404899532</v>
      </c>
      <c r="E1133" t="n">
        <v>95.024465674</v>
      </c>
      <c r="F1133" t="n">
        <v>98.7</v>
      </c>
      <c r="G1133" t="n">
        <v/>
      </c>
      <c r="H1133" t="n">
        <v>96.418469909</v>
      </c>
      <c r="I1133" t="n">
        <v>99.371172069</v>
      </c>
      <c r="J1133" t="n">
        <v>89.48508581900001</v>
      </c>
      <c r="K1133" t="n">
        <v>97.091909008</v>
      </c>
      <c r="L1133" t="n">
        <v>100.2</v>
      </c>
      <c r="M1133" t="n">
        <v>96.59999999999999</v>
      </c>
      <c r="N1133" t="n">
        <v>94.389078658</v>
      </c>
      <c r="O1133" t="n">
        <v>92.807733978</v>
      </c>
      <c r="P1133" t="n">
        <v/>
      </c>
      <c r="Q1133" t="n">
        <v>101.4</v>
      </c>
      <c r="R1133" t="n">
        <v>101.41</v>
      </c>
      <c r="S1133" t="n">
        <v>97.647936003</v>
      </c>
      <c r="T1133" t="n">
        <v>92.382147338</v>
      </c>
      <c r="U1133" t="n">
        <v/>
      </c>
      <c r="V1133" t="n">
        <v>102.988429202</v>
      </c>
      <c r="W1133" t="n">
        <v>85.307108926</v>
      </c>
      <c r="X1133" t="n">
        <v>93.641285697</v>
      </c>
      <c r="Y1133" t="n">
        <v/>
      </c>
      <c r="Z1133" t="n">
        <v>61.153498539</v>
      </c>
      <c r="AA1133" t="n">
        <v>89.32742415</v>
      </c>
      <c r="AB1133" t="n">
        <v>97.51756440299999</v>
      </c>
      <c r="AC1133" t="n">
        <v>97.99183401400001</v>
      </c>
      <c r="AD1133" t="n">
        <v>98.091825681</v>
      </c>
      <c r="AE1133" t="n">
        <v>99.21299999999999</v>
      </c>
      <c r="AF1133" t="n">
        <v>92.507708976</v>
      </c>
      <c r="AG1133" t="n">
        <v>95.90000000000001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96.636827733</v>
      </c>
      <c r="AM1133" t="n">
        <v>90.8</v>
      </c>
      <c r="AN1133" t="n">
        <v>96.879186213</v>
      </c>
      <c r="AO1133" t="n">
        <v>92.40000000000001</v>
      </c>
      <c r="AP1133" t="n">
        <v>89.7</v>
      </c>
      <c r="AQ1133" t="n">
        <v>92.907742312</v>
      </c>
      <c r="AR1133" t="n">
        <v>98.491792351</v>
      </c>
      <c r="AS1133" t="n">
        <v>87.692692276</v>
      </c>
      <c r="AT1133" t="n">
        <v>98.15675993799999</v>
      </c>
      <c r="AU1133" t="n">
        <v/>
      </c>
    </row>
    <row r="1134">
      <c r="A1134" s="107" t="n">
        <v>41395</v>
      </c>
      <c r="B1134" t="n">
        <v>99.01172144</v>
      </c>
      <c r="C1134" t="n">
        <v>100.591617365</v>
      </c>
      <c r="D1134" t="n">
        <v>113.074593999</v>
      </c>
      <c r="E1134" t="n">
        <v>94.824620307</v>
      </c>
      <c r="F1134" t="n">
        <v>99.8</v>
      </c>
      <c r="G1134" t="n">
        <v/>
      </c>
      <c r="H1134" t="n">
        <v>96.55896488</v>
      </c>
      <c r="I1134" t="n">
        <v>99.003471151</v>
      </c>
      <c r="J1134" t="n">
        <v>90.284952508</v>
      </c>
      <c r="K1134" t="n">
        <v>96.49195900300001</v>
      </c>
      <c r="L1134" t="n">
        <v>98.2</v>
      </c>
      <c r="M1134" t="n">
        <v>96.8</v>
      </c>
      <c r="N1134" t="n">
        <v>94.946079122</v>
      </c>
      <c r="O1134" t="n">
        <v>97.208100675</v>
      </c>
      <c r="P1134" t="n">
        <v/>
      </c>
      <c r="Q1134" t="n">
        <v>102.6</v>
      </c>
      <c r="R1134" t="n">
        <v>101.12</v>
      </c>
      <c r="S1134" t="n">
        <v>98.06924152400001</v>
      </c>
      <c r="T1134" t="n">
        <v>93.995339667</v>
      </c>
      <c r="U1134" t="n">
        <v/>
      </c>
      <c r="V1134" t="n">
        <v>101.090485308</v>
      </c>
      <c r="W1134" t="n">
        <v>84.90707559000001</v>
      </c>
      <c r="X1134" t="n">
        <v>93.184517265</v>
      </c>
      <c r="Y1134" t="n">
        <v/>
      </c>
      <c r="Z1134" t="n">
        <v>63.486157762</v>
      </c>
      <c r="AA1134" t="n">
        <v>87.60362933899999</v>
      </c>
      <c r="AB1134" t="n">
        <v>95.644028103</v>
      </c>
      <c r="AC1134" t="n">
        <v>99.891675694</v>
      </c>
      <c r="AD1134" t="n">
        <v>99.591700692</v>
      </c>
      <c r="AE1134" t="n">
        <v>99.51000000000001</v>
      </c>
      <c r="AF1134" t="n">
        <v>93.60780065</v>
      </c>
      <c r="AG1134" t="n">
        <v>97.59999999999999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97.021970388</v>
      </c>
      <c r="AM1134" t="n">
        <v>92.3</v>
      </c>
      <c r="AN1134" t="n">
        <v>96.656293641</v>
      </c>
      <c r="AO1134" t="n">
        <v>94.2</v>
      </c>
      <c r="AP1134" t="n">
        <v>90.7</v>
      </c>
      <c r="AQ1134" t="n">
        <v>90.907575631</v>
      </c>
      <c r="AR1134" t="n">
        <v>96.791934005</v>
      </c>
      <c r="AS1134" t="n">
        <v>87.89267561</v>
      </c>
      <c r="AT1134" t="n">
        <v>98.244416015</v>
      </c>
      <c r="AU1134" t="n">
        <v/>
      </c>
    </row>
    <row r="1135">
      <c r="A1135" s="107" t="n">
        <v>41426</v>
      </c>
      <c r="B1135" t="n">
        <v>98.552057</v>
      </c>
      <c r="C1135" t="n">
        <v>100.39163403</v>
      </c>
      <c r="D1135" t="n">
        <v>113.735205065</v>
      </c>
      <c r="E1135" t="n">
        <v>94.534082062</v>
      </c>
      <c r="F1135" t="n">
        <v>100.2</v>
      </c>
      <c r="G1135" t="n">
        <v/>
      </c>
      <c r="H1135" t="n">
        <v>98.34207363</v>
      </c>
      <c r="I1135" t="n">
        <v>98.54384501299999</v>
      </c>
      <c r="J1135" t="n">
        <v>90.784869188</v>
      </c>
      <c r="K1135" t="n">
        <v>98.191817349</v>
      </c>
      <c r="L1135" t="n">
        <v>98</v>
      </c>
      <c r="M1135" t="n">
        <v>96.8</v>
      </c>
      <c r="N1135" t="n">
        <v>95.815079846</v>
      </c>
      <c r="O1135" t="n">
        <v>96.808067339</v>
      </c>
      <c r="P1135" t="n">
        <v/>
      </c>
      <c r="Q1135" t="n">
        <v>103.5</v>
      </c>
      <c r="R1135" t="n">
        <v>99.81999999999999</v>
      </c>
      <c r="S1135" t="n">
        <v>98.16654728499999</v>
      </c>
      <c r="T1135" t="n">
        <v>95.178347374</v>
      </c>
      <c r="U1135" t="n">
        <v/>
      </c>
      <c r="V1135" t="n">
        <v>106.28485807</v>
      </c>
      <c r="W1135" t="n">
        <v>85.40711726000001</v>
      </c>
      <c r="X1135" t="n">
        <v>90.843380788</v>
      </c>
      <c r="Y1135" t="n">
        <v/>
      </c>
      <c r="Z1135" t="n">
        <v>61.153498539</v>
      </c>
      <c r="AA1135" t="n">
        <v>87.680643929</v>
      </c>
      <c r="AB1135" t="n">
        <v>96.674473068</v>
      </c>
      <c r="AC1135" t="n">
        <v>99.691692359</v>
      </c>
      <c r="AD1135" t="n">
        <v>98.591784018</v>
      </c>
      <c r="AE1135" t="n">
        <v>99.70099999999999</v>
      </c>
      <c r="AF1135" t="n">
        <v>90.707558963</v>
      </c>
      <c r="AG1135" t="n">
        <v>97.90000000000001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97.22293728</v>
      </c>
      <c r="AM1135" t="n">
        <v>93.09999999999999</v>
      </c>
      <c r="AN1135" t="n">
        <v>95.185316989</v>
      </c>
      <c r="AO1135" t="n">
        <v>92.7</v>
      </c>
      <c r="AP1135" t="n">
        <v>89.7</v>
      </c>
      <c r="AQ1135" t="n">
        <v>93.20776731399999</v>
      </c>
      <c r="AR1135" t="n">
        <v>97.891842346</v>
      </c>
      <c r="AS1135" t="n">
        <v>90.592450629</v>
      </c>
      <c r="AT1135" t="n">
        <v>98.379172361</v>
      </c>
      <c r="AU1135" t="n">
        <v/>
      </c>
    </row>
    <row r="1136">
      <c r="A1136" s="107" t="n">
        <v>41456</v>
      </c>
      <c r="B1136" t="n">
        <v>99.74718455999999</v>
      </c>
      <c r="C1136" t="n">
        <v>101.991500708</v>
      </c>
      <c r="D1136" t="n">
        <v>112.964492155</v>
      </c>
      <c r="E1136" t="n">
        <v>94.91772096</v>
      </c>
      <c r="F1136" t="n">
        <v>102.5</v>
      </c>
      <c r="G1136" t="n">
        <v/>
      </c>
      <c r="H1136" t="n">
        <v>100.768223967</v>
      </c>
      <c r="I1136" t="n">
        <v>99.73887298699999</v>
      </c>
      <c r="J1136" t="n">
        <v>92.78453591100001</v>
      </c>
      <c r="K1136" t="n">
        <v>96.49195900300001</v>
      </c>
      <c r="L1136" t="n">
        <v>100.1</v>
      </c>
      <c r="M1136" t="n">
        <v>96</v>
      </c>
      <c r="N1136" t="n">
        <v>95.83907986600001</v>
      </c>
      <c r="O1136" t="n">
        <v>98.60821735099999</v>
      </c>
      <c r="P1136" t="n">
        <v/>
      </c>
      <c r="Q1136" t="n">
        <v>102.8</v>
      </c>
      <c r="R1136" t="n">
        <v>99.15000000000001</v>
      </c>
      <c r="S1136" t="n">
        <v>98.01854106899999</v>
      </c>
      <c r="T1136" t="n">
        <v>94.855708908</v>
      </c>
      <c r="U1136" t="n">
        <v/>
      </c>
      <c r="V1136" t="n">
        <v>98.693082494</v>
      </c>
      <c r="W1136" t="n">
        <v>86.607217268</v>
      </c>
      <c r="X1136" t="n">
        <v>93.66382507100001</v>
      </c>
      <c r="Y1136" t="n">
        <v/>
      </c>
      <c r="Z1136" t="n">
        <v>60.081736193</v>
      </c>
      <c r="AA1136" t="n">
        <v>87.91201084399999</v>
      </c>
      <c r="AB1136" t="n">
        <v>97.79859484799999</v>
      </c>
      <c r="AC1136" t="n">
        <v>99.491709024</v>
      </c>
      <c r="AD1136" t="n">
        <v>100.091659028</v>
      </c>
      <c r="AE1136" t="n">
        <v>98.765</v>
      </c>
      <c r="AF1136" t="n">
        <v>95.907992333</v>
      </c>
      <c r="AG1136" t="n">
        <v>98.90000000000001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97.21238436599999</v>
      </c>
      <c r="AM1136" t="n">
        <v>94.3</v>
      </c>
      <c r="AN1136" t="n">
        <v>93.561470321</v>
      </c>
      <c r="AO1136" t="n">
        <v>91.8</v>
      </c>
      <c r="AP1136" t="n">
        <v>91</v>
      </c>
      <c r="AQ1136" t="n">
        <v>91.507625635</v>
      </c>
      <c r="AR1136" t="n">
        <v>100.291642363</v>
      </c>
      <c r="AS1136" t="n">
        <v>90.092492292</v>
      </c>
      <c r="AT1136" t="n">
        <v>98.080804559</v>
      </c>
      <c r="AU1136" t="n">
        <v/>
      </c>
    </row>
    <row r="1137">
      <c r="A1137" s="107" t="n">
        <v>41487</v>
      </c>
      <c r="B1137" t="n">
        <v>99.74718455999999</v>
      </c>
      <c r="C1137" t="n">
        <v>99.591700692</v>
      </c>
      <c r="D1137" t="n">
        <v>113.074593999</v>
      </c>
      <c r="E1137" t="n">
        <v>95.744658083</v>
      </c>
      <c r="F1137" t="n">
        <v>101.3</v>
      </c>
      <c r="G1137" t="n">
        <v/>
      </c>
      <c r="H1137" t="n">
        <v>100.298796377</v>
      </c>
      <c r="I1137" t="n">
        <v>99.73887298699999</v>
      </c>
      <c r="J1137" t="n">
        <v>93.48441926300001</v>
      </c>
      <c r="K1137" t="n">
        <v>98.691775685</v>
      </c>
      <c r="L1137" t="n">
        <v>96.2</v>
      </c>
      <c r="M1137" t="n">
        <v>96.40000000000001</v>
      </c>
      <c r="N1137" t="n">
        <v>96.630080525</v>
      </c>
      <c r="O1137" t="n">
        <v>96.408034003</v>
      </c>
      <c r="P1137" t="n">
        <v/>
      </c>
      <c r="Q1137" t="n">
        <v>104.4</v>
      </c>
      <c r="R1137" t="n">
        <v>98.36</v>
      </c>
      <c r="S1137" t="n">
        <v>98.50671126</v>
      </c>
      <c r="T1137" t="n">
        <v>94.210431977</v>
      </c>
      <c r="U1137" t="n">
        <v/>
      </c>
      <c r="V1137" t="n">
        <v>100.191459252</v>
      </c>
      <c r="W1137" t="n">
        <v>88.707392283</v>
      </c>
      <c r="X1137" t="n">
        <v>95.03807607900001</v>
      </c>
      <c r="Y1137" t="n">
        <v/>
      </c>
      <c r="Z1137" t="n">
        <v>59.892601662</v>
      </c>
      <c r="AA1137" t="n">
        <v>89.14847248300001</v>
      </c>
      <c r="AB1137" t="n">
        <v>94.332552693</v>
      </c>
      <c r="AC1137" t="n">
        <v>97.891842346</v>
      </c>
      <c r="AD1137" t="n">
        <v>100.39163403</v>
      </c>
      <c r="AE1137" t="n">
        <v>100.173</v>
      </c>
      <c r="AF1137" t="n">
        <v>96.50804233700001</v>
      </c>
      <c r="AG1137" t="n">
        <v>97.7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97.505736588</v>
      </c>
      <c r="AM1137" t="n">
        <v>95</v>
      </c>
      <c r="AN1137" t="n">
        <v>96.01205306999999</v>
      </c>
      <c r="AO1137" t="n">
        <v>91.3</v>
      </c>
      <c r="AP1137" t="n">
        <v>91.5</v>
      </c>
      <c r="AQ1137" t="n">
        <v>93.00775064600001</v>
      </c>
      <c r="AR1137" t="n">
        <v>98.591784018</v>
      </c>
      <c r="AS1137" t="n">
        <v>87.592700608</v>
      </c>
      <c r="AT1137" t="n">
        <v>98.65185812199999</v>
      </c>
      <c r="AU1137" t="n">
        <v/>
      </c>
    </row>
    <row r="1138">
      <c r="A1138" s="107" t="n">
        <v>41518</v>
      </c>
      <c r="B1138" t="n">
        <v>100.9423121</v>
      </c>
      <c r="C1138" t="n">
        <v>98.491792351</v>
      </c>
      <c r="D1138" t="n">
        <v>113.735205065</v>
      </c>
      <c r="E1138" t="n">
        <v>96.533338327</v>
      </c>
      <c r="F1138" t="n">
        <v>101.5</v>
      </c>
      <c r="G1138" t="n">
        <v/>
      </c>
      <c r="H1138" t="n">
        <v>99.16519749299999</v>
      </c>
      <c r="I1138" t="n">
        <v>100.933900942</v>
      </c>
      <c r="J1138" t="n">
        <v>91.884685886</v>
      </c>
      <c r="K1138" t="n">
        <v>98.191817349</v>
      </c>
      <c r="L1138" t="n">
        <v>95.8</v>
      </c>
      <c r="M1138" t="n">
        <v>96.59999999999999</v>
      </c>
      <c r="N1138" t="n">
        <v>96.326080272</v>
      </c>
      <c r="O1138" t="n">
        <v>96.50804233700001</v>
      </c>
      <c r="P1138" t="n">
        <v/>
      </c>
      <c r="Q1138" t="n">
        <v>101.6</v>
      </c>
      <c r="R1138" t="n">
        <v>99.02</v>
      </c>
      <c r="S1138" t="n">
        <v>99.127214305</v>
      </c>
      <c r="T1138" t="n">
        <v>96.253808926</v>
      </c>
      <c r="U1138" t="n">
        <v/>
      </c>
      <c r="V1138" t="n">
        <v>101.190377091</v>
      </c>
      <c r="W1138" t="n">
        <v>89.507458955</v>
      </c>
      <c r="X1138" t="n">
        <v>95.510485734</v>
      </c>
      <c r="Y1138" t="n">
        <v/>
      </c>
      <c r="Z1138" t="n">
        <v>60.964364007</v>
      </c>
      <c r="AA1138" t="n">
        <v>89.223522903</v>
      </c>
      <c r="AB1138" t="n">
        <v>95.45667447300001</v>
      </c>
      <c r="AC1138" t="n">
        <v>99.691692359</v>
      </c>
      <c r="AD1138" t="n">
        <v>101.191567369</v>
      </c>
      <c r="AE1138" t="n">
        <v>98.938</v>
      </c>
      <c r="AF1138" t="n">
        <v>96.308025669</v>
      </c>
      <c r="AG1138" t="n">
        <v>97.7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98.023112944</v>
      </c>
      <c r="AM1138" t="n">
        <v>94.5</v>
      </c>
      <c r="AN1138" t="n">
        <v>97.385516444</v>
      </c>
      <c r="AO1138" t="n">
        <v>92.7</v>
      </c>
      <c r="AP1138" t="n">
        <v>92.3</v>
      </c>
      <c r="AQ1138" t="n">
        <v>92.70772564400001</v>
      </c>
      <c r="AR1138" t="n">
        <v>99.19173402200001</v>
      </c>
      <c r="AS1138" t="n">
        <v>92.69227564400001</v>
      </c>
      <c r="AT1138" t="n">
        <v>99.17551394199999</v>
      </c>
      <c r="AU1138" t="n">
        <v/>
      </c>
    </row>
    <row r="1139">
      <c r="A1139" s="107" t="n">
        <v>41548</v>
      </c>
      <c r="B1139" t="n">
        <v>100.206849</v>
      </c>
      <c r="C1139" t="n">
        <v>100.891592367</v>
      </c>
      <c r="D1139" t="n">
        <v>112.524084778</v>
      </c>
      <c r="E1139" t="n">
        <v>97.87714459199999</v>
      </c>
      <c r="F1139" t="n">
        <v>98.8</v>
      </c>
      <c r="G1139" t="n">
        <v/>
      </c>
      <c r="H1139" t="n">
        <v>99.900893536</v>
      </c>
      <c r="I1139" t="n">
        <v>100.198499125</v>
      </c>
      <c r="J1139" t="n">
        <v>93.5844026</v>
      </c>
      <c r="K1139" t="n">
        <v>97.491875677</v>
      </c>
      <c r="L1139" t="n">
        <v>102.7</v>
      </c>
      <c r="M1139" t="n">
        <v>96.09999999999999</v>
      </c>
      <c r="N1139" t="n">
        <v>95.612079677</v>
      </c>
      <c r="O1139" t="n">
        <v>97.608134011</v>
      </c>
      <c r="P1139" t="n">
        <v/>
      </c>
      <c r="Q1139" t="n">
        <v>102.4</v>
      </c>
      <c r="R1139" t="n">
        <v>98.97</v>
      </c>
      <c r="S1139" t="n">
        <v>99.175387851</v>
      </c>
      <c r="T1139" t="n">
        <v>97.114178168</v>
      </c>
      <c r="U1139" t="n">
        <v/>
      </c>
      <c r="V1139" t="n">
        <v>99.692000333</v>
      </c>
      <c r="W1139" t="n">
        <v>89.307442287</v>
      </c>
      <c r="X1139" t="n">
        <v>93.931292547</v>
      </c>
      <c r="Y1139" t="n">
        <v/>
      </c>
      <c r="Z1139" t="n">
        <v>56.866449157</v>
      </c>
      <c r="AA1139" t="n">
        <v>90.76049638400001</v>
      </c>
      <c r="AB1139" t="n">
        <v>97.04918032800001</v>
      </c>
      <c r="AC1139" t="n">
        <v>100.091659028</v>
      </c>
      <c r="AD1139" t="n">
        <v>101.491542371</v>
      </c>
      <c r="AE1139" t="n">
        <v>100.843</v>
      </c>
      <c r="AF1139" t="n">
        <v>98.508209017</v>
      </c>
      <c r="AG1139" t="n">
        <v>98.09999999999999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98.03889868</v>
      </c>
      <c r="AM1139" t="n">
        <v>94.8</v>
      </c>
      <c r="AN1139" t="n">
        <v>97.92061653499999</v>
      </c>
      <c r="AO1139" t="n">
        <v>92.3</v>
      </c>
      <c r="AP1139" t="n">
        <v>92.5</v>
      </c>
      <c r="AQ1139" t="n">
        <v>92.60771731</v>
      </c>
      <c r="AR1139" t="n">
        <v>94.99208399299999</v>
      </c>
      <c r="AS1139" t="n">
        <v>91.69235897</v>
      </c>
      <c r="AT1139" t="n">
        <v>99.06306825</v>
      </c>
      <c r="AU1139" t="n">
        <v/>
      </c>
    </row>
    <row r="1140">
      <c r="A1140" s="107" t="n">
        <v>41579</v>
      </c>
      <c r="B1140" t="n">
        <v>99.56331878</v>
      </c>
      <c r="C1140" t="n">
        <v>103.691359053</v>
      </c>
      <c r="D1140" t="n">
        <v>113.184695844</v>
      </c>
      <c r="E1140" t="n">
        <v>97.541126143</v>
      </c>
      <c r="F1140" t="n">
        <v>101.3</v>
      </c>
      <c r="G1140" t="n">
        <v/>
      </c>
      <c r="H1140" t="n">
        <v>100.862203062</v>
      </c>
      <c r="I1140" t="n">
        <v>99.55502252799999</v>
      </c>
      <c r="J1140" t="n">
        <v>93.084485919</v>
      </c>
      <c r="K1140" t="n">
        <v>99.691692359</v>
      </c>
      <c r="L1140" t="n">
        <v>100.3</v>
      </c>
      <c r="M1140" t="n">
        <v>97.40000000000001</v>
      </c>
      <c r="N1140" t="n">
        <v>96.43308036099999</v>
      </c>
      <c r="O1140" t="n">
        <v>96.708059005</v>
      </c>
      <c r="P1140" t="n">
        <v/>
      </c>
      <c r="Q1140" t="n">
        <v>103.6</v>
      </c>
      <c r="R1140" t="n">
        <v>100.71</v>
      </c>
      <c r="S1140" t="n">
        <v>99.759197</v>
      </c>
      <c r="T1140" t="n">
        <v>97.651908944</v>
      </c>
      <c r="U1140" t="n">
        <v/>
      </c>
      <c r="V1140" t="n">
        <v>96.29567968000001</v>
      </c>
      <c r="W1140" t="n">
        <v>89.107425619</v>
      </c>
      <c r="X1140" t="n">
        <v>94.502706158</v>
      </c>
      <c r="Y1140" t="n">
        <v/>
      </c>
      <c r="Z1140" t="n">
        <v>60.270870725</v>
      </c>
      <c r="AA1140" t="n">
        <v>89.84507805699999</v>
      </c>
      <c r="AB1140" t="n">
        <v>98.07962529300001</v>
      </c>
      <c r="AC1140" t="n">
        <v>99.691692359</v>
      </c>
      <c r="AD1140" t="n">
        <v>101.891509041</v>
      </c>
      <c r="AE1140" t="n">
        <v>100.125</v>
      </c>
      <c r="AF1140" t="n">
        <v>95.307942329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98.671208331</v>
      </c>
      <c r="AM1140" t="n">
        <v>96.09999999999999</v>
      </c>
      <c r="AN1140" t="n">
        <v>98.16278797699999</v>
      </c>
      <c r="AO1140" t="n">
        <v>95.40000000000001</v>
      </c>
      <c r="AP1140" t="n">
        <v>93.90000000000001</v>
      </c>
      <c r="AQ1140" t="n">
        <v>93.80781731800001</v>
      </c>
      <c r="AR1140" t="n">
        <v>99.791684026</v>
      </c>
      <c r="AS1140" t="n">
        <v>92.29230897399999</v>
      </c>
      <c r="AT1140" t="n">
        <v>99.30511404799999</v>
      </c>
      <c r="AU1140" t="n">
        <v/>
      </c>
    </row>
    <row r="1141">
      <c r="A1141" s="107" t="n">
        <v>41609</v>
      </c>
      <c r="B1141" t="n">
        <v>99.47138588999999</v>
      </c>
      <c r="C1141" t="n">
        <v>102.29147571</v>
      </c>
      <c r="D1141" t="n">
        <v>109.110927608</v>
      </c>
      <c r="E1141" t="n">
        <v>96.697869654</v>
      </c>
      <c r="F1141" t="n">
        <v>102.4</v>
      </c>
      <c r="G1141" t="n">
        <v/>
      </c>
      <c r="H1141" t="n">
        <v>98.695112424</v>
      </c>
      <c r="I1141" t="n">
        <v>99.463097299</v>
      </c>
      <c r="J1141" t="n">
        <v>94.684219297</v>
      </c>
      <c r="K1141" t="n">
        <v>99.791684026</v>
      </c>
      <c r="L1141" t="n">
        <v>101.5</v>
      </c>
      <c r="M1141" t="n">
        <v>97.2</v>
      </c>
      <c r="N1141" t="n">
        <v>96.679080566</v>
      </c>
      <c r="O1141" t="n">
        <v>90.607550629</v>
      </c>
      <c r="P1141" t="n">
        <v/>
      </c>
      <c r="Q1141" t="n">
        <v>98.8</v>
      </c>
      <c r="R1141" t="n">
        <v>99.44</v>
      </c>
      <c r="S1141" t="n">
        <v>99.73477168300001</v>
      </c>
      <c r="T1141" t="n">
        <v>98.297185876</v>
      </c>
      <c r="U1141" t="n">
        <v/>
      </c>
      <c r="V1141" t="n">
        <v>99.392324981</v>
      </c>
      <c r="W1141" t="n">
        <v>89.407450621</v>
      </c>
      <c r="X1141" t="n">
        <v>94.74144721099999</v>
      </c>
      <c r="Y1141" t="n">
        <v/>
      </c>
      <c r="Z1141" t="n">
        <v>62.225260885</v>
      </c>
      <c r="AA1141" t="n">
        <v>88.845140188</v>
      </c>
      <c r="AB1141" t="n">
        <v>97.892271663</v>
      </c>
      <c r="AC1141" t="n">
        <v>98.691775685</v>
      </c>
      <c r="AD1141" t="n">
        <v>101.891509041</v>
      </c>
      <c r="AE1141" t="n">
        <v>101.547</v>
      </c>
      <c r="AF1141" t="n">
        <v>100.208350696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98.640768122</v>
      </c>
      <c r="AM1141" t="n">
        <v>92.90000000000001</v>
      </c>
      <c r="AN1141" t="n">
        <v>98.703218083</v>
      </c>
      <c r="AO1141" t="n">
        <v>96</v>
      </c>
      <c r="AP1141" t="n">
        <v>92.90000000000001</v>
      </c>
      <c r="AQ1141" t="n">
        <v>96.408034003</v>
      </c>
      <c r="AR1141" t="n">
        <v>100.091659028</v>
      </c>
      <c r="AS1141" t="n">
        <v>91.792350637</v>
      </c>
      <c r="AT1141" t="n">
        <v>99.51304933599999</v>
      </c>
      <c r="AU1141" t="n">
        <v/>
      </c>
    </row>
    <row r="1142">
      <c r="A1142" s="107" t="n">
        <v>41640</v>
      </c>
      <c r="B1142" t="n">
        <v>100.8503792</v>
      </c>
      <c r="C1142" t="n">
        <v>100.091659028</v>
      </c>
      <c r="D1142" t="n">
        <v>110.98265896</v>
      </c>
      <c r="E1142" t="n">
        <v>97.052347715</v>
      </c>
      <c r="F1142" t="n">
        <v>100.7</v>
      </c>
      <c r="G1142" t="n">
        <v/>
      </c>
      <c r="H1142" t="n">
        <v>99.195702357</v>
      </c>
      <c r="I1142" t="n">
        <v>100.841975702</v>
      </c>
      <c r="J1142" t="n">
        <v>92.684552575</v>
      </c>
      <c r="K1142" t="n">
        <v>99.29172569000001</v>
      </c>
      <c r="L1142" t="n">
        <v>100.7</v>
      </c>
      <c r="M1142" t="n">
        <v>96.90000000000001</v>
      </c>
      <c r="N1142" t="n">
        <v>96.555080463</v>
      </c>
      <c r="O1142" t="n">
        <v>97.708142345</v>
      </c>
      <c r="P1142" t="n">
        <v/>
      </c>
      <c r="Q1142" t="n">
        <v>101.1</v>
      </c>
      <c r="R1142" t="n">
        <v>98.03</v>
      </c>
      <c r="S1142" t="n">
        <v>99.873641932</v>
      </c>
      <c r="T1142" t="n">
        <v>98.619824341</v>
      </c>
      <c r="U1142" t="n">
        <v/>
      </c>
      <c r="V1142" t="n">
        <v>97.394489303</v>
      </c>
      <c r="W1142" t="n">
        <v>90.207517293</v>
      </c>
      <c r="X1142" t="n">
        <v>95.96627759099999</v>
      </c>
      <c r="Y1142" t="n">
        <v/>
      </c>
      <c r="Z1142" t="n">
        <v>65.314458233</v>
      </c>
      <c r="AA1142" t="n">
        <v>87.93820209499999</v>
      </c>
      <c r="AB1142" t="n">
        <v>97.985948478</v>
      </c>
      <c r="AC1142" t="n">
        <v>100.291642363</v>
      </c>
      <c r="AD1142" t="n">
        <v>103.591367386</v>
      </c>
      <c r="AE1142" t="n">
        <v>101.318</v>
      </c>
      <c r="AF1142" t="n">
        <v>96.908075673</v>
      </c>
      <c r="AG1142" t="n">
        <v>97.2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98.911743269</v>
      </c>
      <c r="AM1142" t="n">
        <v>94.90000000000001</v>
      </c>
      <c r="AN1142" t="n">
        <v>100.328847026</v>
      </c>
      <c r="AO1142" t="n">
        <v>90.3</v>
      </c>
      <c r="AP1142" t="n">
        <v>92.40000000000001</v>
      </c>
      <c r="AQ1142" t="n">
        <v>93.00775064600001</v>
      </c>
      <c r="AR1142" t="n">
        <v>100.091659028</v>
      </c>
      <c r="AS1142" t="n">
        <v>95.19206732799999</v>
      </c>
      <c r="AT1142" t="n">
        <v>99.14140343299999</v>
      </c>
      <c r="AU1142" t="n">
        <v/>
      </c>
    </row>
    <row r="1143">
      <c r="A1143" s="107" t="n">
        <v>41671</v>
      </c>
      <c r="B1143" t="n">
        <v>99.65525167</v>
      </c>
      <c r="C1143" t="n">
        <v>104.791267394</v>
      </c>
      <c r="D1143" t="n">
        <v>111.533168181</v>
      </c>
      <c r="E1143" t="n">
        <v>98.85577157199999</v>
      </c>
      <c r="F1143" t="n">
        <v>100.8</v>
      </c>
      <c r="G1143" t="n">
        <v/>
      </c>
      <c r="H1143" t="n">
        <v>100.529921178</v>
      </c>
      <c r="I1143" t="n">
        <v>99.646947758</v>
      </c>
      <c r="J1143" t="n">
        <v>94.08431928</v>
      </c>
      <c r="K1143" t="n">
        <v>99.391717357</v>
      </c>
      <c r="L1143" t="n">
        <v>102</v>
      </c>
      <c r="M1143" t="n">
        <v>97.59999999999999</v>
      </c>
      <c r="N1143" t="n">
        <v>97.111080926</v>
      </c>
      <c r="O1143" t="n">
        <v>97.30810900900001</v>
      </c>
      <c r="P1143" t="n">
        <v/>
      </c>
      <c r="Q1143" t="n">
        <v>101.8</v>
      </c>
      <c r="R1143" t="n">
        <v>99.36</v>
      </c>
      <c r="S1143" t="n">
        <v>100.226692627</v>
      </c>
      <c r="T1143" t="n">
        <v>98.619824341</v>
      </c>
      <c r="U1143" t="n">
        <v/>
      </c>
      <c r="V1143" t="n">
        <v>99.692000333</v>
      </c>
      <c r="W1143" t="n">
        <v>91.207600633</v>
      </c>
      <c r="X1143" t="n">
        <v>96.028334336</v>
      </c>
      <c r="Y1143" t="n">
        <v/>
      </c>
      <c r="Z1143" t="n">
        <v>68.84496948899999</v>
      </c>
      <c r="AA1143" t="n">
        <v>87.46317205</v>
      </c>
      <c r="AB1143" t="n">
        <v>102.107728337</v>
      </c>
      <c r="AC1143" t="n">
        <v>99.491709024</v>
      </c>
      <c r="AD1143" t="n">
        <v>102.891425715</v>
      </c>
      <c r="AE1143" t="n">
        <v>100.558</v>
      </c>
      <c r="AF1143" t="n">
        <v>99.908325694</v>
      </c>
      <c r="AG1143" t="n">
        <v>97.7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99.231132911</v>
      </c>
      <c r="AM1143" t="n">
        <v>94.7</v>
      </c>
      <c r="AN1143" t="n">
        <v>99.94626750400001</v>
      </c>
      <c r="AO1143" t="n">
        <v>92.90000000000001</v>
      </c>
      <c r="AP1143" t="n">
        <v>93</v>
      </c>
      <c r="AQ1143" t="n">
        <v>91.107592299</v>
      </c>
      <c r="AR1143" t="n">
        <v>99.991667361</v>
      </c>
      <c r="AS1143" t="n">
        <v>94.292142321</v>
      </c>
      <c r="AT1143" t="n">
        <v>99.90065975100001</v>
      </c>
      <c r="AU1143" t="n">
        <v/>
      </c>
    </row>
    <row r="1144">
      <c r="A1144" s="107" t="n">
        <v>41699</v>
      </c>
      <c r="B1144" t="n">
        <v>98.36819122</v>
      </c>
      <c r="C1144" t="n">
        <v>101.091575702</v>
      </c>
      <c r="D1144" t="n">
        <v>111.202862648</v>
      </c>
      <c r="E1144" t="n">
        <v>99.16958498</v>
      </c>
      <c r="F1144" t="n">
        <v>100.7</v>
      </c>
      <c r="G1144" t="n">
        <v/>
      </c>
      <c r="H1144" t="n">
        <v>98.688729748</v>
      </c>
      <c r="I1144" t="n">
        <v>98.359994554</v>
      </c>
      <c r="J1144" t="n">
        <v>95.584069322</v>
      </c>
      <c r="K1144" t="n">
        <v>99.791684026</v>
      </c>
      <c r="L1144" t="n">
        <v>98.90000000000001</v>
      </c>
      <c r="M1144" t="n">
        <v>97</v>
      </c>
      <c r="N1144" t="n">
        <v>96.483080403</v>
      </c>
      <c r="O1144" t="n">
        <v>96.808067339</v>
      </c>
      <c r="P1144" t="n">
        <v/>
      </c>
      <c r="Q1144" t="n">
        <v>101</v>
      </c>
      <c r="R1144" t="n">
        <v>98.79000000000001</v>
      </c>
      <c r="S1144" t="n">
        <v>100.833537337</v>
      </c>
      <c r="T1144" t="n">
        <v>97.544362789</v>
      </c>
      <c r="U1144" t="n">
        <v/>
      </c>
      <c r="V1144" t="n">
        <v>97.594272871</v>
      </c>
      <c r="W1144" t="n">
        <v>92.10767564</v>
      </c>
      <c r="X1144" t="n">
        <v>95.873853537</v>
      </c>
      <c r="Y1144" t="n">
        <v/>
      </c>
      <c r="Z1144" t="n">
        <v>70.358045742</v>
      </c>
      <c r="AA1144" t="n">
        <v>84.49992574300001</v>
      </c>
      <c r="AB1144" t="n">
        <v>94.14519906300001</v>
      </c>
      <c r="AC1144" t="n">
        <v>98.491792351</v>
      </c>
      <c r="AD1144" t="n">
        <v>104.291309058</v>
      </c>
      <c r="AE1144" t="n">
        <v>101.428</v>
      </c>
      <c r="AF1144" t="n">
        <v>97.108092341</v>
      </c>
      <c r="AG1144" t="n">
        <v>94.59999999999999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99.52163303499999</v>
      </c>
      <c r="AM1144" t="n">
        <v>94.40000000000001</v>
      </c>
      <c r="AN1144" t="n">
        <v>96.224031403</v>
      </c>
      <c r="AO1144" t="n">
        <v>92.2</v>
      </c>
      <c r="AP1144" t="n">
        <v>92.09999999999999</v>
      </c>
      <c r="AQ1144" t="n">
        <v>94.207850654</v>
      </c>
      <c r="AR1144" t="n">
        <v>97.59186734399999</v>
      </c>
      <c r="AS1144" t="n">
        <v>94.492125656</v>
      </c>
      <c r="AT1144" t="n">
        <v>100.882923443</v>
      </c>
      <c r="AU1144" t="n">
        <v/>
      </c>
    </row>
    <row r="1145">
      <c r="A1145" s="107" t="n">
        <v>41730</v>
      </c>
      <c r="B1145" t="n">
        <v>99.10365433</v>
      </c>
      <c r="C1145" t="n">
        <v>104.19131739</v>
      </c>
      <c r="D1145" t="n">
        <v>110.322047894</v>
      </c>
      <c r="E1145" t="n">
        <v>100.463898082</v>
      </c>
      <c r="F1145" t="n">
        <v>101.5</v>
      </c>
      <c r="G1145" t="n">
        <v/>
      </c>
      <c r="H1145" t="n">
        <v>100.508723357</v>
      </c>
      <c r="I1145" t="n">
        <v>99.09539638</v>
      </c>
      <c r="J1145" t="n">
        <v>95.684052658</v>
      </c>
      <c r="K1145" t="n">
        <v>99.391717357</v>
      </c>
      <c r="L1145" t="n">
        <v>99.59999999999999</v>
      </c>
      <c r="M1145" t="n">
        <v>98.59999999999999</v>
      </c>
      <c r="N1145" t="n">
        <v>97.51208126</v>
      </c>
      <c r="O1145" t="n">
        <v>100.008334028</v>
      </c>
      <c r="P1145" t="n">
        <v/>
      </c>
      <c r="Q1145" t="n">
        <v>102.6</v>
      </c>
      <c r="R1145" t="n">
        <v>99.16</v>
      </c>
      <c r="S1145" t="n">
        <v>100.086385149</v>
      </c>
      <c r="T1145" t="n">
        <v>96.361355082</v>
      </c>
      <c r="U1145" t="n">
        <v/>
      </c>
      <c r="V1145" t="n">
        <v>99.991675685</v>
      </c>
      <c r="W1145" t="n">
        <v>92.807733978</v>
      </c>
      <c r="X1145" t="n">
        <v>97.412075523</v>
      </c>
      <c r="Y1145" t="n">
        <v/>
      </c>
      <c r="Z1145" t="n">
        <v>81.895252167</v>
      </c>
      <c r="AA1145" t="n">
        <v>84.13186852</v>
      </c>
      <c r="AB1145" t="n">
        <v>93.021077283</v>
      </c>
      <c r="AC1145" t="n">
        <v>99.491709024</v>
      </c>
      <c r="AD1145" t="n">
        <v>99.791684026</v>
      </c>
      <c r="AE1145" t="n">
        <v>101.916</v>
      </c>
      <c r="AF1145" t="n">
        <v>97.608134011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99.44121502599999</v>
      </c>
      <c r="AM1145" t="n">
        <v>95.8</v>
      </c>
      <c r="AN1145" t="n">
        <v>98.737948794</v>
      </c>
      <c r="AO1145" t="n">
        <v>94.5</v>
      </c>
      <c r="AP1145" t="n">
        <v>94</v>
      </c>
      <c r="AQ1145" t="n">
        <v>93.407783982</v>
      </c>
      <c r="AR1145" t="n">
        <v>98.291809016</v>
      </c>
      <c r="AS1145" t="n">
        <v>93.59220065</v>
      </c>
      <c r="AT1145" t="n">
        <v>100.945591588</v>
      </c>
      <c r="AU1145" t="n">
        <v/>
      </c>
    </row>
    <row r="1146">
      <c r="A1146" s="107" t="n">
        <v>41760</v>
      </c>
      <c r="B1146" t="n">
        <v>97.44886233</v>
      </c>
      <c r="C1146" t="n">
        <v>101.191567369</v>
      </c>
      <c r="D1146" t="n">
        <v>109.110927608</v>
      </c>
      <c r="E1146" t="n">
        <v>100.729288449</v>
      </c>
      <c r="F1146" t="n">
        <v>99.8</v>
      </c>
      <c r="G1146" t="n">
        <v/>
      </c>
      <c r="H1146" t="n">
        <v>101.204538935</v>
      </c>
      <c r="I1146" t="n">
        <v>97.44074226799999</v>
      </c>
      <c r="J1146" t="n">
        <v>94.98416930499999</v>
      </c>
      <c r="K1146" t="n">
        <v>98.691775685</v>
      </c>
      <c r="L1146" t="n">
        <v>98.2</v>
      </c>
      <c r="M1146" t="n">
        <v>97.8</v>
      </c>
      <c r="N1146" t="n">
        <v>97.12108093400001</v>
      </c>
      <c r="O1146" t="n">
        <v>100.508375698</v>
      </c>
      <c r="P1146" t="n">
        <v/>
      </c>
      <c r="Q1146" t="n">
        <v>101.9</v>
      </c>
      <c r="R1146" t="n">
        <v>97.18000000000001</v>
      </c>
      <c r="S1146" t="n">
        <v>100.275392256</v>
      </c>
      <c r="T1146" t="n">
        <v>95.070801219</v>
      </c>
      <c r="U1146" t="n">
        <v/>
      </c>
      <c r="V1146" t="n">
        <v>105.485723799</v>
      </c>
      <c r="W1146" t="n">
        <v>92.40770064199999</v>
      </c>
      <c r="X1146" t="n">
        <v>97.283425826</v>
      </c>
      <c r="Y1146" t="n">
        <v/>
      </c>
      <c r="Z1146" t="n">
        <v>84.22791139</v>
      </c>
      <c r="AA1146" t="n">
        <v>84.74117009</v>
      </c>
      <c r="AB1146" t="n">
        <v>96.018735363</v>
      </c>
      <c r="AC1146" t="n">
        <v>97.99183401400001</v>
      </c>
      <c r="AD1146" t="n">
        <v>101.891509041</v>
      </c>
      <c r="AE1146" t="n">
        <v>99.405</v>
      </c>
      <c r="AF1146" t="n">
        <v>97.30810900900001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99.23802051600001</v>
      </c>
      <c r="AM1146" t="n">
        <v>94.2</v>
      </c>
      <c r="AN1146" t="n">
        <v>97.369710646</v>
      </c>
      <c r="AO1146" t="n">
        <v>94</v>
      </c>
      <c r="AP1146" t="n">
        <v>93.59999999999999</v>
      </c>
      <c r="AQ1146" t="n">
        <v>93.407783982</v>
      </c>
      <c r="AR1146" t="n">
        <v>95.49204233</v>
      </c>
      <c r="AS1146" t="n">
        <v>92.392300642</v>
      </c>
      <c r="AT1146" t="n">
        <v>101.35144716</v>
      </c>
      <c r="AU1146" t="n">
        <v/>
      </c>
    </row>
    <row r="1147">
      <c r="A1147" s="107" t="n">
        <v>41791</v>
      </c>
      <c r="B1147" t="n">
        <v>101.034245</v>
      </c>
      <c r="C1147" t="n">
        <v>102.591450712</v>
      </c>
      <c r="D1147" t="n">
        <v>105.917974126</v>
      </c>
      <c r="E1147" t="n">
        <v>101.577092959</v>
      </c>
      <c r="F1147" t="n">
        <v>104.6</v>
      </c>
      <c r="G1147" t="n">
        <v/>
      </c>
      <c r="H1147" t="n">
        <v>100.872510798</v>
      </c>
      <c r="I1147" t="n">
        <v>101.025826181</v>
      </c>
      <c r="J1147" t="n">
        <v>95.484085986</v>
      </c>
      <c r="K1147" t="n">
        <v>98.791767353</v>
      </c>
      <c r="L1147" t="n">
        <v>97.40000000000001</v>
      </c>
      <c r="M1147" t="n">
        <v>97.3</v>
      </c>
      <c r="N1147" t="n">
        <v>96.64408053699999</v>
      </c>
      <c r="O1147" t="n">
        <v>100.008334028</v>
      </c>
      <c r="P1147" t="n">
        <v/>
      </c>
      <c r="Q1147" t="n">
        <v>99.8</v>
      </c>
      <c r="R1147" t="n">
        <v>99.08</v>
      </c>
      <c r="S1147" t="n">
        <v>100.466946651</v>
      </c>
      <c r="T1147" t="n">
        <v>94.748162753</v>
      </c>
      <c r="U1147" t="n">
        <v/>
      </c>
      <c r="V1147" t="n">
        <v>98.29351535799999</v>
      </c>
      <c r="W1147" t="n">
        <v>95.70797566500001</v>
      </c>
      <c r="X1147" t="n">
        <v>98.173922594</v>
      </c>
      <c r="Y1147" t="n">
        <v/>
      </c>
      <c r="Z1147" t="n">
        <v>63.990516512</v>
      </c>
      <c r="AA1147" t="n">
        <v>86.40221357599999</v>
      </c>
      <c r="AB1147" t="n">
        <v>96.018735363</v>
      </c>
      <c r="AC1147" t="n">
        <v>99.891675694</v>
      </c>
      <c r="AD1147" t="n">
        <v>100.591617365</v>
      </c>
      <c r="AE1147" t="n">
        <v>102.286</v>
      </c>
      <c r="AF1147" t="n">
        <v>97.708142345</v>
      </c>
      <c r="AG1147" t="n">
        <v>95.90000000000001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99.478403407</v>
      </c>
      <c r="AM1147" t="n">
        <v>94.90000000000001</v>
      </c>
      <c r="AN1147" t="n">
        <v>96.84849599899999</v>
      </c>
      <c r="AO1147" t="n">
        <v>95.09999999999999</v>
      </c>
      <c r="AP1147" t="n">
        <v>95.90000000000001</v>
      </c>
      <c r="AQ1147" t="n">
        <v>95.907992333</v>
      </c>
      <c r="AR1147" t="n">
        <v>97.491875677</v>
      </c>
      <c r="AS1147" t="n">
        <v>94.192150654</v>
      </c>
      <c r="AT1147" t="n">
        <v>101.700584093</v>
      </c>
      <c r="AU1147" t="n">
        <v/>
      </c>
    </row>
    <row r="1148">
      <c r="A1148" s="107" t="n">
        <v>41821</v>
      </c>
      <c r="B1148" t="n">
        <v>98.18432543999999</v>
      </c>
      <c r="C1148" t="n">
        <v>100.991584035</v>
      </c>
      <c r="D1148" t="n">
        <v>108.670520231</v>
      </c>
      <c r="E1148" t="n">
        <v>100.987187959</v>
      </c>
      <c r="F1148" t="n">
        <v>100.4</v>
      </c>
      <c r="G1148" t="n">
        <v/>
      </c>
      <c r="H1148" t="n">
        <v>98.921948083</v>
      </c>
      <c r="I1148" t="n">
        <v>98.176144095</v>
      </c>
      <c r="J1148" t="n">
        <v>95.28411931300001</v>
      </c>
      <c r="K1148" t="n">
        <v>100.891592367</v>
      </c>
      <c r="L1148" t="n">
        <v>97.5</v>
      </c>
      <c r="M1148" t="n">
        <v>98.09999999999999</v>
      </c>
      <c r="N1148" t="n">
        <v>96.547080456</v>
      </c>
      <c r="O1148" t="n">
        <v>102.708559047</v>
      </c>
      <c r="P1148" t="n">
        <v/>
      </c>
      <c r="Q1148" t="n">
        <v>101.4</v>
      </c>
      <c r="R1148" t="n">
        <v>100.21</v>
      </c>
      <c r="S1148" t="n">
        <v>100.799480255</v>
      </c>
      <c r="T1148" t="n">
        <v>94.748162753</v>
      </c>
      <c r="U1148" t="n">
        <v/>
      </c>
      <c r="V1148" t="n">
        <v>97.69416465499999</v>
      </c>
      <c r="W1148" t="n">
        <v>97.408117343</v>
      </c>
      <c r="X1148" t="n">
        <v>98.973530199</v>
      </c>
      <c r="Y1148" t="n">
        <v/>
      </c>
      <c r="Z1148" t="n">
        <v>71.240673556</v>
      </c>
      <c r="AA1148" t="n">
        <v>89.438128264</v>
      </c>
      <c r="AB1148" t="n">
        <v>97.704918033</v>
      </c>
      <c r="AC1148" t="n">
        <v>98.491792351</v>
      </c>
      <c r="AD1148" t="n">
        <v>100.39163403</v>
      </c>
      <c r="AE1148" t="n">
        <v>102.927</v>
      </c>
      <c r="AF1148" t="n">
        <v>100.608384032</v>
      </c>
      <c r="AG1148" t="n">
        <v>96.5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99.869252258</v>
      </c>
      <c r="AM1148" t="n">
        <v>96.7</v>
      </c>
      <c r="AN1148" t="n">
        <v>98.43776042499999</v>
      </c>
      <c r="AO1148" t="n">
        <v>94.5</v>
      </c>
      <c r="AP1148" t="n">
        <v>92.8</v>
      </c>
      <c r="AQ1148" t="n">
        <v>96.608050671</v>
      </c>
      <c r="AR1148" t="n">
        <v>95.592033997</v>
      </c>
      <c r="AS1148" t="n">
        <v>96.49195900300001</v>
      </c>
      <c r="AT1148" t="n">
        <v>101.977037876</v>
      </c>
      <c r="AU1148" t="n">
        <v/>
      </c>
    </row>
    <row r="1149">
      <c r="A1149" s="107" t="n">
        <v>41852</v>
      </c>
      <c r="B1149" t="n">
        <v>97.26499655000001</v>
      </c>
      <c r="C1149" t="n">
        <v>97.99183401400001</v>
      </c>
      <c r="D1149" t="n">
        <v>109.110927608</v>
      </c>
      <c r="E1149" t="n">
        <v>99.307898306</v>
      </c>
      <c r="F1149" t="n">
        <v>101.5</v>
      </c>
      <c r="G1149" t="n">
        <v/>
      </c>
      <c r="H1149" t="n">
        <v>97.92486692</v>
      </c>
      <c r="I1149" t="n">
        <v>97.256891809</v>
      </c>
      <c r="J1149" t="n">
        <v>95.584069322</v>
      </c>
      <c r="K1149" t="n">
        <v>96.691942338</v>
      </c>
      <c r="L1149" t="n">
        <v>102.8</v>
      </c>
      <c r="M1149" t="n">
        <v>96.40000000000001</v>
      </c>
      <c r="N1149" t="n">
        <v>97.01008084199999</v>
      </c>
      <c r="O1149" t="n">
        <v>100.8084007</v>
      </c>
      <c r="P1149" t="n">
        <v/>
      </c>
      <c r="Q1149" t="n">
        <v>102</v>
      </c>
      <c r="R1149" t="n">
        <v>98.29000000000001</v>
      </c>
      <c r="S1149" t="n">
        <v>99.628080934</v>
      </c>
      <c r="T1149" t="n">
        <v>93.780247356</v>
      </c>
      <c r="U1149" t="n">
        <v/>
      </c>
      <c r="V1149" t="n">
        <v>96.09589611299999</v>
      </c>
      <c r="W1149" t="n">
        <v>91.807650638</v>
      </c>
      <c r="X1149" t="n">
        <v>98.13538378200001</v>
      </c>
      <c r="Y1149" t="n">
        <v/>
      </c>
      <c r="Z1149" t="n">
        <v>74.96031934299999</v>
      </c>
      <c r="AA1149" t="n">
        <v>93.646691379</v>
      </c>
      <c r="AB1149" t="n">
        <v>97.79859484799999</v>
      </c>
      <c r="AC1149" t="n">
        <v>97.191900675</v>
      </c>
      <c r="AD1149" t="n">
        <v>99.491709024</v>
      </c>
      <c r="AE1149" t="n">
        <v>99.08799999999999</v>
      </c>
      <c r="AF1149" t="n">
        <v>97.708142345</v>
      </c>
      <c r="AG1149" t="n">
        <v>97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98.71723457</v>
      </c>
      <c r="AM1149" t="n">
        <v>95.59999999999999</v>
      </c>
      <c r="AN1149" t="n">
        <v>96.917924111</v>
      </c>
      <c r="AO1149" t="n">
        <v>94.7</v>
      </c>
      <c r="AP1149" t="n">
        <v>94.5</v>
      </c>
      <c r="AQ1149" t="n">
        <v>95.207933994</v>
      </c>
      <c r="AR1149" t="n">
        <v>97.291892342</v>
      </c>
      <c r="AS1149" t="n">
        <v>91.792350637</v>
      </c>
      <c r="AT1149" t="n">
        <v>101.786058684</v>
      </c>
      <c r="AU1149" t="n">
        <v/>
      </c>
    </row>
    <row r="1150">
      <c r="A1150" s="107" t="n">
        <v>41883</v>
      </c>
      <c r="B1150" t="n">
        <v>98.552057</v>
      </c>
      <c r="C1150" t="n">
        <v>102.591450712</v>
      </c>
      <c r="D1150" t="n">
        <v>109.221029452</v>
      </c>
      <c r="E1150" t="n">
        <v>101.212983796</v>
      </c>
      <c r="F1150" t="n">
        <v>101.4</v>
      </c>
      <c r="G1150" t="n">
        <v/>
      </c>
      <c r="H1150" t="n">
        <v>98.082264057</v>
      </c>
      <c r="I1150" t="n">
        <v>98.54384501299999</v>
      </c>
      <c r="J1150" t="n">
        <v>97.1838027</v>
      </c>
      <c r="K1150" t="n">
        <v>99.09174235499999</v>
      </c>
      <c r="L1150" t="n">
        <v>101.3</v>
      </c>
      <c r="M1150" t="n">
        <v>97.40000000000001</v>
      </c>
      <c r="N1150" t="n">
        <v>97.25808104799999</v>
      </c>
      <c r="O1150" t="n">
        <v>101.608467372</v>
      </c>
      <c r="P1150" t="n">
        <v/>
      </c>
      <c r="Q1150" t="n">
        <v>100</v>
      </c>
      <c r="R1150" t="n">
        <v>99.14</v>
      </c>
      <c r="S1150" t="n">
        <v>100.511664336</v>
      </c>
      <c r="T1150" t="n">
        <v>94.102885822</v>
      </c>
      <c r="U1150" t="n">
        <v/>
      </c>
      <c r="V1150" t="n">
        <v>97.29459751900001</v>
      </c>
      <c r="W1150" t="n">
        <v>94.00783398599999</v>
      </c>
      <c r="X1150" t="n">
        <v>98.95577928500001</v>
      </c>
      <c r="Y1150" t="n">
        <v/>
      </c>
      <c r="Z1150" t="n">
        <v>73.447243091</v>
      </c>
      <c r="AA1150" t="n">
        <v>96.76832083799999</v>
      </c>
      <c r="AB1150" t="n">
        <v>102.014051522</v>
      </c>
      <c r="AC1150" t="n">
        <v>97.891842346</v>
      </c>
      <c r="AD1150" t="n">
        <v>100.591617365</v>
      </c>
      <c r="AE1150" t="n">
        <v>99.2</v>
      </c>
      <c r="AF1150" t="n">
        <v>99.70830902599999</v>
      </c>
      <c r="AG1150" t="n">
        <v>98.40000000000001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99.577150383</v>
      </c>
      <c r="AM1150" t="n">
        <v>96.5</v>
      </c>
      <c r="AN1150" t="n">
        <v>96.959881211</v>
      </c>
      <c r="AO1150" t="n">
        <v>96</v>
      </c>
      <c r="AP1150" t="n">
        <v>93.8</v>
      </c>
      <c r="AQ1150" t="n">
        <v>94.00783398599999</v>
      </c>
      <c r="AR1150" t="n">
        <v>95.392050662</v>
      </c>
      <c r="AS1150" t="n">
        <v>96.091992334</v>
      </c>
      <c r="AT1150" t="n">
        <v>102.098209512</v>
      </c>
      <c r="AU1150" t="n">
        <v/>
      </c>
    </row>
    <row r="1151">
      <c r="A1151" s="107" t="n">
        <v>41913</v>
      </c>
      <c r="B1151" t="n">
        <v>98.09239255</v>
      </c>
      <c r="C1151" t="n">
        <v>99.791684026</v>
      </c>
      <c r="D1151" t="n">
        <v>109.331131296</v>
      </c>
      <c r="E1151" t="n">
        <v>102.027079449</v>
      </c>
      <c r="F1151" t="n">
        <v>103.9</v>
      </c>
      <c r="G1151" t="n">
        <v/>
      </c>
      <c r="H1151" t="n">
        <v>99.09204190200001</v>
      </c>
      <c r="I1151" t="n">
        <v>98.084218865</v>
      </c>
      <c r="J1151" t="n">
        <v>96.683886019</v>
      </c>
      <c r="K1151" t="n">
        <v>99.29172569000001</v>
      </c>
      <c r="L1151" t="n">
        <v>100.4</v>
      </c>
      <c r="M1151" t="n">
        <v>97.09999999999999</v>
      </c>
      <c r="N1151" t="n">
        <v>96.827080689</v>
      </c>
      <c r="O1151" t="n">
        <v>100.8084007</v>
      </c>
      <c r="P1151" t="n">
        <v/>
      </c>
      <c r="Q1151" t="n">
        <v>101.3</v>
      </c>
      <c r="R1151" t="n">
        <v>97.61</v>
      </c>
      <c r="S1151" t="n">
        <v>100.446441731</v>
      </c>
      <c r="T1151" t="n">
        <v>93.45760889</v>
      </c>
      <c r="U1151" t="n">
        <v/>
      </c>
      <c r="V1151" t="n">
        <v>99.791892117</v>
      </c>
      <c r="W1151" t="n">
        <v>91.30760896699999</v>
      </c>
      <c r="X1151" t="n">
        <v>94.477847039</v>
      </c>
      <c r="Y1151" t="n">
        <v/>
      </c>
      <c r="Z1151" t="n">
        <v>76.53644044000001</v>
      </c>
      <c r="AA1151" t="n">
        <v>101.172380906</v>
      </c>
      <c r="AB1151" t="n">
        <v>100.608899297</v>
      </c>
      <c r="AC1151" t="n">
        <v>97.69185901199999</v>
      </c>
      <c r="AD1151" t="n">
        <v>100.591617365</v>
      </c>
      <c r="AE1151" t="n">
        <v>97.98</v>
      </c>
      <c r="AF1151" t="n">
        <v>100.108342362</v>
      </c>
      <c r="AG1151" t="n">
        <v>98.5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99.45452458</v>
      </c>
      <c r="AM1151" t="n">
        <v>96.59999999999999</v>
      </c>
      <c r="AN1151" t="n">
        <v>98.861917951</v>
      </c>
      <c r="AO1151" t="n">
        <v>97.09999999999999</v>
      </c>
      <c r="AP1151" t="n">
        <v>93.90000000000001</v>
      </c>
      <c r="AQ1151" t="n">
        <v>95.70797566500001</v>
      </c>
      <c r="AR1151" t="n">
        <v>95.892008999</v>
      </c>
      <c r="AS1151" t="n">
        <v>94.892092326</v>
      </c>
      <c r="AT1151" t="n">
        <v>102.103861544</v>
      </c>
      <c r="AU1151" t="n">
        <v/>
      </c>
    </row>
    <row r="1152">
      <c r="A1152" s="107" t="n">
        <v>41944</v>
      </c>
      <c r="B1152" t="n">
        <v>97.35692944</v>
      </c>
      <c r="C1152" t="n">
        <v>99.29172569000001</v>
      </c>
      <c r="D1152" t="n">
        <v>108.450316543</v>
      </c>
      <c r="E1152" t="n">
        <v>101.658154734</v>
      </c>
      <c r="F1152" t="n">
        <v>103.6</v>
      </c>
      <c r="G1152" t="n">
        <v/>
      </c>
      <c r="H1152" t="n">
        <v>97.97385853900001</v>
      </c>
      <c r="I1152" t="n">
        <v>97.348817039</v>
      </c>
      <c r="J1152" t="n">
        <v>97.383769372</v>
      </c>
      <c r="K1152" t="n">
        <v>99.391717357</v>
      </c>
      <c r="L1152" t="n">
        <v>100.1</v>
      </c>
      <c r="M1152" t="n">
        <v>96.8</v>
      </c>
      <c r="N1152" t="n">
        <v>96.43208036</v>
      </c>
      <c r="O1152" t="n">
        <v>102.30852571</v>
      </c>
      <c r="P1152" t="n">
        <v/>
      </c>
      <c r="Q1152" t="n">
        <v>100.5</v>
      </c>
      <c r="R1152" t="n">
        <v>96.76000000000001</v>
      </c>
      <c r="S1152" t="n">
        <v>100.733482158</v>
      </c>
      <c r="T1152" t="n">
        <v>94.31797813199999</v>
      </c>
      <c r="U1152" t="n">
        <v/>
      </c>
      <c r="V1152" t="n">
        <v>99.192541413</v>
      </c>
      <c r="W1152" t="n">
        <v>95.207933994</v>
      </c>
      <c r="X1152" t="n">
        <v>101.362732786</v>
      </c>
      <c r="Y1152" t="n">
        <v/>
      </c>
      <c r="Z1152" t="n">
        <v>76.03208168899999</v>
      </c>
      <c r="AA1152" t="n">
        <v>99.58835414000001</v>
      </c>
      <c r="AB1152" t="n">
        <v>100.140515222</v>
      </c>
      <c r="AC1152" t="n">
        <v>97.79185067900001</v>
      </c>
      <c r="AD1152" t="n">
        <v>100.591617365</v>
      </c>
      <c r="AE1152" t="n">
        <v>98.49299999999999</v>
      </c>
      <c r="AF1152" t="n">
        <v>100.30835903</v>
      </c>
      <c r="AG1152" t="n">
        <v>96.40000000000001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99.65530361899999</v>
      </c>
      <c r="AM1152" t="n">
        <v>96.40000000000001</v>
      </c>
      <c r="AN1152" t="n">
        <v>97.751337916</v>
      </c>
      <c r="AO1152" t="n">
        <v>97.7</v>
      </c>
      <c r="AP1152" t="n">
        <v>94.5</v>
      </c>
      <c r="AQ1152" t="n">
        <v>95.907992333</v>
      </c>
      <c r="AR1152" t="n">
        <v>95.392050662</v>
      </c>
      <c r="AS1152" t="n">
        <v>95.692025665</v>
      </c>
      <c r="AT1152" t="n">
        <v>102.729848894</v>
      </c>
      <c r="AU1152" t="n">
        <v/>
      </c>
    </row>
    <row r="1153">
      <c r="A1153" s="107" t="n">
        <v>41974</v>
      </c>
      <c r="B1153" t="n">
        <v>99.379453</v>
      </c>
      <c r="C1153" t="n">
        <v>99.691692359</v>
      </c>
      <c r="D1153" t="n">
        <v>105.257363061</v>
      </c>
      <c r="E1153" t="n">
        <v>102.069616816</v>
      </c>
      <c r="F1153" t="n">
        <v>103</v>
      </c>
      <c r="G1153" t="n">
        <v/>
      </c>
      <c r="H1153" t="n">
        <v>99.5417346</v>
      </c>
      <c r="I1153" t="n">
        <v>99.371172069</v>
      </c>
      <c r="J1153" t="n">
        <v>99.08348608599999</v>
      </c>
      <c r="K1153" t="n">
        <v>101.091575702</v>
      </c>
      <c r="L1153" t="n">
        <v>100.2</v>
      </c>
      <c r="M1153" t="n">
        <v>98.2</v>
      </c>
      <c r="N1153" t="n">
        <v>96.661080551</v>
      </c>
      <c r="O1153" t="n">
        <v>101.908492374</v>
      </c>
      <c r="P1153" t="n">
        <v/>
      </c>
      <c r="Q1153" t="n">
        <v>98.5</v>
      </c>
      <c r="R1153" t="n">
        <v>99.73</v>
      </c>
      <c r="S1153" t="n">
        <v>101.277957816</v>
      </c>
      <c r="T1153" t="n">
        <v>96.468901237</v>
      </c>
      <c r="U1153" t="n">
        <v/>
      </c>
      <c r="V1153" t="n">
        <v>96.595355032</v>
      </c>
      <c r="W1153" t="n">
        <v>93.707808984</v>
      </c>
      <c r="X1153" t="n">
        <v>98.689780355</v>
      </c>
      <c r="Y1153" t="n">
        <v/>
      </c>
      <c r="Z1153" t="n">
        <v>70.16891121</v>
      </c>
      <c r="AA1153" t="n">
        <v>98.477595369</v>
      </c>
      <c r="AB1153" t="n">
        <v>98.922716628</v>
      </c>
      <c r="AC1153" t="n">
        <v>98.791767353</v>
      </c>
      <c r="AD1153" t="n">
        <v>100.191650696</v>
      </c>
      <c r="AE1153" t="n">
        <v>101.089</v>
      </c>
      <c r="AF1153" t="n">
        <v>101.408450704</v>
      </c>
      <c r="AG1153" t="n">
        <v>97.2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100.235929919</v>
      </c>
      <c r="AM1153" t="n">
        <v>98.09999999999999</v>
      </c>
      <c r="AN1153" t="n">
        <v>97.35671430399999</v>
      </c>
      <c r="AO1153" t="n">
        <v>100.1</v>
      </c>
      <c r="AP1153" t="n">
        <v>96.40000000000001</v>
      </c>
      <c r="AQ1153" t="n">
        <v>96.708059005</v>
      </c>
      <c r="AR1153" t="n">
        <v>99.591700692</v>
      </c>
      <c r="AS1153" t="n">
        <v>95.592033997</v>
      </c>
      <c r="AT1153" t="n">
        <v>102.720230524</v>
      </c>
      <c r="AU1153" t="n">
        <v/>
      </c>
    </row>
    <row r="1154">
      <c r="A1154" s="107" t="n">
        <v>42005</v>
      </c>
      <c r="B1154" t="n">
        <v>100.5</v>
      </c>
      <c r="C1154" t="n">
        <v>101.291559037</v>
      </c>
      <c r="D1154" t="n">
        <v>105.917974126</v>
      </c>
      <c r="E1154" t="n">
        <v>101.386343632</v>
      </c>
      <c r="F1154" t="n">
        <v>103.5</v>
      </c>
      <c r="G1154" t="n">
        <v/>
      </c>
      <c r="H1154" t="n">
        <v>102.792056092</v>
      </c>
      <c r="I1154" t="n">
        <v>100.491625698</v>
      </c>
      <c r="J1154" t="n">
        <v>97.68371938</v>
      </c>
      <c r="K1154" t="n">
        <v>98.691775685</v>
      </c>
      <c r="L1154" t="n">
        <v>97.3</v>
      </c>
      <c r="M1154" t="n">
        <v>97.7</v>
      </c>
      <c r="N1154" t="n">
        <v>96.85708071400001</v>
      </c>
      <c r="O1154" t="n">
        <v>99.108259022</v>
      </c>
      <c r="P1154" t="n">
        <v/>
      </c>
      <c r="Q1154" t="n">
        <v>97.40000000000001</v>
      </c>
      <c r="R1154" t="n">
        <v>99.48</v>
      </c>
      <c r="S1154" t="n">
        <v>101.094765121</v>
      </c>
      <c r="T1154" t="n">
        <v>98.942462807</v>
      </c>
      <c r="U1154" t="n">
        <v/>
      </c>
      <c r="V1154" t="n">
        <v>97.993840007</v>
      </c>
      <c r="W1154" t="n">
        <v>97.608134011</v>
      </c>
      <c r="X1154" t="n">
        <v>98.09304271800001</v>
      </c>
      <c r="Y1154" t="n">
        <v/>
      </c>
      <c r="Z1154" t="n">
        <v>75.887352108</v>
      </c>
      <c r="AA1154" t="n">
        <v>99.28055435900001</v>
      </c>
      <c r="AB1154" t="n">
        <v>99.11007025799999</v>
      </c>
      <c r="AC1154" t="n">
        <v>98.291809016</v>
      </c>
      <c r="AD1154" t="n">
        <v>102.69144238</v>
      </c>
      <c r="AE1154" t="n">
        <v>97.7</v>
      </c>
      <c r="AF1154" t="n">
        <v>100.008334028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99.91697069999999</v>
      </c>
      <c r="AM1154" t="n">
        <v>98.5</v>
      </c>
      <c r="AN1154" t="n">
        <v>95.87920100700001</v>
      </c>
      <c r="AO1154" t="n">
        <v>101.2</v>
      </c>
      <c r="AP1154" t="n">
        <v>97.59999999999999</v>
      </c>
      <c r="AQ1154" t="n">
        <v>98.508209017</v>
      </c>
      <c r="AR1154" t="n">
        <v>94.692108991</v>
      </c>
      <c r="AS1154" t="n">
        <v>95.19206732799999</v>
      </c>
      <c r="AT1154" t="n">
        <v>101.932912362</v>
      </c>
      <c r="AU1154" t="n">
        <v/>
      </c>
    </row>
    <row r="1155">
      <c r="A1155" s="107" t="n">
        <v>42036</v>
      </c>
      <c r="B1155" t="n">
        <v>99.5</v>
      </c>
      <c r="C1155" t="n">
        <v>97.291892342</v>
      </c>
      <c r="D1155" t="n">
        <v>105.147261217</v>
      </c>
      <c r="E1155" t="n">
        <v>100.746142877</v>
      </c>
      <c r="F1155" t="n">
        <v>98.5</v>
      </c>
      <c r="G1155" t="n">
        <v/>
      </c>
      <c r="H1155" t="n">
        <v>100.564336587</v>
      </c>
      <c r="I1155" t="n">
        <v>99.691692359</v>
      </c>
      <c r="J1155" t="n">
        <v>98.58356940500001</v>
      </c>
      <c r="K1155" t="n">
        <v>99.29172569000001</v>
      </c>
      <c r="L1155" t="n">
        <v>98.5</v>
      </c>
      <c r="M1155" t="n">
        <v>100.4</v>
      </c>
      <c r="N1155" t="n">
        <v>98.109081758</v>
      </c>
      <c r="O1155" t="n">
        <v>102.408534045</v>
      </c>
      <c r="P1155" t="n">
        <v/>
      </c>
      <c r="Q1155" t="n">
        <v>98.8</v>
      </c>
      <c r="R1155" t="n">
        <v>100.03</v>
      </c>
      <c r="S1155" t="n">
        <v>100.522964855</v>
      </c>
      <c r="T1155" t="n">
        <v>100.663201291</v>
      </c>
      <c r="U1155" t="n">
        <v/>
      </c>
      <c r="V1155" t="n">
        <v>101.589944227</v>
      </c>
      <c r="W1155" t="n">
        <v>96.308025669</v>
      </c>
      <c r="X1155" t="n">
        <v>98.865118942</v>
      </c>
      <c r="Y1155" t="n">
        <v/>
      </c>
      <c r="Z1155" t="n">
        <v>112.281286452</v>
      </c>
      <c r="AA1155" t="n">
        <v>101.416981928</v>
      </c>
      <c r="AB1155" t="n">
        <v>100.796252927</v>
      </c>
      <c r="AC1155" t="n">
        <v>99.09174235499999</v>
      </c>
      <c r="AD1155" t="n">
        <v>99.791684026</v>
      </c>
      <c r="AE1155" t="n">
        <v>100.2</v>
      </c>
      <c r="AF1155" t="n">
        <v>100.30835903</v>
      </c>
      <c r="AG1155" t="n">
        <v>97.5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100.057520966</v>
      </c>
      <c r="AM1155" t="n">
        <v>99.2</v>
      </c>
      <c r="AN1155" t="n">
        <v>97.79918500700001</v>
      </c>
      <c r="AO1155" t="n">
        <v>100.1</v>
      </c>
      <c r="AP1155" t="n">
        <v>95.90000000000001</v>
      </c>
      <c r="AQ1155" t="n">
        <v>97.00808400699999</v>
      </c>
      <c r="AR1155" t="n">
        <v>95.792017332</v>
      </c>
      <c r="AS1155" t="n">
        <v>95.19206732799999</v>
      </c>
      <c r="AT1155" t="n">
        <v>101.295720106</v>
      </c>
      <c r="AU1155" t="n">
        <v/>
      </c>
    </row>
    <row r="1156">
      <c r="A1156" s="107" t="n">
        <v>42064</v>
      </c>
      <c r="B1156" t="n">
        <v>100.3</v>
      </c>
      <c r="C1156" t="n">
        <v>100.291642363</v>
      </c>
      <c r="D1156" t="n">
        <v>104.486650151</v>
      </c>
      <c r="E1156" t="n">
        <v>100.143128878</v>
      </c>
      <c r="F1156" t="n">
        <v>98.09999999999999</v>
      </c>
      <c r="G1156" t="n">
        <v/>
      </c>
      <c r="H1156" t="n">
        <v>98.43141788699999</v>
      </c>
      <c r="I1156" t="n">
        <v>100.191650696</v>
      </c>
      <c r="J1156" t="n">
        <v>99.383436094</v>
      </c>
      <c r="K1156" t="n">
        <v>99.391717357</v>
      </c>
      <c r="L1156" t="n">
        <v>102.1</v>
      </c>
      <c r="M1156" t="n">
        <v>100.5</v>
      </c>
      <c r="N1156" t="n">
        <v>98.830082358</v>
      </c>
      <c r="O1156" t="n">
        <v>101.008417368</v>
      </c>
      <c r="P1156" t="n">
        <v/>
      </c>
      <c r="Q1156" t="n">
        <v>100.8</v>
      </c>
      <c r="R1156" t="n">
        <v>99.90000000000001</v>
      </c>
      <c r="S1156" t="n">
        <v>100.329880715</v>
      </c>
      <c r="T1156" t="n">
        <v>101.631116688</v>
      </c>
      <c r="U1156" t="n">
        <v/>
      </c>
      <c r="V1156" t="n">
        <v>101.589944227</v>
      </c>
      <c r="W1156" t="n">
        <v>99.30827569</v>
      </c>
      <c r="X1156" t="n">
        <v>98.18272757</v>
      </c>
      <c r="Y1156" t="n">
        <v/>
      </c>
      <c r="Z1156" t="n">
        <v>111.281453091</v>
      </c>
      <c r="AA1156" t="n">
        <v>103.551499004</v>
      </c>
      <c r="AB1156" t="n">
        <v>100.140515222</v>
      </c>
      <c r="AC1156" t="n">
        <v>99.391717357</v>
      </c>
      <c r="AD1156" t="n">
        <v>99.29172569000001</v>
      </c>
      <c r="AE1156" t="n">
        <v>98.5</v>
      </c>
      <c r="AF1156" t="n">
        <v>100.008334028</v>
      </c>
      <c r="AG1156" t="n">
        <v>101.1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100.075890776</v>
      </c>
      <c r="AM1156" t="n">
        <v>100.1</v>
      </c>
      <c r="AN1156" t="n">
        <v>98.159182007</v>
      </c>
      <c r="AO1156" t="n">
        <v>99.59999999999999</v>
      </c>
      <c r="AP1156" t="n">
        <v>99</v>
      </c>
      <c r="AQ1156" t="n">
        <v>99.30827569</v>
      </c>
      <c r="AR1156" t="n">
        <v>96.091992334</v>
      </c>
      <c r="AS1156" t="n">
        <v>99.09174235499999</v>
      </c>
      <c r="AT1156" t="n">
        <v>100.950946145</v>
      </c>
      <c r="AU1156" t="n">
        <v/>
      </c>
    </row>
    <row r="1157">
      <c r="A1157" s="107" t="n">
        <v>42095</v>
      </c>
      <c r="B1157" t="n">
        <v>100.1</v>
      </c>
      <c r="C1157" t="n">
        <v>101.591534039</v>
      </c>
      <c r="D1157" t="n">
        <v>102.504816956</v>
      </c>
      <c r="E1157" t="n">
        <v>99.27606216300001</v>
      </c>
      <c r="F1157" t="n">
        <v>100.5</v>
      </c>
      <c r="G1157" t="n">
        <v/>
      </c>
      <c r="H1157" t="n">
        <v>100.707721437</v>
      </c>
      <c r="I1157" t="n">
        <v>100.091659028</v>
      </c>
      <c r="J1157" t="n">
        <v>100.383269455</v>
      </c>
      <c r="K1157" t="n">
        <v>99.991667361</v>
      </c>
      <c r="L1157" t="n">
        <v>101.1</v>
      </c>
      <c r="M1157" t="n">
        <v>99.40000000000001</v>
      </c>
      <c r="N1157" t="n">
        <v>99.74908312399999</v>
      </c>
      <c r="O1157" t="n">
        <v>101.30844237</v>
      </c>
      <c r="P1157" t="n">
        <v/>
      </c>
      <c r="Q1157" t="n">
        <v>100.2</v>
      </c>
      <c r="R1157" t="n">
        <v>99.31999999999999</v>
      </c>
      <c r="S1157" t="n">
        <v>100.130413606</v>
      </c>
      <c r="T1157" t="n">
        <v>100.878293601</v>
      </c>
      <c r="U1157" t="n">
        <v/>
      </c>
      <c r="V1157" t="n">
        <v>100.790809956</v>
      </c>
      <c r="W1157" t="n">
        <v>98.908242354</v>
      </c>
      <c r="X1157" t="n">
        <v>98.111696245</v>
      </c>
      <c r="Y1157" t="n">
        <v/>
      </c>
      <c r="Z1157" t="n">
        <v>90.784869188</v>
      </c>
      <c r="AA1157" t="n">
        <v>107.166310948</v>
      </c>
      <c r="AB1157" t="n">
        <v>98.173302108</v>
      </c>
      <c r="AC1157" t="n">
        <v>99.691692359</v>
      </c>
      <c r="AD1157" t="n">
        <v>99.691692359</v>
      </c>
      <c r="AE1157" t="n">
        <v>99.59999999999999</v>
      </c>
      <c r="AF1157" t="n">
        <v>100.8084007</v>
      </c>
      <c r="AG1157" t="n">
        <v>102.4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99.884746904</v>
      </c>
      <c r="AM1157" t="n">
        <v>97.90000000000001</v>
      </c>
      <c r="AN1157" t="n">
        <v>99.849167924</v>
      </c>
      <c r="AO1157" t="n">
        <v>99.5</v>
      </c>
      <c r="AP1157" t="n">
        <v>98</v>
      </c>
      <c r="AQ1157" t="n">
        <v>98.208184015</v>
      </c>
      <c r="AR1157" t="n">
        <v>101.691525706</v>
      </c>
      <c r="AS1157" t="n">
        <v>99.391717357</v>
      </c>
      <c r="AT1157" t="n">
        <v>100.376620353</v>
      </c>
      <c r="AU1157" t="n">
        <v/>
      </c>
    </row>
    <row r="1158">
      <c r="A1158" s="107" t="n">
        <v>42125</v>
      </c>
      <c r="B1158" t="n">
        <v>99.2</v>
      </c>
      <c r="C1158" t="n">
        <v>101.691525706</v>
      </c>
      <c r="D1158" t="n">
        <v>101.513900358</v>
      </c>
      <c r="E1158" t="n">
        <v>98.35495426599999</v>
      </c>
      <c r="F1158" t="n">
        <v>100.9</v>
      </c>
      <c r="G1158" t="n">
        <v/>
      </c>
      <c r="H1158" t="n">
        <v>100.758771684</v>
      </c>
      <c r="I1158" t="n">
        <v>99.29172569000001</v>
      </c>
      <c r="J1158" t="n">
        <v>99.983336111</v>
      </c>
      <c r="K1158" t="n">
        <v>100.091659028</v>
      </c>
      <c r="L1158" t="n">
        <v>100.8</v>
      </c>
      <c r="M1158" t="n">
        <v>100</v>
      </c>
      <c r="N1158" t="n">
        <v>100.931084109</v>
      </c>
      <c r="O1158" t="n">
        <v>101.008417368</v>
      </c>
      <c r="P1158" t="n">
        <v/>
      </c>
      <c r="Q1158" t="n">
        <v>99.5</v>
      </c>
      <c r="R1158" t="n">
        <v>100.25</v>
      </c>
      <c r="S1158" t="n">
        <v>99.95082979599999</v>
      </c>
      <c r="T1158" t="n">
        <v>100.23301667</v>
      </c>
      <c r="U1158" t="n">
        <v/>
      </c>
      <c r="V1158" t="n">
        <v>96.09589611299999</v>
      </c>
      <c r="W1158" t="n">
        <v>98.208184015</v>
      </c>
      <c r="X1158" t="n">
        <v>98.91390895799999</v>
      </c>
      <c r="Y1158" t="n">
        <v/>
      </c>
      <c r="Z1158" t="n">
        <v>97.283786036</v>
      </c>
      <c r="AA1158" t="n">
        <v>105.742773571</v>
      </c>
      <c r="AB1158" t="n">
        <v>97.892271663</v>
      </c>
      <c r="AC1158" t="n">
        <v>100.491625698</v>
      </c>
      <c r="AD1158" t="n">
        <v>99.691692359</v>
      </c>
      <c r="AE1158" t="n">
        <v>98.09999999999999</v>
      </c>
      <c r="AF1158" t="n">
        <v>100.208350696</v>
      </c>
      <c r="AG1158" t="n">
        <v>99.5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99.724832222</v>
      </c>
      <c r="AM1158" t="n">
        <v>99</v>
      </c>
      <c r="AN1158" t="n">
        <v>100.089165924</v>
      </c>
      <c r="AO1158" t="n">
        <v>100.1</v>
      </c>
      <c r="AP1158" t="n">
        <v>100.3</v>
      </c>
      <c r="AQ1158" t="n">
        <v>99.608300692</v>
      </c>
      <c r="AR1158" t="n">
        <v>100.291642363</v>
      </c>
      <c r="AS1158" t="n">
        <v>99.491709024</v>
      </c>
      <c r="AT1158" t="n">
        <v>99.905716832</v>
      </c>
      <c r="AU1158" t="n">
        <v/>
      </c>
    </row>
    <row r="1159">
      <c r="A1159" s="107" t="n">
        <v>42156</v>
      </c>
      <c r="B1159" t="n">
        <v>100.1</v>
      </c>
      <c r="C1159" t="n">
        <v>97.491875677</v>
      </c>
      <c r="D1159" t="n">
        <v>100.52298376</v>
      </c>
      <c r="E1159" t="n">
        <v>99.15647598</v>
      </c>
      <c r="F1159" t="n">
        <v>96.5</v>
      </c>
      <c r="G1159" t="n">
        <v/>
      </c>
      <c r="H1159" t="n">
        <v>103.1727208</v>
      </c>
      <c r="I1159" t="n">
        <v>100.191650696</v>
      </c>
      <c r="J1159" t="n">
        <v>100.483252791</v>
      </c>
      <c r="K1159" t="n">
        <v>100.191650696</v>
      </c>
      <c r="L1159" t="n">
        <v>105.2</v>
      </c>
      <c r="M1159" t="n">
        <v>100.3</v>
      </c>
      <c r="N1159" t="n">
        <v>101.12408427</v>
      </c>
      <c r="O1159" t="n">
        <v>101.608467372</v>
      </c>
      <c r="P1159" t="n">
        <v/>
      </c>
      <c r="Q1159" t="n">
        <v>101.4</v>
      </c>
      <c r="R1159" t="n">
        <v>100.19</v>
      </c>
      <c r="S1159" t="n">
        <v>99.989692107</v>
      </c>
      <c r="T1159" t="n">
        <v>100.340562825</v>
      </c>
      <c r="U1159" t="n">
        <v/>
      </c>
      <c r="V1159" t="n">
        <v>95.196870057</v>
      </c>
      <c r="W1159" t="n">
        <v>100.208350696</v>
      </c>
      <c r="X1159" t="n">
        <v>98.98512026500001</v>
      </c>
      <c r="Y1159" t="n">
        <v/>
      </c>
      <c r="Z1159" t="n">
        <v>101.28311948</v>
      </c>
      <c r="AA1159" t="n">
        <v>105.02693641</v>
      </c>
      <c r="AB1159" t="n">
        <v>100.140515222</v>
      </c>
      <c r="AC1159" t="n">
        <v>99.991667361</v>
      </c>
      <c r="AD1159" t="n">
        <v>100.491625698</v>
      </c>
      <c r="AE1159" t="n">
        <v>100.1</v>
      </c>
      <c r="AF1159" t="n">
        <v>99.30827569</v>
      </c>
      <c r="AG1159" t="n">
        <v>98.8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100.052579324</v>
      </c>
      <c r="AM1159" t="n">
        <v>99.59999999999999</v>
      </c>
      <c r="AN1159" t="n">
        <v>100.599161674</v>
      </c>
      <c r="AO1159" t="n">
        <v>99.8</v>
      </c>
      <c r="AP1159" t="n">
        <v>99.59999999999999</v>
      </c>
      <c r="AQ1159" t="n">
        <v>100.408367364</v>
      </c>
      <c r="AR1159" t="n">
        <v>100.39163403</v>
      </c>
      <c r="AS1159" t="n">
        <v>100.39163403</v>
      </c>
      <c r="AT1159" t="n">
        <v>99.60754734699999</v>
      </c>
      <c r="AU1159" t="n">
        <v/>
      </c>
    </row>
    <row r="1160">
      <c r="A1160" s="107" t="n">
        <v>42186</v>
      </c>
      <c r="B1160" t="n">
        <v>100</v>
      </c>
      <c r="C1160" t="n">
        <v>98.491792351</v>
      </c>
      <c r="D1160" t="n">
        <v>98.76135425299999</v>
      </c>
      <c r="E1160" t="n">
        <v>100.617460653</v>
      </c>
      <c r="F1160" t="n">
        <v>100.8</v>
      </c>
      <c r="G1160" t="n">
        <v/>
      </c>
      <c r="H1160" t="n">
        <v>99.315723659</v>
      </c>
      <c r="I1160" t="n">
        <v>100.091659028</v>
      </c>
      <c r="J1160" t="n">
        <v>102.982836194</v>
      </c>
      <c r="K1160" t="n">
        <v>101.591534039</v>
      </c>
      <c r="L1160" t="n">
        <v>100.1</v>
      </c>
      <c r="M1160" t="n">
        <v>100.9</v>
      </c>
      <c r="N1160" t="n">
        <v>102.062085052</v>
      </c>
      <c r="O1160" t="n">
        <v>100.108342362</v>
      </c>
      <c r="P1160" t="n">
        <v/>
      </c>
      <c r="Q1160" t="n">
        <v>99.3</v>
      </c>
      <c r="R1160" t="n">
        <v>99.2</v>
      </c>
      <c r="S1160" t="n">
        <v>100.518597095</v>
      </c>
      <c r="T1160" t="n">
        <v>99.802832049</v>
      </c>
      <c r="U1160" t="n">
        <v/>
      </c>
      <c r="V1160" t="n">
        <v>97.49438108699999</v>
      </c>
      <c r="W1160" t="n">
        <v>101.408450704</v>
      </c>
      <c r="X1160" t="n">
        <v>100.451508616</v>
      </c>
      <c r="Y1160" t="n">
        <v/>
      </c>
      <c r="Z1160" t="n">
        <v>99.58340276600001</v>
      </c>
      <c r="AA1160" t="n">
        <v>100.226348699</v>
      </c>
      <c r="AB1160" t="n">
        <v>97.142857143</v>
      </c>
      <c r="AC1160" t="n">
        <v>100.991584035</v>
      </c>
      <c r="AD1160" t="n">
        <v>100.39163403</v>
      </c>
      <c r="AE1160" t="n">
        <v>99.2</v>
      </c>
      <c r="AF1160" t="n">
        <v>98.508209017</v>
      </c>
      <c r="AG1160" t="n">
        <v>101.4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100.38900327</v>
      </c>
      <c r="AM1160" t="n">
        <v>100.8</v>
      </c>
      <c r="AN1160" t="n">
        <v>103.499137507</v>
      </c>
      <c r="AO1160" t="n">
        <v>100.1</v>
      </c>
      <c r="AP1160" t="n">
        <v>103.3</v>
      </c>
      <c r="AQ1160" t="n">
        <v>99.20826735599999</v>
      </c>
      <c r="AR1160" t="n">
        <v>98.491792351</v>
      </c>
      <c r="AS1160" t="n">
        <v>99.791684026</v>
      </c>
      <c r="AT1160" t="n">
        <v>100.259117579</v>
      </c>
      <c r="AU1160" t="n">
        <v/>
      </c>
    </row>
    <row r="1161">
      <c r="A1161" s="107" t="n">
        <v>42217</v>
      </c>
      <c r="B1161" t="n">
        <v>99.90000000000001</v>
      </c>
      <c r="C1161" t="n">
        <v>97.891842346</v>
      </c>
      <c r="D1161" t="n">
        <v>99.31186347400001</v>
      </c>
      <c r="E1161" t="n">
        <v>101.706577775</v>
      </c>
      <c r="F1161" t="n">
        <v>99.59999999999999</v>
      </c>
      <c r="G1161" t="n">
        <v/>
      </c>
      <c r="H1161" t="n">
        <v>94.8647014</v>
      </c>
      <c r="I1161" t="n">
        <v>99.891675694</v>
      </c>
      <c r="J1161" t="n">
        <v>100.7832028</v>
      </c>
      <c r="K1161" t="n">
        <v>99.19173402200001</v>
      </c>
      <c r="L1161" t="n">
        <v>103.5</v>
      </c>
      <c r="M1161" t="n">
        <v>99.8</v>
      </c>
      <c r="N1161" t="n">
        <v>99.79808316499999</v>
      </c>
      <c r="O1161" t="n">
        <v>100.908409034</v>
      </c>
      <c r="P1161" t="n">
        <v/>
      </c>
      <c r="Q1161" t="n">
        <v>100</v>
      </c>
      <c r="R1161" t="n">
        <v>100.06</v>
      </c>
      <c r="S1161" t="n">
        <v>99.777658288</v>
      </c>
      <c r="T1161" t="n">
        <v>100.340562825</v>
      </c>
      <c r="U1161" t="n">
        <v/>
      </c>
      <c r="V1161" t="n">
        <v>100.89070174</v>
      </c>
      <c r="W1161" t="n">
        <v>97.608134011</v>
      </c>
      <c r="X1161" t="n">
        <v>101.429210227</v>
      </c>
      <c r="Y1161" t="n">
        <v/>
      </c>
      <c r="Z1161" t="n">
        <v>105.682386269</v>
      </c>
      <c r="AA1161" t="n">
        <v>96.249366486</v>
      </c>
      <c r="AB1161" t="n">
        <v>99.39110070300001</v>
      </c>
      <c r="AC1161" t="n">
        <v>98.791767353</v>
      </c>
      <c r="AD1161" t="n">
        <v>98.791767353</v>
      </c>
      <c r="AE1161" t="n">
        <v>101.9</v>
      </c>
      <c r="AF1161" t="n">
        <v>101.508459038</v>
      </c>
      <c r="AG1161" t="n">
        <v>101.6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100.047492013</v>
      </c>
      <c r="AM1161" t="n">
        <v>98.7</v>
      </c>
      <c r="AN1161" t="n">
        <v>98.259181173</v>
      </c>
      <c r="AO1161" t="n">
        <v>100.9</v>
      </c>
      <c r="AP1161" t="n">
        <v>96.59999999999999</v>
      </c>
      <c r="AQ1161" t="n">
        <v>99.908325694</v>
      </c>
      <c r="AR1161" t="n">
        <v>103.591367386</v>
      </c>
      <c r="AS1161" t="n">
        <v>102.591450712</v>
      </c>
      <c r="AT1161" t="n">
        <v>100.031251441</v>
      </c>
      <c r="AU1161" t="n">
        <v/>
      </c>
    </row>
    <row r="1162">
      <c r="A1162" s="107" t="n">
        <v>42248</v>
      </c>
      <c r="B1162" t="n">
        <v>99.7</v>
      </c>
      <c r="C1162" t="n">
        <v>101.091575702</v>
      </c>
      <c r="D1162" t="n">
        <v>96.99972474499999</v>
      </c>
      <c r="E1162" t="n">
        <v>99.55001351</v>
      </c>
      <c r="F1162" t="n">
        <v>100.6</v>
      </c>
      <c r="G1162" t="n">
        <v/>
      </c>
      <c r="H1162" t="n">
        <v>100.094706079</v>
      </c>
      <c r="I1162" t="n">
        <v>99.791684026</v>
      </c>
      <c r="J1162" t="n">
        <v>100.183302783</v>
      </c>
      <c r="K1162" t="n">
        <v>99.391717357</v>
      </c>
      <c r="L1162" t="n">
        <v>99.8</v>
      </c>
      <c r="M1162" t="n">
        <v>100.4</v>
      </c>
      <c r="N1162" t="n">
        <v>101.180084317</v>
      </c>
      <c r="O1162" t="n">
        <v>100.708392366</v>
      </c>
      <c r="P1162" t="n">
        <v/>
      </c>
      <c r="Q1162" t="n">
        <v>101.6</v>
      </c>
      <c r="R1162" t="n">
        <v>101.22</v>
      </c>
      <c r="S1162" t="n">
        <v>99.969525512</v>
      </c>
      <c r="T1162" t="n">
        <v>99.69528589399999</v>
      </c>
      <c r="U1162" t="n">
        <v/>
      </c>
      <c r="V1162" t="n">
        <v>100.39124282</v>
      </c>
      <c r="W1162" t="n">
        <v>101.508459038</v>
      </c>
      <c r="X1162" t="n">
        <v>100.793428957</v>
      </c>
      <c r="Y1162" t="n">
        <v/>
      </c>
      <c r="Z1162" t="n">
        <v>101.583069488</v>
      </c>
      <c r="AA1162" t="n">
        <v>93.741077686</v>
      </c>
      <c r="AB1162" t="n">
        <v>97.985948478</v>
      </c>
      <c r="AC1162" t="n">
        <v>99.791684026</v>
      </c>
      <c r="AD1162" t="n">
        <v>100.491625698</v>
      </c>
      <c r="AE1162" t="n">
        <v>103.1</v>
      </c>
      <c r="AF1162" t="n">
        <v>98.708225685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100.48867473</v>
      </c>
      <c r="AM1162" t="n">
        <v>100.8</v>
      </c>
      <c r="AN1162" t="n">
        <v>101.499154174</v>
      </c>
      <c r="AO1162" t="n">
        <v>99.8</v>
      </c>
      <c r="AP1162" t="n">
        <v>101.8</v>
      </c>
      <c r="AQ1162" t="n">
        <v>100.108342362</v>
      </c>
      <c r="AR1162" t="n">
        <v>102.891425715</v>
      </c>
      <c r="AS1162" t="n">
        <v>102.69144238</v>
      </c>
      <c r="AT1162" t="n">
        <v>99.76134211599999</v>
      </c>
      <c r="AU1162" t="n">
        <v/>
      </c>
    </row>
    <row r="1163">
      <c r="A1163" s="107" t="n">
        <v>42278</v>
      </c>
      <c r="B1163" t="n">
        <v>100.5</v>
      </c>
      <c r="C1163" t="n">
        <v>101.691525706</v>
      </c>
      <c r="D1163" t="n">
        <v>96.779521057</v>
      </c>
      <c r="E1163" t="n">
        <v>99.32662544900001</v>
      </c>
      <c r="F1163" t="n">
        <v>101.4</v>
      </c>
      <c r="G1163" t="n">
        <v/>
      </c>
      <c r="H1163" t="n">
        <v>100.338720166</v>
      </c>
      <c r="I1163" t="n">
        <v>100.491625698</v>
      </c>
      <c r="J1163" t="n">
        <v>102.282952841</v>
      </c>
      <c r="K1163" t="n">
        <v>100.191650696</v>
      </c>
      <c r="L1163" t="n">
        <v>96.8</v>
      </c>
      <c r="M1163" t="n">
        <v>100.7</v>
      </c>
      <c r="N1163" t="n">
        <v>100.555083796</v>
      </c>
      <c r="O1163" t="n">
        <v>101.30844237</v>
      </c>
      <c r="P1163" t="n">
        <v/>
      </c>
      <c r="Q1163" t="n">
        <v>99.90000000000001</v>
      </c>
      <c r="R1163" t="n">
        <v>101.28</v>
      </c>
      <c r="S1163" t="n">
        <v>99.912399451</v>
      </c>
      <c r="T1163" t="n">
        <v>99.910378204</v>
      </c>
      <c r="U1163" t="n">
        <v/>
      </c>
      <c r="V1163" t="n">
        <v>99.592108549</v>
      </c>
      <c r="W1163" t="n">
        <v>102.108509042</v>
      </c>
      <c r="X1163" t="n">
        <v>103.421754157</v>
      </c>
      <c r="Y1163" t="n">
        <v/>
      </c>
      <c r="Z1163" t="n">
        <v>100.883186136</v>
      </c>
      <c r="AA1163" t="n">
        <v>92.87555942199999</v>
      </c>
      <c r="AB1163" t="n">
        <v>97.236533958</v>
      </c>
      <c r="AC1163" t="n">
        <v>99.891675694</v>
      </c>
      <c r="AD1163" t="n">
        <v>100.591617365</v>
      </c>
      <c r="AE1163" t="n">
        <v>101.2</v>
      </c>
      <c r="AF1163" t="n">
        <v>100.108342362</v>
      </c>
      <c r="AG1163" t="n">
        <v>100.6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100.248426977</v>
      </c>
      <c r="AM1163" t="n">
        <v>101.6</v>
      </c>
      <c r="AN1163" t="n">
        <v>104.239131341</v>
      </c>
      <c r="AO1163" t="n">
        <v>100.4</v>
      </c>
      <c r="AP1163" t="n">
        <v>101.6</v>
      </c>
      <c r="AQ1163" t="n">
        <v>99.108259022</v>
      </c>
      <c r="AR1163" t="n">
        <v>102.391467378</v>
      </c>
      <c r="AS1163" t="n">
        <v>100.291642363</v>
      </c>
      <c r="AT1163" t="n">
        <v>99.30818796</v>
      </c>
      <c r="AU1163" t="n">
        <v/>
      </c>
    </row>
    <row r="1164">
      <c r="A1164" s="107" t="n">
        <v>42309</v>
      </c>
      <c r="B1164" t="n">
        <v>101.1</v>
      </c>
      <c r="C1164" t="n">
        <v>101.191567369</v>
      </c>
      <c r="D1164" t="n">
        <v>95.127993394</v>
      </c>
      <c r="E1164" t="n">
        <v>99.64552193900001</v>
      </c>
      <c r="F1164" t="n">
        <v>100.7</v>
      </c>
      <c r="G1164" t="n">
        <v/>
      </c>
      <c r="H1164" t="n">
        <v>97.9167264</v>
      </c>
      <c r="I1164" t="n">
        <v>101.091575702</v>
      </c>
      <c r="J1164" t="n">
        <v>99.88335277500001</v>
      </c>
      <c r="K1164" t="n">
        <v>99.19173402200001</v>
      </c>
      <c r="L1164" t="n">
        <v>95.59999999999999</v>
      </c>
      <c r="M1164" t="n">
        <v>100</v>
      </c>
      <c r="N1164" t="n">
        <v>100.498083748</v>
      </c>
      <c r="O1164" t="n">
        <v>98.308192349</v>
      </c>
      <c r="P1164" t="n">
        <v/>
      </c>
      <c r="Q1164" t="n">
        <v>98.7</v>
      </c>
      <c r="R1164" t="n">
        <v>99.31</v>
      </c>
      <c r="S1164" t="n">
        <v>99.198788392</v>
      </c>
      <c r="T1164" t="n">
        <v>98.727370497</v>
      </c>
      <c r="U1164" t="n">
        <v/>
      </c>
      <c r="V1164" t="n">
        <v>102.68875385</v>
      </c>
      <c r="W1164" t="n">
        <v>101.508459038</v>
      </c>
      <c r="X1164" t="n">
        <v>101.627413943</v>
      </c>
      <c r="Y1164" t="n">
        <v/>
      </c>
      <c r="Z1164" t="n">
        <v>98.483586069</v>
      </c>
      <c r="AA1164" t="n">
        <v>95.571336367</v>
      </c>
      <c r="AB1164" t="n">
        <v>104.824355972</v>
      </c>
      <c r="AC1164" t="n">
        <v>100.591617365</v>
      </c>
      <c r="AD1164" t="n">
        <v>99.991667361</v>
      </c>
      <c r="AE1164" t="n">
        <v>100.5</v>
      </c>
      <c r="AF1164" t="n">
        <v>101.108425702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99.760639543</v>
      </c>
      <c r="AM1164" t="n">
        <v>101.7</v>
      </c>
      <c r="AN1164" t="n">
        <v>99.79916833999999</v>
      </c>
      <c r="AO1164" t="n">
        <v>100</v>
      </c>
      <c r="AP1164" t="n">
        <v>103.2</v>
      </c>
      <c r="AQ1164" t="n">
        <v>100.208350696</v>
      </c>
      <c r="AR1164" t="n">
        <v>102.69144238</v>
      </c>
      <c r="AS1164" t="n">
        <v>102.491459045</v>
      </c>
      <c r="AT1164" t="n">
        <v>98.545361937</v>
      </c>
      <c r="AU1164" t="n">
        <v/>
      </c>
    </row>
    <row r="1165">
      <c r="A1165" s="107" t="n">
        <v>42339</v>
      </c>
      <c r="B1165" t="n">
        <v>99</v>
      </c>
      <c r="C1165" t="n">
        <v>99.791684026</v>
      </c>
      <c r="D1165" t="n">
        <v>93.696669419</v>
      </c>
      <c r="E1165" t="n">
        <v>100.090692878</v>
      </c>
      <c r="F1165" t="n">
        <v>98.90000000000001</v>
      </c>
      <c r="G1165" t="n">
        <v/>
      </c>
      <c r="H1165" t="n">
        <v>98.710016251</v>
      </c>
      <c r="I1165" t="n">
        <v>98.591784018</v>
      </c>
      <c r="J1165" t="n">
        <v>99.283452758</v>
      </c>
      <c r="K1165" t="n">
        <v>99.491709024</v>
      </c>
      <c r="L1165" t="n">
        <v>99.2</v>
      </c>
      <c r="M1165" t="n">
        <v>100</v>
      </c>
      <c r="N1165" t="n">
        <v>100.307083589</v>
      </c>
      <c r="O1165" t="n">
        <v>96.008000667</v>
      </c>
      <c r="P1165" t="n">
        <v/>
      </c>
      <c r="Q1165" t="n">
        <v>102.4</v>
      </c>
      <c r="R1165" t="n">
        <v>99.75</v>
      </c>
      <c r="S1165" t="n">
        <v>98.60448506199999</v>
      </c>
      <c r="T1165" t="n">
        <v>98.834916652</v>
      </c>
      <c r="U1165" t="n">
        <v/>
      </c>
      <c r="V1165" t="n">
        <v>105.685507367</v>
      </c>
      <c r="W1165" t="n">
        <v>101.108425702</v>
      </c>
      <c r="X1165" t="n">
        <v>102.134422187</v>
      </c>
      <c r="Y1165" t="n">
        <v/>
      </c>
      <c r="Z1165" t="n">
        <v>105.482419597</v>
      </c>
      <c r="AA1165" t="n">
        <v>99.15125511700001</v>
      </c>
      <c r="AB1165" t="n">
        <v>101.264637002</v>
      </c>
      <c r="AC1165" t="n">
        <v>98.691775685</v>
      </c>
      <c r="AD1165" t="n">
        <v>98.091825681</v>
      </c>
      <c r="AE1165" t="n">
        <v>99.8</v>
      </c>
      <c r="AF1165" t="n">
        <v>99.608300692</v>
      </c>
      <c r="AG1165" t="n">
        <v>99.59999999999999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99.353222575</v>
      </c>
      <c r="AM1165" t="n">
        <v>102.1</v>
      </c>
      <c r="AN1165" t="n">
        <v>100.30916409</v>
      </c>
      <c r="AO1165" t="n">
        <v>99.2</v>
      </c>
      <c r="AP1165" t="n">
        <v>102.1</v>
      </c>
      <c r="AQ1165" t="n">
        <v>98.708225685</v>
      </c>
      <c r="AR1165" t="n">
        <v>100.991584035</v>
      </c>
      <c r="AS1165" t="n">
        <v>103.291392384</v>
      </c>
      <c r="AT1165" t="n">
        <v>98.025275822</v>
      </c>
      <c r="AU1165" t="n">
        <v/>
      </c>
    </row>
    <row r="1166">
      <c r="A1166" s="107" t="n">
        <v>42370</v>
      </c>
      <c r="B1166" t="n">
        <v>102.3</v>
      </c>
      <c r="C1166" t="n">
        <v>104.991250729</v>
      </c>
      <c r="D1166" t="n">
        <v>94.687586017</v>
      </c>
      <c r="E1166" t="n">
        <v>100.697987367</v>
      </c>
      <c r="F1166" t="n">
        <v>99.7</v>
      </c>
      <c r="G1166" t="n">
        <v/>
      </c>
      <c r="H1166" t="n">
        <v>99.09283528900001</v>
      </c>
      <c r="I1166" t="n">
        <v>102.29147571</v>
      </c>
      <c r="J1166" t="n">
        <v>102.082986169</v>
      </c>
      <c r="K1166" t="n">
        <v>101.791517374</v>
      </c>
      <c r="L1166" t="n">
        <v>104.6</v>
      </c>
      <c r="M1166" t="n">
        <v>102.9</v>
      </c>
      <c r="N1166" t="n">
        <v>101.830084858</v>
      </c>
      <c r="O1166" t="n">
        <v>101.108425702</v>
      </c>
      <c r="P1166" t="n">
        <v/>
      </c>
      <c r="Q1166" t="n">
        <v>100.4</v>
      </c>
      <c r="R1166" t="n">
        <v>101.45</v>
      </c>
      <c r="S1166" t="n">
        <v>100.049255172</v>
      </c>
      <c r="T1166" t="n">
        <v>101.523570532</v>
      </c>
      <c r="U1166" t="n">
        <v/>
      </c>
      <c r="V1166" t="n">
        <v>102.089403147</v>
      </c>
      <c r="W1166" t="n">
        <v>99.70830902599999</v>
      </c>
      <c r="X1166" t="n">
        <v>102.458038265</v>
      </c>
      <c r="Y1166" t="n">
        <v/>
      </c>
      <c r="Z1166" t="n">
        <v>118.380269955</v>
      </c>
      <c r="AA1166" t="n">
        <v>94.680152081</v>
      </c>
      <c r="AB1166" t="n">
        <v>99.578454333</v>
      </c>
      <c r="AC1166" t="n">
        <v>101.691525706</v>
      </c>
      <c r="AD1166" t="n">
        <v>100.291642363</v>
      </c>
      <c r="AE1166" t="n">
        <v>99</v>
      </c>
      <c r="AF1166" t="n">
        <v>99.908325694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100.563680845</v>
      </c>
      <c r="AM1166" t="n">
        <v>101.9</v>
      </c>
      <c r="AN1166" t="n">
        <v>100.649161257</v>
      </c>
      <c r="AO1166" t="n">
        <v>100.5</v>
      </c>
      <c r="AP1166" t="n">
        <v>104.1</v>
      </c>
      <c r="AQ1166" t="n">
        <v>106.408867406</v>
      </c>
      <c r="AR1166" t="n">
        <v>101.191567369</v>
      </c>
      <c r="AS1166" t="n">
        <v>102.591450712</v>
      </c>
      <c r="AT1166" t="n">
        <v>98.572035563</v>
      </c>
      <c r="AU1166" t="n">
        <v/>
      </c>
    </row>
    <row r="1167">
      <c r="A1167" s="107" t="n">
        <v>42401</v>
      </c>
      <c r="B1167" t="n">
        <v>101.9</v>
      </c>
      <c r="C1167" t="n">
        <v>102.191484043</v>
      </c>
      <c r="D1167" t="n">
        <v>93.586567575</v>
      </c>
      <c r="E1167" t="n">
        <v>99.77340157099999</v>
      </c>
      <c r="F1167" t="n">
        <v>102.7</v>
      </c>
      <c r="G1167" t="n">
        <v/>
      </c>
      <c r="H1167" t="n">
        <v>99.33412569399999</v>
      </c>
      <c r="I1167" t="n">
        <v>101.991500708</v>
      </c>
      <c r="J1167" t="n">
        <v>103.882686219</v>
      </c>
      <c r="K1167" t="n">
        <v>101.591534039</v>
      </c>
      <c r="L1167" t="n">
        <v>100</v>
      </c>
      <c r="M1167" t="n">
        <v>101.3</v>
      </c>
      <c r="N1167" t="n">
        <v>101.46008455</v>
      </c>
      <c r="O1167" t="n">
        <v>98.708225685</v>
      </c>
      <c r="P1167" t="n">
        <v/>
      </c>
      <c r="Q1167" t="n">
        <v>102.4</v>
      </c>
      <c r="R1167" t="n">
        <v>100.83</v>
      </c>
      <c r="S1167" t="n">
        <v>99.506514964</v>
      </c>
      <c r="T1167" t="n">
        <v>101.953755153</v>
      </c>
      <c r="U1167" t="n">
        <v/>
      </c>
      <c r="V1167" t="n">
        <v>98.29351535799999</v>
      </c>
      <c r="W1167" t="n">
        <v>98.10817568100001</v>
      </c>
      <c r="X1167" t="n">
        <v>102.177911778</v>
      </c>
      <c r="Y1167" t="n">
        <v/>
      </c>
      <c r="Z1167" t="n">
        <v>100.083319447</v>
      </c>
      <c r="AA1167" t="n">
        <v>90.75860726400001</v>
      </c>
      <c r="AB1167" t="n">
        <v>98.548009368</v>
      </c>
      <c r="AC1167" t="n">
        <v>100.39163403</v>
      </c>
      <c r="AD1167" t="n">
        <v>99.491709024</v>
      </c>
      <c r="AE1167" t="n">
        <v>100.8</v>
      </c>
      <c r="AF1167" t="n">
        <v>102.108509042</v>
      </c>
      <c r="AG1167" t="n">
        <v>98.2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100.141124372</v>
      </c>
      <c r="AM1167" t="n">
        <v>101.4</v>
      </c>
      <c r="AN1167" t="n">
        <v>102.309147424</v>
      </c>
      <c r="AO1167" t="n">
        <v>99.8</v>
      </c>
      <c r="AP1167" t="n">
        <v>105.7</v>
      </c>
      <c r="AQ1167" t="n">
        <v>107.408950746</v>
      </c>
      <c r="AR1167" t="n">
        <v>101.391550704</v>
      </c>
      <c r="AS1167" t="n">
        <v>103.691359053</v>
      </c>
      <c r="AT1167" t="n">
        <v>98.06236108500001</v>
      </c>
      <c r="AU1167" t="n">
        <v/>
      </c>
    </row>
    <row r="1168">
      <c r="A1168" s="107" t="n">
        <v>42430</v>
      </c>
      <c r="B1168" t="n">
        <v>102.6</v>
      </c>
      <c r="C1168" t="n">
        <v>103.691359053</v>
      </c>
      <c r="D1168" t="n">
        <v>94.026974952</v>
      </c>
      <c r="E1168" t="n">
        <v>98.756785245</v>
      </c>
      <c r="F1168" t="n">
        <v>101.9</v>
      </c>
      <c r="G1168" t="n">
        <v/>
      </c>
      <c r="H1168" t="n">
        <v>101.806207046</v>
      </c>
      <c r="I1168" t="n">
        <v>102.491459045</v>
      </c>
      <c r="J1168" t="n">
        <v>102.782869522</v>
      </c>
      <c r="K1168" t="n">
        <v>100.39163403</v>
      </c>
      <c r="L1168" t="n">
        <v>103.6</v>
      </c>
      <c r="M1168" t="n">
        <v>100.7</v>
      </c>
      <c r="N1168" t="n">
        <v>102.34808529</v>
      </c>
      <c r="O1168" t="n">
        <v>97.108092341</v>
      </c>
      <c r="P1168" t="n">
        <v/>
      </c>
      <c r="Q1168" t="n">
        <v>100.2</v>
      </c>
      <c r="R1168" t="n">
        <v>100.09</v>
      </c>
      <c r="S1168" t="n">
        <v>98.983424973</v>
      </c>
      <c r="T1168" t="n">
        <v>101.631116688</v>
      </c>
      <c r="U1168" t="n">
        <v/>
      </c>
      <c r="V1168" t="n">
        <v>99.692000333</v>
      </c>
      <c r="W1168" t="n">
        <v>96.608050671</v>
      </c>
      <c r="X1168" t="n">
        <v>103.030521832</v>
      </c>
      <c r="Y1168" t="n">
        <v/>
      </c>
      <c r="Z1168" t="n">
        <v>98.78353607699999</v>
      </c>
      <c r="AA1168" t="n">
        <v>88.77777442199999</v>
      </c>
      <c r="AB1168" t="n">
        <v>101.077283372</v>
      </c>
      <c r="AC1168" t="n">
        <v>100.491625698</v>
      </c>
      <c r="AD1168" t="n">
        <v>99.891675694</v>
      </c>
      <c r="AE1168" t="n">
        <v>101</v>
      </c>
      <c r="AF1168" t="n">
        <v>101.608467372</v>
      </c>
      <c r="AG1168" t="n">
        <v>103.1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99.764427872</v>
      </c>
      <c r="AM1168" t="n">
        <v>100.5</v>
      </c>
      <c r="AN1168" t="n">
        <v>100.469162757</v>
      </c>
      <c r="AO1168" t="n">
        <v>100.7</v>
      </c>
      <c r="AP1168" t="n">
        <v>100.3</v>
      </c>
      <c r="AQ1168" t="n">
        <v>103.708642387</v>
      </c>
      <c r="AR1168" t="n">
        <v>101.091575702</v>
      </c>
      <c r="AS1168" t="n">
        <v>102.591450712</v>
      </c>
      <c r="AT1168" t="n">
        <v>97.31262397899999</v>
      </c>
      <c r="AU1168" t="n">
        <v/>
      </c>
    </row>
    <row r="1169">
      <c r="A1169" s="107" t="n">
        <v>42461</v>
      </c>
      <c r="B1169" t="n">
        <v>102</v>
      </c>
      <c r="C1169" t="n">
        <v>105.391217399</v>
      </c>
      <c r="D1169" t="n">
        <v>94.137076796</v>
      </c>
      <c r="E1169" t="n">
        <v>99.012009449</v>
      </c>
      <c r="F1169" t="n">
        <v>101</v>
      </c>
      <c r="G1169" t="n">
        <v/>
      </c>
      <c r="H1169" t="n">
        <v>97.944093861</v>
      </c>
      <c r="I1169" t="n">
        <v>102.191484043</v>
      </c>
      <c r="J1169" t="n">
        <v>102.682886186</v>
      </c>
      <c r="K1169" t="n">
        <v>101.191567369</v>
      </c>
      <c r="L1169" t="n">
        <v>102</v>
      </c>
      <c r="M1169" t="n">
        <v>101.7</v>
      </c>
      <c r="N1169" t="n">
        <v>102.54008545</v>
      </c>
      <c r="O1169" t="n">
        <v>102.108509042</v>
      </c>
      <c r="P1169" t="n">
        <v/>
      </c>
      <c r="Q1169" t="n">
        <v>105.3</v>
      </c>
      <c r="R1169" t="n">
        <v>101.15</v>
      </c>
      <c r="S1169" t="n">
        <v>99.372640885</v>
      </c>
      <c r="T1169" t="n">
        <v>103.674493637</v>
      </c>
      <c r="U1169" t="n">
        <v/>
      </c>
      <c r="V1169" t="n">
        <v>103.188212769</v>
      </c>
      <c r="W1169" t="n">
        <v>102.30852571</v>
      </c>
      <c r="X1169" t="n">
        <v>104.287762534</v>
      </c>
      <c r="Y1169" t="n">
        <v/>
      </c>
      <c r="Z1169" t="n">
        <v>98.683552741</v>
      </c>
      <c r="AA1169" t="n">
        <v>87.59031932000001</v>
      </c>
      <c r="AB1169" t="n">
        <v>100.515222482</v>
      </c>
      <c r="AC1169" t="n">
        <v>102.091492376</v>
      </c>
      <c r="AD1169" t="n">
        <v>99.19173402200001</v>
      </c>
      <c r="AE1169" t="n">
        <v>99.90000000000001</v>
      </c>
      <c r="AF1169" t="n">
        <v>98.908242354</v>
      </c>
      <c r="AG1169" t="n">
        <v>102.7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100.039590036</v>
      </c>
      <c r="AM1169" t="n">
        <v>103.5</v>
      </c>
      <c r="AN1169" t="n">
        <v>103.799135007</v>
      </c>
      <c r="AO1169" t="n">
        <v>100.3</v>
      </c>
      <c r="AP1169" t="n">
        <v>104.5</v>
      </c>
      <c r="AQ1169" t="n">
        <v>104.608717393</v>
      </c>
      <c r="AR1169" t="n">
        <v>103.691359053</v>
      </c>
      <c r="AS1169" t="n">
        <v>102.791434047</v>
      </c>
      <c r="AT1169" t="n">
        <v>97.608017027</v>
      </c>
      <c r="AU1169" t="n">
        <v/>
      </c>
    </row>
    <row r="1170">
      <c r="A1170" s="107" t="n">
        <v>42491</v>
      </c>
      <c r="B1170" t="n">
        <v>101.2</v>
      </c>
      <c r="C1170" t="n">
        <v>101.391550704</v>
      </c>
      <c r="D1170" t="n">
        <v>94.24717864</v>
      </c>
      <c r="E1170" t="n">
        <v>95.21922796</v>
      </c>
      <c r="F1170" t="n">
        <v>99.8</v>
      </c>
      <c r="G1170" t="n">
        <v/>
      </c>
      <c r="H1170" t="n">
        <v>98.77989551500001</v>
      </c>
      <c r="I1170" t="n">
        <v>101.391550704</v>
      </c>
      <c r="J1170" t="n">
        <v>100.883186136</v>
      </c>
      <c r="K1170" t="n">
        <v>99.29172569000001</v>
      </c>
      <c r="L1170" t="n">
        <v>103.3</v>
      </c>
      <c r="M1170" t="n">
        <v>100.3</v>
      </c>
      <c r="N1170" t="n">
        <v>100.359083633</v>
      </c>
      <c r="O1170" t="n">
        <v>99.608300692</v>
      </c>
      <c r="P1170" t="n">
        <v/>
      </c>
      <c r="Q1170" t="n">
        <v>104</v>
      </c>
      <c r="R1170" t="n">
        <v>99.58</v>
      </c>
      <c r="S1170" t="n">
        <v>98.41381288300001</v>
      </c>
      <c r="T1170" t="n">
        <v>101.308478222</v>
      </c>
      <c r="U1170" t="n">
        <v/>
      </c>
      <c r="V1170" t="n">
        <v>100.89070174</v>
      </c>
      <c r="W1170" t="n">
        <v>101.608467372</v>
      </c>
      <c r="X1170" t="n">
        <v>105.643312468</v>
      </c>
      <c r="Y1170" t="n">
        <v/>
      </c>
      <c r="Z1170" t="n">
        <v>101.583069488</v>
      </c>
      <c r="AA1170" t="n">
        <v>89.61386866799999</v>
      </c>
      <c r="AB1170" t="n">
        <v>101.358313817</v>
      </c>
      <c r="AC1170" t="n">
        <v>100.39163403</v>
      </c>
      <c r="AD1170" t="n">
        <v>98.691775685</v>
      </c>
      <c r="AE1170" t="n">
        <v>103.4</v>
      </c>
      <c r="AF1170" t="n">
        <v>99.50829235800001</v>
      </c>
      <c r="AG1170" t="n">
        <v>104.2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99.543577232</v>
      </c>
      <c r="AM1170" t="n">
        <v>102.1</v>
      </c>
      <c r="AN1170" t="n">
        <v>100.60916159</v>
      </c>
      <c r="AO1170" t="n">
        <v>100.4</v>
      </c>
      <c r="AP1170" t="n">
        <v>103.5</v>
      </c>
      <c r="AQ1170" t="n">
        <v>105.408784065</v>
      </c>
      <c r="AR1170" t="n">
        <v>99.891675694</v>
      </c>
      <c r="AS1170" t="n">
        <v>104.491292392</v>
      </c>
      <c r="AT1170" t="n">
        <v>97.383125643</v>
      </c>
      <c r="AU1170" t="n">
        <v/>
      </c>
    </row>
    <row r="1171">
      <c r="A1171" s="107" t="n">
        <v>42522</v>
      </c>
      <c r="B1171" t="n">
        <v>101.1</v>
      </c>
      <c r="C1171" t="n">
        <v>102.791434047</v>
      </c>
      <c r="D1171" t="n">
        <v>93.256262042</v>
      </c>
      <c r="E1171" t="n">
        <v>97.69629389799999</v>
      </c>
      <c r="F1171" t="n">
        <v>98</v>
      </c>
      <c r="G1171" t="n">
        <v/>
      </c>
      <c r="H1171" t="n">
        <v>98.596698402</v>
      </c>
      <c r="I1171" t="n">
        <v>101.091575702</v>
      </c>
      <c r="J1171" t="n">
        <v>104.482586236</v>
      </c>
      <c r="K1171" t="n">
        <v>101.791517374</v>
      </c>
      <c r="L1171" t="n">
        <v>101.9</v>
      </c>
      <c r="M1171" t="n">
        <v>101.4</v>
      </c>
      <c r="N1171" t="n">
        <v>100.683083903</v>
      </c>
      <c r="O1171" t="n">
        <v>99.80831736</v>
      </c>
      <c r="P1171" t="n">
        <v/>
      </c>
      <c r="Q1171" t="n">
        <v>105.3</v>
      </c>
      <c r="R1171" t="n">
        <v>99.33</v>
      </c>
      <c r="S1171" t="n">
        <v>99.00633360800001</v>
      </c>
      <c r="T1171" t="n">
        <v>99.587739738</v>
      </c>
      <c r="U1171" t="n">
        <v/>
      </c>
      <c r="V1171" t="n">
        <v>101.889619579</v>
      </c>
      <c r="W1171" t="n">
        <v>100.108342362</v>
      </c>
      <c r="X1171" t="n">
        <v>107.006420192</v>
      </c>
      <c r="Y1171" t="n">
        <v/>
      </c>
      <c r="Z1171" t="n">
        <v>105.982336277</v>
      </c>
      <c r="AA1171" t="n">
        <v>91.62723360699999</v>
      </c>
      <c r="AB1171" t="n">
        <v>101.545667447</v>
      </c>
      <c r="AC1171" t="n">
        <v>99.29172569000001</v>
      </c>
      <c r="AD1171" t="n">
        <v>99.19173402200001</v>
      </c>
      <c r="AE1171" t="n">
        <v>103.5</v>
      </c>
      <c r="AF1171" t="n">
        <v>99.20826735599999</v>
      </c>
      <c r="AG1171" t="n">
        <v>105.8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100.035659567</v>
      </c>
      <c r="AM1171" t="n">
        <v>103.2</v>
      </c>
      <c r="AN1171" t="n">
        <v>102.449146257</v>
      </c>
      <c r="AO1171" t="n">
        <v>100.7</v>
      </c>
      <c r="AP1171" t="n">
        <v>103.9</v>
      </c>
      <c r="AQ1171" t="n">
        <v>105.808817401</v>
      </c>
      <c r="AR1171" t="n">
        <v>99.391717357</v>
      </c>
      <c r="AS1171" t="n">
        <v>103.991334055</v>
      </c>
      <c r="AT1171" t="n">
        <v>97.84619564499999</v>
      </c>
      <c r="AU1171" t="n">
        <v/>
      </c>
    </row>
    <row r="1172">
      <c r="A1172" s="107" t="n">
        <v>42552</v>
      </c>
      <c r="B1172" t="n">
        <v>100.6</v>
      </c>
      <c r="C1172" t="n">
        <v>107.791017415</v>
      </c>
      <c r="D1172" t="n">
        <v>93.916873108</v>
      </c>
      <c r="E1172" t="n">
        <v>100.257364449</v>
      </c>
      <c r="F1172" t="n">
        <v>98.8</v>
      </c>
      <c r="G1172" t="n">
        <v/>
      </c>
      <c r="H1172" t="n">
        <v>97.591877602</v>
      </c>
      <c r="I1172" t="n">
        <v>100.691609033</v>
      </c>
      <c r="J1172" t="n">
        <v>101.783036161</v>
      </c>
      <c r="K1172" t="n">
        <v>99.991667361</v>
      </c>
      <c r="L1172" t="n">
        <v>107.7</v>
      </c>
      <c r="M1172" t="n">
        <v>101.3</v>
      </c>
      <c r="N1172" t="n">
        <v>100.799083999</v>
      </c>
      <c r="O1172" t="n">
        <v>104.508709059</v>
      </c>
      <c r="P1172" t="n">
        <v/>
      </c>
      <c r="Q1172" t="n">
        <v>106.6</v>
      </c>
      <c r="R1172" t="n">
        <v>99.11</v>
      </c>
      <c r="S1172" t="n">
        <v>99.127492211</v>
      </c>
      <c r="T1172" t="n">
        <v>99.37264742799999</v>
      </c>
      <c r="U1172" t="n">
        <v/>
      </c>
      <c r="V1172" t="n">
        <v>103.188212769</v>
      </c>
      <c r="W1172" t="n">
        <v>101.80848404</v>
      </c>
      <c r="X1172" t="n">
        <v>105.690838869</v>
      </c>
      <c r="Y1172" t="n">
        <v/>
      </c>
      <c r="Z1172" t="n">
        <v>106.68221963</v>
      </c>
      <c r="AA1172" t="n">
        <v>93.90133833599999</v>
      </c>
      <c r="AB1172" t="n">
        <v>99.859484778</v>
      </c>
      <c r="AC1172" t="n">
        <v>101.291559037</v>
      </c>
      <c r="AD1172" t="n">
        <v>99.691692359</v>
      </c>
      <c r="AE1172" t="n">
        <v>102.7</v>
      </c>
      <c r="AF1172" t="n">
        <v>99.70830902599999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99.74212019799999</v>
      </c>
      <c r="AM1172" t="n">
        <v>102.3</v>
      </c>
      <c r="AN1172" t="n">
        <v>101.80915159</v>
      </c>
      <c r="AO1172" t="n">
        <v>102</v>
      </c>
      <c r="AP1172" t="n">
        <v>100.2</v>
      </c>
      <c r="AQ1172" t="n">
        <v>107.608967414</v>
      </c>
      <c r="AR1172" t="n">
        <v>101.991500708</v>
      </c>
      <c r="AS1172" t="n">
        <v>97.69185901199999</v>
      </c>
      <c r="AT1172" t="n">
        <v>98.005344971</v>
      </c>
      <c r="AU1172" t="n">
        <v/>
      </c>
    </row>
    <row r="1173">
      <c r="A1173" s="107" t="n">
        <v>42583</v>
      </c>
      <c r="B1173" t="n">
        <v>103.1</v>
      </c>
      <c r="C1173" t="n">
        <v>105.491209066</v>
      </c>
      <c r="D1173" t="n">
        <v>92.04514175600001</v>
      </c>
      <c r="E1173" t="n">
        <v>100.66427851</v>
      </c>
      <c r="F1173" t="n">
        <v>101.4</v>
      </c>
      <c r="G1173" t="n">
        <v/>
      </c>
      <c r="H1173" t="n">
        <v>97.241832311</v>
      </c>
      <c r="I1173" t="n">
        <v>103.191400717</v>
      </c>
      <c r="J1173" t="n">
        <v>104.082652891</v>
      </c>
      <c r="K1173" t="n">
        <v>102.091492376</v>
      </c>
      <c r="L1173" t="n">
        <v>106.8</v>
      </c>
      <c r="M1173" t="n">
        <v>101.5</v>
      </c>
      <c r="N1173" t="n">
        <v>102.143085119</v>
      </c>
      <c r="O1173" t="n">
        <v>103.508625719</v>
      </c>
      <c r="P1173" t="n">
        <v/>
      </c>
      <c r="Q1173" t="n">
        <v>103.7</v>
      </c>
      <c r="R1173" t="n">
        <v>101.12</v>
      </c>
      <c r="S1173" t="n">
        <v>99.700412149</v>
      </c>
      <c r="T1173" t="n">
        <v>98.727370497</v>
      </c>
      <c r="U1173" t="n">
        <v/>
      </c>
      <c r="V1173" t="n">
        <v>103.288104553</v>
      </c>
      <c r="W1173" t="n">
        <v>101.30844237</v>
      </c>
      <c r="X1173" t="n">
        <v>104.889580731</v>
      </c>
      <c r="Y1173" t="n">
        <v/>
      </c>
      <c r="Z1173" t="n">
        <v>89.085152475</v>
      </c>
      <c r="AA1173" t="n">
        <v>97.52727989</v>
      </c>
      <c r="AB1173" t="n">
        <v>100.140515222</v>
      </c>
      <c r="AC1173" t="n">
        <v>102.091492376</v>
      </c>
      <c r="AD1173" t="n">
        <v>100.591617365</v>
      </c>
      <c r="AE1173" t="n">
        <v>101.3</v>
      </c>
      <c r="AF1173" t="n">
        <v>97.30810900900001</v>
      </c>
      <c r="AG1173" t="n">
        <v>101.8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100.362188672</v>
      </c>
      <c r="AM1173" t="n">
        <v>103.9</v>
      </c>
      <c r="AN1173" t="n">
        <v>103.219139841</v>
      </c>
      <c r="AO1173" t="n">
        <v>101.7</v>
      </c>
      <c r="AP1173" t="n">
        <v>108.4</v>
      </c>
      <c r="AQ1173" t="n">
        <v>107.00891741</v>
      </c>
      <c r="AR1173" t="n">
        <v>98.691775685</v>
      </c>
      <c r="AS1173" t="n">
        <v>104.991250729</v>
      </c>
      <c r="AT1173" t="n">
        <v>97.899344579</v>
      </c>
      <c r="AU1173" t="n">
        <v/>
      </c>
    </row>
    <row r="1174">
      <c r="A1174" s="107" t="n">
        <v>42614</v>
      </c>
      <c r="B1174" t="n">
        <v>102.7</v>
      </c>
      <c r="C1174" t="n">
        <v>103.191400717</v>
      </c>
      <c r="D1174" t="n">
        <v>93.03605835400001</v>
      </c>
      <c r="E1174" t="n">
        <v>101.849706653</v>
      </c>
      <c r="F1174" t="n">
        <v>100.2</v>
      </c>
      <c r="G1174" t="n">
        <v/>
      </c>
      <c r="H1174" t="n">
        <v>97.941518863</v>
      </c>
      <c r="I1174" t="n">
        <v>102.791434047</v>
      </c>
      <c r="J1174" t="n">
        <v>103.08281953</v>
      </c>
      <c r="K1174" t="n">
        <v>101.691525706</v>
      </c>
      <c r="L1174" t="n">
        <v>93.8</v>
      </c>
      <c r="M1174" t="n">
        <v>101.6</v>
      </c>
      <c r="N1174" t="n">
        <v>101.907084923</v>
      </c>
      <c r="O1174" t="n">
        <v>107.208934078</v>
      </c>
      <c r="P1174" t="n">
        <v/>
      </c>
      <c r="Q1174" t="n">
        <v>105.6</v>
      </c>
      <c r="R1174" t="n">
        <v>99.91</v>
      </c>
      <c r="S1174" t="n">
        <v>99.64362183199999</v>
      </c>
      <c r="T1174" t="n">
        <v>98.619824341</v>
      </c>
      <c r="U1174" t="n">
        <v/>
      </c>
      <c r="V1174" t="n">
        <v>101.689836011</v>
      </c>
      <c r="W1174" t="n">
        <v>99.408284024</v>
      </c>
      <c r="X1174" t="n">
        <v>105.728487948</v>
      </c>
      <c r="Y1174" t="n">
        <v/>
      </c>
      <c r="Z1174" t="n">
        <v>100.583236127</v>
      </c>
      <c r="AA1174" t="n">
        <v>92.278772641</v>
      </c>
      <c r="AB1174" t="n">
        <v>99.203747073</v>
      </c>
      <c r="AC1174" t="n">
        <v>101.891509041</v>
      </c>
      <c r="AD1174" t="n">
        <v>100.991584035</v>
      </c>
      <c r="AE1174" t="n">
        <v>101.8</v>
      </c>
      <c r="AF1174" t="n">
        <v>98.008167347</v>
      </c>
      <c r="AG1174" t="n">
        <v>103.7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100.221510706</v>
      </c>
      <c r="AM1174" t="n">
        <v>104.3</v>
      </c>
      <c r="AN1174" t="n">
        <v>103.359138674</v>
      </c>
      <c r="AO1174" t="n">
        <v>102.2</v>
      </c>
      <c r="AP1174" t="n">
        <v>105.4</v>
      </c>
      <c r="AQ1174" t="n">
        <v>107.908992416</v>
      </c>
      <c r="AR1174" t="n">
        <v>105.691192401</v>
      </c>
      <c r="AS1174" t="n">
        <v>101.991500708</v>
      </c>
      <c r="AT1174" t="n">
        <v>97.79869874400001</v>
      </c>
      <c r="AU1174" t="n">
        <v/>
      </c>
    </row>
    <row r="1175">
      <c r="A1175" s="107" t="n">
        <v>42644</v>
      </c>
      <c r="B1175" t="n">
        <v>103.3</v>
      </c>
      <c r="C1175" t="n">
        <v>103.291392384</v>
      </c>
      <c r="D1175" t="n">
        <v>91.82493806799999</v>
      </c>
      <c r="E1175" t="n">
        <v>101.307422102</v>
      </c>
      <c r="F1175" t="n">
        <v>99.5</v>
      </c>
      <c r="G1175" t="n">
        <v/>
      </c>
      <c r="H1175" t="n">
        <v>96.29848438499999</v>
      </c>
      <c r="I1175" t="n">
        <v>103.291392384</v>
      </c>
      <c r="J1175" t="n">
        <v>103.882686219</v>
      </c>
      <c r="K1175" t="n">
        <v>102.29147571</v>
      </c>
      <c r="L1175" t="n">
        <v>108.6</v>
      </c>
      <c r="M1175" t="n">
        <v>103</v>
      </c>
      <c r="N1175" t="n">
        <v>102.173085144</v>
      </c>
      <c r="O1175" t="n">
        <v>107.208934078</v>
      </c>
      <c r="P1175" t="n">
        <v/>
      </c>
      <c r="Q1175" t="n">
        <v>106.4</v>
      </c>
      <c r="R1175" t="n">
        <v>99.52</v>
      </c>
      <c r="S1175" t="n">
        <v>99.70484245599999</v>
      </c>
      <c r="T1175" t="n">
        <v>97.436816634</v>
      </c>
      <c r="U1175" t="n">
        <v/>
      </c>
      <c r="V1175" t="n">
        <v>105.385832015</v>
      </c>
      <c r="W1175" t="n">
        <v>99.908325694</v>
      </c>
      <c r="X1175" t="n">
        <v>108.241520983</v>
      </c>
      <c r="Y1175" t="n">
        <v/>
      </c>
      <c r="Z1175" t="n">
        <v>118.780203299</v>
      </c>
      <c r="AA1175" t="n">
        <v>88.62806390199999</v>
      </c>
      <c r="AB1175" t="n">
        <v>97.423887588</v>
      </c>
      <c r="AC1175" t="n">
        <v>102.391467378</v>
      </c>
      <c r="AD1175" t="n">
        <v>101.091575702</v>
      </c>
      <c r="AE1175" t="n">
        <v>100.4</v>
      </c>
      <c r="AF1175" t="n">
        <v>97.908159013</v>
      </c>
      <c r="AG1175" t="n">
        <v>108.2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100.667172303</v>
      </c>
      <c r="AM1175" t="n">
        <v>102.7</v>
      </c>
      <c r="AN1175" t="n">
        <v>101.279156007</v>
      </c>
      <c r="AO1175" t="n">
        <v>104.1</v>
      </c>
      <c r="AP1175" t="n">
        <v>106.2</v>
      </c>
      <c r="AQ1175" t="n">
        <v>108.209017418</v>
      </c>
      <c r="AR1175" t="n">
        <v>101.791517374</v>
      </c>
      <c r="AS1175" t="n">
        <v>106.49112574</v>
      </c>
      <c r="AT1175" t="n">
        <v>97.88189269</v>
      </c>
      <c r="AU1175" t="n">
        <v/>
      </c>
    </row>
    <row r="1176">
      <c r="A1176" s="107" t="n">
        <v>42675</v>
      </c>
      <c r="B1176" t="n">
        <v>104.5</v>
      </c>
      <c r="C1176" t="n">
        <v>104.091325723</v>
      </c>
      <c r="D1176" t="n">
        <v>92.705752821</v>
      </c>
      <c r="E1176" t="n">
        <v>102.579530163</v>
      </c>
      <c r="F1176" t="n">
        <v>99.5</v>
      </c>
      <c r="G1176" t="n">
        <v/>
      </c>
      <c r="H1176" t="n">
        <v>98.942055614</v>
      </c>
      <c r="I1176" t="n">
        <v>104.59128406</v>
      </c>
      <c r="J1176" t="n">
        <v>104.482586236</v>
      </c>
      <c r="K1176" t="n">
        <v>101.791517374</v>
      </c>
      <c r="L1176" t="n">
        <v>108.7</v>
      </c>
      <c r="M1176" t="n">
        <v>102.8</v>
      </c>
      <c r="N1176" t="n">
        <v>103.215086013</v>
      </c>
      <c r="O1176" t="n">
        <v>108.209017418</v>
      </c>
      <c r="P1176" t="n">
        <v/>
      </c>
      <c r="Q1176" t="n">
        <v>105.7</v>
      </c>
      <c r="R1176" t="n">
        <v>102.29</v>
      </c>
      <c r="S1176" t="n">
        <v>99.96194071399999</v>
      </c>
      <c r="T1176" t="n">
        <v>98.297185876</v>
      </c>
      <c r="U1176" t="n">
        <v/>
      </c>
      <c r="V1176" t="n">
        <v>104.786481312</v>
      </c>
      <c r="W1176" t="n">
        <v>102.30852571</v>
      </c>
      <c r="X1176" t="n">
        <v>106.264670681</v>
      </c>
      <c r="Y1176" t="n">
        <v/>
      </c>
      <c r="Z1176" t="n">
        <v>101.683052825</v>
      </c>
      <c r="AA1176" t="n">
        <v>88.013203205</v>
      </c>
      <c r="AB1176" t="n">
        <v>101.264637002</v>
      </c>
      <c r="AC1176" t="n">
        <v>103.291392384</v>
      </c>
      <c r="AD1176" t="n">
        <v>102.091492376</v>
      </c>
      <c r="AE1176" t="n">
        <v>104.8</v>
      </c>
      <c r="AF1176" t="n">
        <v>98.208184015</v>
      </c>
      <c r="AG1176" t="n">
        <v>110.9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101.090344804</v>
      </c>
      <c r="AM1176" t="n">
        <v>104.8</v>
      </c>
      <c r="AN1176" t="n">
        <v>103.169140257</v>
      </c>
      <c r="AO1176" t="n">
        <v>104.7</v>
      </c>
      <c r="AP1176" t="n">
        <v>106.6</v>
      </c>
      <c r="AQ1176" t="n">
        <v>108.209017418</v>
      </c>
      <c r="AR1176" t="n">
        <v>102.29147571</v>
      </c>
      <c r="AS1176" t="n">
        <v>105.691192401</v>
      </c>
      <c r="AT1176" t="n">
        <v>97.47316152400001</v>
      </c>
      <c r="AU1176" t="n">
        <v/>
      </c>
    </row>
    <row r="1177">
      <c r="A1177" s="107" t="n">
        <v>42705</v>
      </c>
      <c r="B1177" t="n">
        <v>104.1</v>
      </c>
      <c r="C1177" t="n">
        <v>110.090825765</v>
      </c>
      <c r="D1177" t="n">
        <v>94.24717864</v>
      </c>
      <c r="E1177" t="n">
        <v>102.808803897</v>
      </c>
      <c r="F1177" t="n">
        <v>101.9</v>
      </c>
      <c r="G1177" t="n">
        <v/>
      </c>
      <c r="H1177" t="n">
        <v>97.805440692</v>
      </c>
      <c r="I1177" t="n">
        <v>103.691359053</v>
      </c>
      <c r="J1177" t="n">
        <v>103.682719547</v>
      </c>
      <c r="K1177" t="n">
        <v>99.491709024</v>
      </c>
      <c r="L1177" t="n">
        <v>109.6</v>
      </c>
      <c r="M1177" t="n">
        <v>102.5</v>
      </c>
      <c r="N1177" t="n">
        <v>103.24808604</v>
      </c>
      <c r="O1177" t="n">
        <v>106.108842404</v>
      </c>
      <c r="P1177" t="n">
        <v/>
      </c>
      <c r="Q1177" t="n">
        <v>104.4</v>
      </c>
      <c r="R1177" t="n">
        <v>100.78</v>
      </c>
      <c r="S1177" t="n">
        <v>99.931378717</v>
      </c>
      <c r="T1177" t="n">
        <v>100.44810898</v>
      </c>
      <c r="U1177" t="n">
        <v/>
      </c>
      <c r="V1177" t="n">
        <v>106.78431699</v>
      </c>
      <c r="W1177" t="n">
        <v>102.708559047</v>
      </c>
      <c r="X1177" t="n">
        <v>104.898740057</v>
      </c>
      <c r="Y1177" t="n">
        <v/>
      </c>
      <c r="Z1177" t="n">
        <v>104.3826029</v>
      </c>
      <c r="AA1177" t="n">
        <v>88.600286482</v>
      </c>
      <c r="AB1177" t="n">
        <v>101.264637002</v>
      </c>
      <c r="AC1177" t="n">
        <v>104.991250729</v>
      </c>
      <c r="AD1177" t="n">
        <v>101.491542371</v>
      </c>
      <c r="AE1177" t="n">
        <v>103.8</v>
      </c>
      <c r="AF1177" t="n">
        <v>103.308609051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101.128942403</v>
      </c>
      <c r="AM1177" t="n">
        <v>106.8</v>
      </c>
      <c r="AN1177" t="n">
        <v>104.669127757</v>
      </c>
      <c r="AO1177" t="n">
        <v>103.9</v>
      </c>
      <c r="AP1177" t="n">
        <v>106.1</v>
      </c>
      <c r="AQ1177" t="n">
        <v>110.409200767</v>
      </c>
      <c r="AR1177" t="n">
        <v>102.091492376</v>
      </c>
      <c r="AS1177" t="n">
        <v>104.991250729</v>
      </c>
      <c r="AT1177" t="n">
        <v>98.07396262499999</v>
      </c>
      <c r="AU1177" t="n">
        <v/>
      </c>
    </row>
    <row r="1178">
      <c r="A1178" s="107" t="n">
        <v>42736</v>
      </c>
      <c r="B1178" t="n">
        <v>102.5</v>
      </c>
      <c r="C1178" t="n">
        <v>102.991417382</v>
      </c>
      <c r="D1178" t="n">
        <v>94.907789705</v>
      </c>
      <c r="E1178" t="n">
        <v>103.534079387</v>
      </c>
      <c r="F1178" t="n">
        <v>105.5</v>
      </c>
      <c r="G1178" t="n">
        <v/>
      </c>
      <c r="H1178" t="n">
        <v>97.986225261</v>
      </c>
      <c r="I1178" t="n">
        <v>102.391467378</v>
      </c>
      <c r="J1178" t="n">
        <v>106.882186302</v>
      </c>
      <c r="K1178" t="n">
        <v>101.491542371</v>
      </c>
      <c r="L1178" t="n">
        <v>103</v>
      </c>
      <c r="M1178" t="n">
        <v>102.1</v>
      </c>
      <c r="N1178" t="n">
        <v>104.226086855</v>
      </c>
      <c r="O1178" t="n">
        <v>103.708642387</v>
      </c>
      <c r="P1178" t="n">
        <v/>
      </c>
      <c r="Q1178" t="n">
        <v>107.5</v>
      </c>
      <c r="R1178" t="n">
        <v>101.1</v>
      </c>
      <c r="S1178" t="n">
        <v>99.808683997</v>
      </c>
      <c r="T1178" t="n">
        <v>99.587739738</v>
      </c>
      <c r="U1178" t="n">
        <v/>
      </c>
      <c r="V1178" t="n">
        <v>107.183884126</v>
      </c>
      <c r="W1178" t="n">
        <v>101.708475706</v>
      </c>
      <c r="X1178" t="n">
        <v>105.758136383</v>
      </c>
      <c r="Y1178" t="n">
        <v/>
      </c>
      <c r="Z1178" t="n">
        <v>98.883519413</v>
      </c>
      <c r="AA1178" t="n">
        <v>86.844985057</v>
      </c>
      <c r="AB1178" t="n">
        <v>101.077283372</v>
      </c>
      <c r="AC1178" t="n">
        <v>102.091492376</v>
      </c>
      <c r="AD1178" t="n">
        <v>100.691609033</v>
      </c>
      <c r="AE1178" t="n">
        <v>106.3</v>
      </c>
      <c r="AF1178" t="n">
        <v>97.208100675</v>
      </c>
      <c r="AG1178" t="n">
        <v>109.5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101.171662585</v>
      </c>
      <c r="AM1178" t="n">
        <v>106.3</v>
      </c>
      <c r="AN1178" t="n">
        <v>104.809126591</v>
      </c>
      <c r="AO1178" t="n">
        <v>105.6</v>
      </c>
      <c r="AP1178" t="n">
        <v>107.4</v>
      </c>
      <c r="AQ1178" t="n">
        <v>108.00900075</v>
      </c>
      <c r="AR1178" t="n">
        <v>103.491375719</v>
      </c>
      <c r="AS1178" t="n">
        <v>105.891175735</v>
      </c>
      <c r="AT1178" t="n">
        <v>97.904005027</v>
      </c>
      <c r="AU1178" t="n">
        <v/>
      </c>
    </row>
    <row r="1179">
      <c r="A1179" s="107" t="n">
        <v>42767</v>
      </c>
      <c r="B1179" t="n">
        <v>104.8</v>
      </c>
      <c r="C1179" t="n">
        <v>106.791100742</v>
      </c>
      <c r="D1179" t="n">
        <v>96.229011836</v>
      </c>
      <c r="E1179" t="n">
        <v>103.129305571</v>
      </c>
      <c r="F1179" t="n">
        <v>100.5</v>
      </c>
      <c r="G1179" t="n">
        <v/>
      </c>
      <c r="H1179" t="n">
        <v>93.81253411900001</v>
      </c>
      <c r="I1179" t="n">
        <v>104.991250729</v>
      </c>
      <c r="J1179" t="n">
        <v>107.582069655</v>
      </c>
      <c r="K1179" t="n">
        <v>102.69144238</v>
      </c>
      <c r="L1179" t="n">
        <v>106.9</v>
      </c>
      <c r="M1179" t="n">
        <v>103</v>
      </c>
      <c r="N1179" t="n">
        <v>103.47608623</v>
      </c>
      <c r="O1179" t="n">
        <v>105.508792399</v>
      </c>
      <c r="P1179" t="n">
        <v/>
      </c>
      <c r="Q1179" t="n">
        <v>106.1</v>
      </c>
      <c r="R1179" t="n">
        <v>100.13</v>
      </c>
      <c r="S1179" t="n">
        <v>99.93613538</v>
      </c>
      <c r="T1179" t="n">
        <v>98.834916652</v>
      </c>
      <c r="U1179" t="n">
        <v/>
      </c>
      <c r="V1179" t="n">
        <v>108.682260884</v>
      </c>
      <c r="W1179" t="n">
        <v>104.208684057</v>
      </c>
      <c r="X1179" t="n">
        <v>107.055279083</v>
      </c>
      <c r="Y1179" t="n">
        <v/>
      </c>
      <c r="Z1179" t="n">
        <v>103.182802866</v>
      </c>
      <c r="AA1179" t="n">
        <v>86.163810867</v>
      </c>
      <c r="AB1179" t="n">
        <v>97.892271663</v>
      </c>
      <c r="AC1179" t="n">
        <v>102.991417382</v>
      </c>
      <c r="AD1179" t="n">
        <v>101.391550704</v>
      </c>
      <c r="AE1179" t="n">
        <v>104.7</v>
      </c>
      <c r="AF1179" t="n">
        <v>101.408450704</v>
      </c>
      <c r="AG1179" t="n">
        <v>111.2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101.261039445</v>
      </c>
      <c r="AM1179" t="n">
        <v>106.5</v>
      </c>
      <c r="AN1179" t="n">
        <v>103.119140674</v>
      </c>
      <c r="AO1179" t="n">
        <v>104.4</v>
      </c>
      <c r="AP1179" t="n">
        <v>106.8</v>
      </c>
      <c r="AQ1179" t="n">
        <v>111.709309109</v>
      </c>
      <c r="AR1179" t="n">
        <v>104.391300725</v>
      </c>
      <c r="AS1179" t="n">
        <v>107.491042413</v>
      </c>
      <c r="AT1179" t="n">
        <v>97.589573554</v>
      </c>
      <c r="AU1179" t="n">
        <v/>
      </c>
    </row>
    <row r="1180">
      <c r="A1180" s="107" t="n">
        <v>42795</v>
      </c>
      <c r="B1180" t="n">
        <v>105.9</v>
      </c>
      <c r="C1180" t="n">
        <v>105.991167403</v>
      </c>
      <c r="D1180" t="n">
        <v>94.357280484</v>
      </c>
      <c r="E1180" t="n">
        <v>103.363127326</v>
      </c>
      <c r="F1180" t="n">
        <v>104.3</v>
      </c>
      <c r="G1180" t="n">
        <v/>
      </c>
      <c r="H1180" t="n">
        <v>90.589754505</v>
      </c>
      <c r="I1180" t="n">
        <v>106.09115907</v>
      </c>
      <c r="J1180" t="n">
        <v>107.882019663</v>
      </c>
      <c r="K1180" t="n">
        <v>102.29147571</v>
      </c>
      <c r="L1180" t="n">
        <v>108.1</v>
      </c>
      <c r="M1180" t="n">
        <v>102.6</v>
      </c>
      <c r="N1180" t="n">
        <v>103.279086066</v>
      </c>
      <c r="O1180" t="n">
        <v>108.409034086</v>
      </c>
      <c r="P1180" t="n">
        <v/>
      </c>
      <c r="Q1180" t="n">
        <v>105.3</v>
      </c>
      <c r="R1180" t="n">
        <v>101.41</v>
      </c>
      <c r="S1180" t="n">
        <v>100.286352886</v>
      </c>
      <c r="T1180" t="n">
        <v>98.297185876</v>
      </c>
      <c r="U1180" t="n">
        <v/>
      </c>
      <c r="V1180" t="n">
        <v>107.583451261</v>
      </c>
      <c r="W1180" t="n">
        <v>105.008750729</v>
      </c>
      <c r="X1180" t="n">
        <v>107.444258608</v>
      </c>
      <c r="Y1180" t="n">
        <v/>
      </c>
      <c r="Z1180" t="n">
        <v>95.78403599400001</v>
      </c>
      <c r="AA1180" t="n">
        <v>87.56065388499999</v>
      </c>
      <c r="AB1180" t="n">
        <v>101.920374707</v>
      </c>
      <c r="AC1180" t="n">
        <v>103.891342388</v>
      </c>
      <c r="AD1180" t="n">
        <v>101.491542371</v>
      </c>
      <c r="AE1180" t="n">
        <v>106.3</v>
      </c>
      <c r="AF1180" t="n">
        <v>103.708642387</v>
      </c>
      <c r="AG1180" t="n">
        <v>113.5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101.661961591</v>
      </c>
      <c r="AM1180" t="n">
        <v>108.9</v>
      </c>
      <c r="AN1180" t="n">
        <v>106.939108841</v>
      </c>
      <c r="AO1180" t="n">
        <v>104.2</v>
      </c>
      <c r="AP1180" t="n">
        <v>107.8</v>
      </c>
      <c r="AQ1180" t="n">
        <v>112.909409117</v>
      </c>
      <c r="AR1180" t="n">
        <v>105.291225731</v>
      </c>
      <c r="AS1180" t="n">
        <v>108.890925756</v>
      </c>
      <c r="AT1180" t="n">
        <v>98.238863142</v>
      </c>
      <c r="AU1180" t="n">
        <v/>
      </c>
    </row>
    <row r="1181">
      <c r="A1181" s="107" t="n">
        <v>42826</v>
      </c>
      <c r="B1181" t="n">
        <v>106.3</v>
      </c>
      <c r="C1181" t="n">
        <v>107.891009083</v>
      </c>
      <c r="D1181" t="n">
        <v>94.577484173</v>
      </c>
      <c r="E1181" t="n">
        <v>104.323027162</v>
      </c>
      <c r="F1181" t="n">
        <v>101.3</v>
      </c>
      <c r="G1181" t="n">
        <v/>
      </c>
      <c r="H1181" t="n">
        <v>96.626196824</v>
      </c>
      <c r="I1181" t="n">
        <v>106.291142405</v>
      </c>
      <c r="J1181" t="n">
        <v>110.381603066</v>
      </c>
      <c r="K1181" t="n">
        <v>103.491375719</v>
      </c>
      <c r="L1181" t="n">
        <v>106.5</v>
      </c>
      <c r="M1181" t="n">
        <v>103.3</v>
      </c>
      <c r="N1181" t="n">
        <v>103.297086081</v>
      </c>
      <c r="O1181" t="n">
        <v>110.009167431</v>
      </c>
      <c r="P1181" t="n">
        <v/>
      </c>
      <c r="Q1181" t="n">
        <v>106</v>
      </c>
      <c r="R1181" t="n">
        <v>101.05</v>
      </c>
      <c r="S1181" t="n">
        <v>101.350366336</v>
      </c>
      <c r="T1181" t="n">
        <v>98.727370497</v>
      </c>
      <c r="U1181" t="n">
        <v/>
      </c>
      <c r="V1181" t="n">
        <v>103.487888121</v>
      </c>
      <c r="W1181" t="n">
        <v>105.708809067</v>
      </c>
      <c r="X1181" t="n">
        <v>108.013680624</v>
      </c>
      <c r="Y1181" t="n">
        <v/>
      </c>
      <c r="Z1181" t="n">
        <v>101.383102816</v>
      </c>
      <c r="AA1181" t="n">
        <v>88.803067696</v>
      </c>
      <c r="AB1181" t="n">
        <v>103.044496487</v>
      </c>
      <c r="AC1181" t="n">
        <v>103.491375719</v>
      </c>
      <c r="AD1181" t="n">
        <v>103.791350721</v>
      </c>
      <c r="AE1181" t="n">
        <v>104.4</v>
      </c>
      <c r="AF1181" t="n">
        <v>102.708559047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102.424401105</v>
      </c>
      <c r="AM1181" t="n">
        <v>107.8</v>
      </c>
      <c r="AN1181" t="n">
        <v>101.879151007</v>
      </c>
      <c r="AO1181" t="n">
        <v>105.6</v>
      </c>
      <c r="AP1181" t="n">
        <v>106.5</v>
      </c>
      <c r="AQ1181" t="n">
        <v>113.509459122</v>
      </c>
      <c r="AR1181" t="n">
        <v>105.091242396</v>
      </c>
      <c r="AS1181" t="n">
        <v>111.890675777</v>
      </c>
      <c r="AT1181" t="n">
        <v>99.212500048</v>
      </c>
      <c r="AU1181" t="n">
        <v/>
      </c>
    </row>
    <row r="1182">
      <c r="A1182" s="107" t="n">
        <v>42856</v>
      </c>
      <c r="B1182" t="n">
        <v>106.9</v>
      </c>
      <c r="C1182" t="n">
        <v>106.49112574</v>
      </c>
      <c r="D1182" t="n">
        <v>94.797687861</v>
      </c>
      <c r="E1182" t="n">
        <v>105.473676325</v>
      </c>
      <c r="F1182" t="n">
        <v>103.5</v>
      </c>
      <c r="G1182" t="n">
        <v/>
      </c>
      <c r="H1182" t="n">
        <v>97.026011416</v>
      </c>
      <c r="I1182" t="n">
        <v>107.191067411</v>
      </c>
      <c r="J1182" t="n">
        <v>112.881186469</v>
      </c>
      <c r="K1182" t="n">
        <v>104.091325723</v>
      </c>
      <c r="L1182" t="n">
        <v>108.1</v>
      </c>
      <c r="M1182" t="n">
        <v>103.8</v>
      </c>
      <c r="N1182" t="n">
        <v>104.489087074</v>
      </c>
      <c r="O1182" t="n">
        <v>108.309025752</v>
      </c>
      <c r="P1182" t="n">
        <v/>
      </c>
      <c r="Q1182" t="n">
        <v>107.4</v>
      </c>
      <c r="R1182" t="n">
        <v>103.28</v>
      </c>
      <c r="S1182" t="n">
        <v>101.432373796</v>
      </c>
      <c r="T1182" t="n">
        <v>99.265101273</v>
      </c>
      <c r="U1182" t="n">
        <v/>
      </c>
      <c r="V1182" t="n">
        <v>107.283775909</v>
      </c>
      <c r="W1182" t="n">
        <v>107.308942412</v>
      </c>
      <c r="X1182" t="n">
        <v>108.272909491</v>
      </c>
      <c r="Y1182" t="n">
        <v/>
      </c>
      <c r="Z1182" t="n">
        <v>94.78420263300001</v>
      </c>
      <c r="AA1182" t="n">
        <v>86.686641804</v>
      </c>
      <c r="AB1182" t="n">
        <v>102.107728337</v>
      </c>
      <c r="AC1182" t="n">
        <v>104.291309058</v>
      </c>
      <c r="AD1182" t="n">
        <v>102.191484043</v>
      </c>
      <c r="AE1182" t="n">
        <v>105.5</v>
      </c>
      <c r="AF1182" t="n">
        <v>102.808567381</v>
      </c>
      <c r="AG1182" t="n">
        <v>114.9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102.563708458</v>
      </c>
      <c r="AM1182" t="n">
        <v>108.7</v>
      </c>
      <c r="AN1182" t="n">
        <v>107.099107507</v>
      </c>
      <c r="AO1182" t="n">
        <v>106.6</v>
      </c>
      <c r="AP1182" t="n">
        <v>106.6</v>
      </c>
      <c r="AQ1182" t="n">
        <v>114.009500792</v>
      </c>
      <c r="AR1182" t="n">
        <v>105.891175735</v>
      </c>
      <c r="AS1182" t="n">
        <v>110.490792434</v>
      </c>
      <c r="AT1182" t="n">
        <v>99.296288945</v>
      </c>
      <c r="AU1182" t="n">
        <v/>
      </c>
    </row>
    <row r="1183">
      <c r="A1183" s="107" t="n">
        <v>42887</v>
      </c>
      <c r="B1183" t="n">
        <v>107.1</v>
      </c>
      <c r="C1183" t="n">
        <v>107.59103408</v>
      </c>
      <c r="D1183" t="n">
        <v>95.568400771</v>
      </c>
      <c r="E1183" t="n">
        <v>105.566241917</v>
      </c>
      <c r="F1183" t="n">
        <v>102.9</v>
      </c>
      <c r="G1183" t="n">
        <v/>
      </c>
      <c r="H1183" t="n">
        <v>97.34322331600001</v>
      </c>
      <c r="I1183" t="n">
        <v>107.391050746</v>
      </c>
      <c r="J1183" t="n">
        <v>108.881853024</v>
      </c>
      <c r="K1183" t="n">
        <v>104.19131739</v>
      </c>
      <c r="L1183" t="n">
        <v>108.3</v>
      </c>
      <c r="M1183" t="n">
        <v>103.4</v>
      </c>
      <c r="N1183" t="n">
        <v>104.529087108</v>
      </c>
      <c r="O1183" t="n">
        <v>108.409034086</v>
      </c>
      <c r="P1183" t="n">
        <v/>
      </c>
      <c r="Q1183" t="n">
        <v>107.7</v>
      </c>
      <c r="R1183" t="n">
        <v>102.07</v>
      </c>
      <c r="S1183" t="n">
        <v>101.703097827</v>
      </c>
      <c r="T1183" t="n">
        <v>99.37264742799999</v>
      </c>
      <c r="U1183" t="n">
        <v/>
      </c>
      <c r="V1183" t="n">
        <v>107.083992342</v>
      </c>
      <c r="W1183" t="n">
        <v>106.50887574</v>
      </c>
      <c r="X1183" t="n">
        <v>106.703517625</v>
      </c>
      <c r="Y1183" t="n">
        <v/>
      </c>
      <c r="Z1183" t="n">
        <v>85.08581903</v>
      </c>
      <c r="AA1183" t="n">
        <v>84.71560613600001</v>
      </c>
      <c r="AB1183" t="n">
        <v>101.264637002</v>
      </c>
      <c r="AC1183" t="n">
        <v>105.591200733</v>
      </c>
      <c r="AD1183" t="n">
        <v>102.991417382</v>
      </c>
      <c r="AE1183" t="n">
        <v>104.3</v>
      </c>
      <c r="AF1183" t="n">
        <v>104.008667389</v>
      </c>
      <c r="AG1183" t="n">
        <v>113.6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102.606832597</v>
      </c>
      <c r="AM1183" t="n">
        <v>110.3</v>
      </c>
      <c r="AN1183" t="n">
        <v>106.329113924</v>
      </c>
      <c r="AO1183" t="n">
        <v>106.8</v>
      </c>
      <c r="AP1183" t="n">
        <v>106.3</v>
      </c>
      <c r="AQ1183" t="n">
        <v>113.409450788</v>
      </c>
      <c r="AR1183" t="n">
        <v>106.691109074</v>
      </c>
      <c r="AS1183" t="n">
        <v>111.190734105</v>
      </c>
      <c r="AT1183" t="n">
        <v>99.47060951500001</v>
      </c>
      <c r="AU1183" t="n">
        <v/>
      </c>
    </row>
    <row r="1184">
      <c r="A1184" s="107" t="n">
        <v>42917</v>
      </c>
      <c r="B1184" t="n">
        <v>108.3</v>
      </c>
      <c r="C1184" t="n">
        <v>111.690692442</v>
      </c>
      <c r="D1184" t="n">
        <v>95.898706303</v>
      </c>
      <c r="E1184" t="n">
        <v>106.106921284</v>
      </c>
      <c r="F1184" t="n">
        <v>108.9</v>
      </c>
      <c r="G1184" t="n">
        <v/>
      </c>
      <c r="H1184" t="n">
        <v>99.398151498</v>
      </c>
      <c r="I1184" t="n">
        <v>108.490959087</v>
      </c>
      <c r="J1184" t="n">
        <v>107.882019663</v>
      </c>
      <c r="K1184" t="n">
        <v>104.791267394</v>
      </c>
      <c r="L1184" t="n">
        <v>104.6</v>
      </c>
      <c r="M1184" t="n">
        <v>104.9</v>
      </c>
      <c r="N1184" t="n">
        <v>104.245086871</v>
      </c>
      <c r="O1184" t="n">
        <v>105.308775731</v>
      </c>
      <c r="P1184" t="n">
        <v/>
      </c>
      <c r="Q1184" t="n">
        <v>108.9</v>
      </c>
      <c r="R1184" t="n">
        <v>102.51</v>
      </c>
      <c r="S1184" t="n">
        <v>101.757266949</v>
      </c>
      <c r="T1184" t="n">
        <v>99.910378204</v>
      </c>
      <c r="U1184" t="n">
        <v/>
      </c>
      <c r="V1184" t="n">
        <v>105.685507367</v>
      </c>
      <c r="W1184" t="n">
        <v>102.908575715</v>
      </c>
      <c r="X1184" t="n">
        <v>106.910928765</v>
      </c>
      <c r="Y1184" t="n">
        <v/>
      </c>
      <c r="Z1184" t="n">
        <v>100.283286119</v>
      </c>
      <c r="AA1184" t="n">
        <v>91.538577065</v>
      </c>
      <c r="AB1184" t="n">
        <v>101.264637002</v>
      </c>
      <c r="AC1184" t="n">
        <v>106.391134072</v>
      </c>
      <c r="AD1184" t="n">
        <v>102.491459045</v>
      </c>
      <c r="AE1184" t="n">
        <v>105</v>
      </c>
      <c r="AF1184" t="n">
        <v>102.008500708</v>
      </c>
      <c r="AG1184" t="n">
        <v>113.5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102.8613763</v>
      </c>
      <c r="AM1184" t="n">
        <v>109</v>
      </c>
      <c r="AN1184" t="n">
        <v>108.759093674</v>
      </c>
      <c r="AO1184" t="n">
        <v>106.7</v>
      </c>
      <c r="AP1184" t="n">
        <v>107.7</v>
      </c>
      <c r="AQ1184" t="n">
        <v>115.009584132</v>
      </c>
      <c r="AR1184" t="n">
        <v>106.49112574</v>
      </c>
      <c r="AS1184" t="n">
        <v>110.890759103</v>
      </c>
      <c r="AT1184" t="n">
        <v>99.29906538199999</v>
      </c>
      <c r="AU1184" t="n">
        <v/>
      </c>
    </row>
    <row r="1185">
      <c r="A1185" s="107" t="n">
        <v>42948</v>
      </c>
      <c r="B1185" t="n">
        <v>109.6</v>
      </c>
      <c r="C1185" t="n">
        <v>109.790850762</v>
      </c>
      <c r="D1185" t="n">
        <v>95.898706303</v>
      </c>
      <c r="E1185" t="n">
        <v>104.886981693</v>
      </c>
      <c r="F1185" t="n">
        <v>109.2</v>
      </c>
      <c r="G1185" t="n">
        <v/>
      </c>
      <c r="H1185" t="n">
        <v>100.805869988</v>
      </c>
      <c r="I1185" t="n">
        <v>109.590867428</v>
      </c>
      <c r="J1185" t="n">
        <v>111.081486419</v>
      </c>
      <c r="K1185" t="n">
        <v>107.59103408</v>
      </c>
      <c r="L1185" t="n">
        <v>108.3</v>
      </c>
      <c r="M1185" t="n">
        <v>105.9</v>
      </c>
      <c r="N1185" t="n">
        <v>104.646087205</v>
      </c>
      <c r="O1185" t="n">
        <v>104.508709059</v>
      </c>
      <c r="P1185" t="n">
        <v/>
      </c>
      <c r="Q1185" t="n">
        <v>107.5</v>
      </c>
      <c r="R1185" t="n">
        <v>102.94</v>
      </c>
      <c r="S1185" t="n">
        <v>102.348721088</v>
      </c>
      <c r="T1185" t="n">
        <v>100.017924359</v>
      </c>
      <c r="U1185" t="n">
        <v/>
      </c>
      <c r="V1185" t="n">
        <v>108.981936236</v>
      </c>
      <c r="W1185" t="n">
        <v>107.00891741</v>
      </c>
      <c r="X1185" t="n">
        <v>110.03015963</v>
      </c>
      <c r="Y1185" t="n">
        <v/>
      </c>
      <c r="Z1185" t="n">
        <v>91.584735877</v>
      </c>
      <c r="AA1185" t="n">
        <v>100.142881812</v>
      </c>
      <c r="AB1185" t="n">
        <v>101.545667447</v>
      </c>
      <c r="AC1185" t="n">
        <v>108.290975752</v>
      </c>
      <c r="AD1185" t="n">
        <v>103.791350721</v>
      </c>
      <c r="AE1185" t="n">
        <v>105</v>
      </c>
      <c r="AF1185" t="n">
        <v>104.908742395</v>
      </c>
      <c r="AG1185" t="n">
        <v>113.2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103.54970394</v>
      </c>
      <c r="AM1185" t="n">
        <v>113.4</v>
      </c>
      <c r="AN1185" t="n">
        <v>113.609053258</v>
      </c>
      <c r="AO1185" t="n">
        <v>106.8</v>
      </c>
      <c r="AP1185" t="n">
        <v>108.9</v>
      </c>
      <c r="AQ1185" t="n">
        <v>116.009667472</v>
      </c>
      <c r="AR1185" t="n">
        <v>105.791184068</v>
      </c>
      <c r="AS1185" t="n">
        <v>114.390467461</v>
      </c>
      <c r="AT1185" t="n">
        <v>98.84888598000001</v>
      </c>
      <c r="AU1185" t="n">
        <v/>
      </c>
    </row>
    <row r="1186">
      <c r="A1186" s="107" t="n">
        <v>42979</v>
      </c>
      <c r="B1186" t="n">
        <v>109.3</v>
      </c>
      <c r="C1186" t="n">
        <v>108.090992417</v>
      </c>
      <c r="D1186" t="n">
        <v>96.33911368</v>
      </c>
      <c r="E1186" t="n">
        <v>105.332687693</v>
      </c>
      <c r="F1186" t="n">
        <v>107.5</v>
      </c>
      <c r="G1186" t="n">
        <v/>
      </c>
      <c r="H1186" t="n">
        <v>100.061065412</v>
      </c>
      <c r="I1186" t="n">
        <v>109.390884093</v>
      </c>
      <c r="J1186" t="n">
        <v>111.581403099</v>
      </c>
      <c r="K1186" t="n">
        <v>106.191150737</v>
      </c>
      <c r="L1186" t="n">
        <v>102.5</v>
      </c>
      <c r="M1186" t="n">
        <v>105.2</v>
      </c>
      <c r="N1186" t="n">
        <v>105.315087763</v>
      </c>
      <c r="O1186" t="n">
        <v>107.708975748</v>
      </c>
      <c r="P1186" t="n">
        <v/>
      </c>
      <c r="Q1186" t="n">
        <v>106.9</v>
      </c>
      <c r="R1186" t="n">
        <v>103.61</v>
      </c>
      <c r="S1186" t="n">
        <v>101.911706095</v>
      </c>
      <c r="T1186" t="n">
        <v>102.061301308</v>
      </c>
      <c r="U1186" t="n">
        <v/>
      </c>
      <c r="V1186" t="n">
        <v>104.187130609</v>
      </c>
      <c r="W1186" t="n">
        <v>106.50887574</v>
      </c>
      <c r="X1186" t="n">
        <v>110.555625348</v>
      </c>
      <c r="Y1186" t="n">
        <v/>
      </c>
      <c r="Z1186" t="n">
        <v>97.68371938</v>
      </c>
      <c r="AA1186" t="n">
        <v>95.64025556</v>
      </c>
      <c r="AB1186" t="n">
        <v>101.264637002</v>
      </c>
      <c r="AC1186" t="n">
        <v>105.191234064</v>
      </c>
      <c r="AD1186" t="n">
        <v>102.591450712</v>
      </c>
      <c r="AE1186" t="n">
        <v>105.3</v>
      </c>
      <c r="AF1186" t="n">
        <v>104.408700725</v>
      </c>
      <c r="AG1186" t="n">
        <v>116.4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103.287022962</v>
      </c>
      <c r="AM1186" t="n">
        <v>111.8</v>
      </c>
      <c r="AN1186" t="n">
        <v>106.879109341</v>
      </c>
      <c r="AO1186" t="n">
        <v>107</v>
      </c>
      <c r="AP1186" t="n">
        <v>110.3</v>
      </c>
      <c r="AQ1186" t="n">
        <v>120.010000833</v>
      </c>
      <c r="AR1186" t="n">
        <v>107.791017415</v>
      </c>
      <c r="AS1186" t="n">
        <v>115.790350804</v>
      </c>
      <c r="AT1186" t="n">
        <v>98.94318567400001</v>
      </c>
      <c r="AU1186" t="n">
        <v/>
      </c>
    </row>
    <row r="1187">
      <c r="A1187" s="107" t="n">
        <v>43009</v>
      </c>
      <c r="B1187" t="n">
        <v>109</v>
      </c>
      <c r="C1187" t="n">
        <v>106.991084076</v>
      </c>
      <c r="D1187" t="n">
        <v>97.10982659</v>
      </c>
      <c r="E1187" t="n">
        <v>104.646739203</v>
      </c>
      <c r="F1187" t="n">
        <v>106.8</v>
      </c>
      <c r="G1187" t="n">
        <v/>
      </c>
      <c r="H1187" t="n">
        <v>100.178980534</v>
      </c>
      <c r="I1187" t="n">
        <v>109.090909091</v>
      </c>
      <c r="J1187" t="n">
        <v>109.781703049</v>
      </c>
      <c r="K1187" t="n">
        <v>104.391300725</v>
      </c>
      <c r="L1187" t="n">
        <v>105.3</v>
      </c>
      <c r="M1187" t="n">
        <v>106</v>
      </c>
      <c r="N1187" t="n">
        <v>106.412088677</v>
      </c>
      <c r="O1187" t="n">
        <v>109.109092424</v>
      </c>
      <c r="P1187" t="n">
        <v/>
      </c>
      <c r="Q1187" t="n">
        <v>108.4</v>
      </c>
      <c r="R1187" t="n">
        <v>104.08</v>
      </c>
      <c r="S1187" t="n">
        <v>102.385897586</v>
      </c>
      <c r="T1187" t="n">
        <v>103.244309016</v>
      </c>
      <c r="U1187" t="n">
        <v/>
      </c>
      <c r="V1187" t="n">
        <v>107.483559477</v>
      </c>
      <c r="W1187" t="n">
        <v>107.908992416</v>
      </c>
      <c r="X1187" t="n">
        <v>110.08141154</v>
      </c>
      <c r="Y1187" t="n">
        <v/>
      </c>
      <c r="Z1187" t="n">
        <v>117.380436594</v>
      </c>
      <c r="AA1187" t="n">
        <v>92.93480070699999</v>
      </c>
      <c r="AB1187" t="n">
        <v>103.325526932</v>
      </c>
      <c r="AC1187" t="n">
        <v>105.691192401</v>
      </c>
      <c r="AD1187" t="n">
        <v>103.191400717</v>
      </c>
      <c r="AE1187" t="n">
        <v>105.8</v>
      </c>
      <c r="AF1187" t="n">
        <v>101.80848404</v>
      </c>
      <c r="AG1187" t="n">
        <v>115.2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103.964650278</v>
      </c>
      <c r="AM1187" t="n">
        <v>113</v>
      </c>
      <c r="AN1187" t="n">
        <v>105.929117257</v>
      </c>
      <c r="AO1187" t="n">
        <v>105.7</v>
      </c>
      <c r="AP1187" t="n">
        <v>110.4</v>
      </c>
      <c r="AQ1187" t="n">
        <v>118.609884157</v>
      </c>
      <c r="AR1187" t="n">
        <v>107.791017415</v>
      </c>
      <c r="AS1187" t="n">
        <v>116.290309141</v>
      </c>
      <c r="AT1187" t="n">
        <v>100.189805816</v>
      </c>
      <c r="AU1187" t="n">
        <v/>
      </c>
    </row>
    <row r="1188">
      <c r="A1188" s="107" t="n">
        <v>43040</v>
      </c>
      <c r="B1188" t="n">
        <v>111.7</v>
      </c>
      <c r="C1188" t="n">
        <v>108.490959087</v>
      </c>
      <c r="D1188" t="n">
        <v>97.55023396599999</v>
      </c>
      <c r="E1188" t="n">
        <v>105.794445529</v>
      </c>
      <c r="F1188" t="n">
        <v>108.7</v>
      </c>
      <c r="G1188" t="n">
        <v/>
      </c>
      <c r="H1188" t="n">
        <v>100.83967972</v>
      </c>
      <c r="I1188" t="n">
        <v>111.490709108</v>
      </c>
      <c r="J1188" t="n">
        <v>112.781203133</v>
      </c>
      <c r="K1188" t="n">
        <v>108.490959087</v>
      </c>
      <c r="L1188" t="n">
        <v>106.7</v>
      </c>
      <c r="M1188" t="n">
        <v>108.1</v>
      </c>
      <c r="N1188" t="n">
        <v>107.602089668</v>
      </c>
      <c r="O1188" t="n">
        <v>107.108925744</v>
      </c>
      <c r="P1188" t="n">
        <v/>
      </c>
      <c r="Q1188" t="n">
        <v>109.9</v>
      </c>
      <c r="R1188" t="n">
        <v>104.49</v>
      </c>
      <c r="S1188" t="n">
        <v>103.416440558</v>
      </c>
      <c r="T1188" t="n">
        <v>103.029216706</v>
      </c>
      <c r="U1188" t="n">
        <v/>
      </c>
      <c r="V1188" t="n">
        <v>106.28485807</v>
      </c>
      <c r="W1188" t="n">
        <v>106.208850738</v>
      </c>
      <c r="X1188" t="n">
        <v>115.103970041</v>
      </c>
      <c r="Y1188" t="n">
        <v/>
      </c>
      <c r="Z1188" t="n">
        <v>116.780536577</v>
      </c>
      <c r="AA1188" t="n">
        <v>96.896902149</v>
      </c>
      <c r="AB1188" t="n">
        <v>103.887587822</v>
      </c>
      <c r="AC1188" t="n">
        <v>107.291059078</v>
      </c>
      <c r="AD1188" t="n">
        <v>103.991334055</v>
      </c>
      <c r="AE1188" t="n">
        <v>105.4</v>
      </c>
      <c r="AF1188" t="n">
        <v>107.50895908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104.743558534</v>
      </c>
      <c r="AM1188" t="n">
        <v>111.9</v>
      </c>
      <c r="AN1188" t="n">
        <v>106.359113674</v>
      </c>
      <c r="AO1188" t="n">
        <v>105.5</v>
      </c>
      <c r="AP1188" t="n">
        <v>112.9</v>
      </c>
      <c r="AQ1188" t="n">
        <v>119.609967497</v>
      </c>
      <c r="AR1188" t="n">
        <v>109.190900758</v>
      </c>
      <c r="AS1188" t="n">
        <v>116.990250812</v>
      </c>
      <c r="AT1188" t="n">
        <v>100.374141391</v>
      </c>
      <c r="AU1188" t="n">
        <v/>
      </c>
    </row>
    <row r="1189">
      <c r="A1189" s="107" t="n">
        <v>43070</v>
      </c>
      <c r="B1189" t="n">
        <v>112.3</v>
      </c>
      <c r="C1189" t="n">
        <v>107.59103408</v>
      </c>
      <c r="D1189" t="n">
        <v>100.52298376</v>
      </c>
      <c r="E1189" t="n">
        <v>106.223297101</v>
      </c>
      <c r="F1189" t="n">
        <v>115.3</v>
      </c>
      <c r="G1189" t="n">
        <v/>
      </c>
      <c r="H1189" t="n">
        <v>99.296806089</v>
      </c>
      <c r="I1189" t="n">
        <v>111.490709108</v>
      </c>
      <c r="J1189" t="n">
        <v>113.581069822</v>
      </c>
      <c r="K1189" t="n">
        <v>107.391050746</v>
      </c>
      <c r="L1189" t="n">
        <v>106.9</v>
      </c>
      <c r="M1189" t="n">
        <v>108.2</v>
      </c>
      <c r="N1189" t="n">
        <v>109.359091133</v>
      </c>
      <c r="O1189" t="n">
        <v>109.209100758</v>
      </c>
      <c r="P1189" t="n">
        <v/>
      </c>
      <c r="Q1189" t="n">
        <v>111.2</v>
      </c>
      <c r="R1189" t="n">
        <v>105.7</v>
      </c>
      <c r="S1189" t="n">
        <v>103.830830394</v>
      </c>
      <c r="T1189" t="n">
        <v>101.523570532</v>
      </c>
      <c r="U1189" t="n">
        <v/>
      </c>
      <c r="V1189" t="n">
        <v>107.883126613</v>
      </c>
      <c r="W1189" t="n">
        <v>108.409034086</v>
      </c>
      <c r="X1189" t="n">
        <v>112.798416437</v>
      </c>
      <c r="Y1189" t="n">
        <v/>
      </c>
      <c r="Z1189" t="n">
        <v>110.181636394</v>
      </c>
      <c r="AA1189" t="n">
        <v>102.418191422</v>
      </c>
      <c r="AB1189" t="n">
        <v>103.793911007</v>
      </c>
      <c r="AC1189" t="n">
        <v>110.690775769</v>
      </c>
      <c r="AD1189" t="n">
        <v>105.491209066</v>
      </c>
      <c r="AE1189" t="n">
        <v>103.3</v>
      </c>
      <c r="AF1189" t="n">
        <v>108.409034086</v>
      </c>
      <c r="AG1189" t="n">
        <v>114.8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105.28734468</v>
      </c>
      <c r="AM1189" t="n">
        <v>115.3</v>
      </c>
      <c r="AN1189" t="n">
        <v>104.459129507</v>
      </c>
      <c r="AO1189" t="n">
        <v>104.7</v>
      </c>
      <c r="AP1189" t="n">
        <v>109.9</v>
      </c>
      <c r="AQ1189" t="n">
        <v>123.010250854</v>
      </c>
      <c r="AR1189" t="n">
        <v>110.090825765</v>
      </c>
      <c r="AS1189" t="n">
        <v>120.089992501</v>
      </c>
      <c r="AT1189" t="n">
        <v>100.534579777</v>
      </c>
      <c r="AU1189" t="n">
        <v/>
      </c>
    </row>
    <row r="1190">
      <c r="A1190" s="107" t="n">
        <v>43101</v>
      </c>
      <c r="B1190" t="n">
        <v>110</v>
      </c>
      <c r="C1190" t="n">
        <v>108.190984085</v>
      </c>
      <c r="D1190" t="n">
        <v>97.88053949899999</v>
      </c>
      <c r="E1190" t="n">
        <v>105.725155101</v>
      </c>
      <c r="F1190" t="n">
        <v>110.6</v>
      </c>
      <c r="G1190" t="n">
        <v/>
      </c>
      <c r="H1190" t="n">
        <v>100.589980841</v>
      </c>
      <c r="I1190" t="n">
        <v>109.89084243</v>
      </c>
      <c r="J1190" t="n">
        <v>113.581069822</v>
      </c>
      <c r="K1190" t="n">
        <v>106.791100742</v>
      </c>
      <c r="L1190" t="n">
        <v>107.4</v>
      </c>
      <c r="M1190" t="n">
        <v>105.9</v>
      </c>
      <c r="N1190" t="n">
        <v>105.378087815</v>
      </c>
      <c r="O1190" t="n">
        <v>111.209267439</v>
      </c>
      <c r="P1190" t="n">
        <v/>
      </c>
      <c r="Q1190" t="n">
        <v>111.4</v>
      </c>
      <c r="R1190" t="n">
        <v>101.82</v>
      </c>
      <c r="S1190" t="n">
        <v>102.302086602</v>
      </c>
      <c r="T1190" t="n">
        <v>99.802832049</v>
      </c>
      <c r="U1190" t="n">
        <v/>
      </c>
      <c r="V1190" t="n">
        <v>107.683343045</v>
      </c>
      <c r="W1190" t="n">
        <v>108.809067422</v>
      </c>
      <c r="X1190" t="n">
        <v>113.241734336</v>
      </c>
      <c r="Y1190" t="n">
        <v/>
      </c>
      <c r="Z1190" t="n">
        <v>102.282952841</v>
      </c>
      <c r="AA1190" t="n">
        <v>99.97449935</v>
      </c>
      <c r="AB1190" t="n">
        <v>106.604215457</v>
      </c>
      <c r="AC1190" t="n">
        <v>106.591117407</v>
      </c>
      <c r="AD1190" t="n">
        <v>101.291559037</v>
      </c>
      <c r="AE1190" t="n">
        <v>105.2</v>
      </c>
      <c r="AF1190" t="n">
        <v>103.908659055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103.96651199</v>
      </c>
      <c r="AM1190" t="n">
        <v>112.9</v>
      </c>
      <c r="AN1190" t="n">
        <v>107.409104924</v>
      </c>
      <c r="AO1190" t="n">
        <v>108.2</v>
      </c>
      <c r="AP1190" t="n">
        <v>107.2</v>
      </c>
      <c r="AQ1190" t="n">
        <v>123.210267522</v>
      </c>
      <c r="AR1190" t="n">
        <v>109.190900758</v>
      </c>
      <c r="AS1190" t="n">
        <v>117.790184151</v>
      </c>
      <c r="AT1190" t="n">
        <v>100.492139957</v>
      </c>
      <c r="AU1190" t="n">
        <v/>
      </c>
    </row>
    <row r="1191">
      <c r="A1191" s="107" t="n">
        <v>43132</v>
      </c>
      <c r="B1191" t="n">
        <v>111.8</v>
      </c>
      <c r="C1191" t="n">
        <v>106.291142405</v>
      </c>
      <c r="D1191" t="n">
        <v>97.55023396599999</v>
      </c>
      <c r="E1191" t="n">
        <v>107.125945386</v>
      </c>
      <c r="F1191" t="n">
        <v>111.5</v>
      </c>
      <c r="G1191" t="n">
        <v/>
      </c>
      <c r="H1191" t="n">
        <v>103.394370584</v>
      </c>
      <c r="I1191" t="n">
        <v>111.890675777</v>
      </c>
      <c r="J1191" t="n">
        <v>110.981503083</v>
      </c>
      <c r="K1191" t="n">
        <v>105.191234064</v>
      </c>
      <c r="L1191" t="n">
        <v>107.2</v>
      </c>
      <c r="M1191" t="n">
        <v>105.2</v>
      </c>
      <c r="N1191" t="n">
        <v>106.545088788</v>
      </c>
      <c r="O1191" t="n">
        <v>107.00891741</v>
      </c>
      <c r="P1191" t="n">
        <v/>
      </c>
      <c r="Q1191" t="n">
        <v>111.3</v>
      </c>
      <c r="R1191" t="n">
        <v>103.33</v>
      </c>
      <c r="S1191" t="n">
        <v>102.773349798</v>
      </c>
      <c r="T1191" t="n">
        <v>99.37264742799999</v>
      </c>
      <c r="U1191" t="n">
        <v/>
      </c>
      <c r="V1191" t="n">
        <v>107.883126613</v>
      </c>
      <c r="W1191" t="n">
        <v>107.908992416</v>
      </c>
      <c r="X1191" t="n">
        <v>114.381722624</v>
      </c>
      <c r="Y1191" t="n">
        <v/>
      </c>
      <c r="Z1191" t="n">
        <v>97.1838027</v>
      </c>
      <c r="AA1191" t="n">
        <v>98.67519528699999</v>
      </c>
      <c r="AB1191" t="n">
        <v>103.793911007</v>
      </c>
      <c r="AC1191" t="n">
        <v>105.891175735</v>
      </c>
      <c r="AD1191" t="n">
        <v>103.791350721</v>
      </c>
      <c r="AE1191" t="n">
        <v>106.2</v>
      </c>
      <c r="AF1191" t="n">
        <v>101.508459038</v>
      </c>
      <c r="AG1191" t="n">
        <v>119.8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104.335642942</v>
      </c>
      <c r="AM1191" t="n">
        <v>114</v>
      </c>
      <c r="AN1191" t="n">
        <v>105.079124341</v>
      </c>
      <c r="AO1191" t="n">
        <v>107.3</v>
      </c>
      <c r="AP1191" t="n">
        <v>109.5</v>
      </c>
      <c r="AQ1191" t="n">
        <v>119.609967497</v>
      </c>
      <c r="AR1191" t="n">
        <v>108.790934089</v>
      </c>
      <c r="AS1191" t="n">
        <v>116.990250812</v>
      </c>
      <c r="AT1191" t="n">
        <v>100.85089526</v>
      </c>
      <c r="AU1191" t="n">
        <v/>
      </c>
    </row>
    <row r="1192">
      <c r="A1192" s="107" t="n">
        <v>43160</v>
      </c>
      <c r="B1192" t="n">
        <v>110.2</v>
      </c>
      <c r="C1192" t="n">
        <v>109.990834097</v>
      </c>
      <c r="D1192" t="n">
        <v>98.76135425299999</v>
      </c>
      <c r="E1192" t="n">
        <v>108.369427672</v>
      </c>
      <c r="F1192" t="n">
        <v>111.1</v>
      </c>
      <c r="G1192" t="n">
        <v/>
      </c>
      <c r="H1192" t="n">
        <v>101.5891675</v>
      </c>
      <c r="I1192" t="n">
        <v>110.490792434</v>
      </c>
      <c r="J1192" t="n">
        <v>112.381269788</v>
      </c>
      <c r="K1192" t="n">
        <v>106.49112574</v>
      </c>
      <c r="L1192" t="n">
        <v>106.3</v>
      </c>
      <c r="M1192" t="n">
        <v>105.4</v>
      </c>
      <c r="N1192" t="n">
        <v>107.661089718</v>
      </c>
      <c r="O1192" t="n">
        <v>111.309275773</v>
      </c>
      <c r="P1192" t="n">
        <v/>
      </c>
      <c r="Q1192" t="n">
        <v>113.3</v>
      </c>
      <c r="R1192" t="n">
        <v>104.25</v>
      </c>
      <c r="S1192" t="n">
        <v>103.660964714</v>
      </c>
      <c r="T1192" t="n">
        <v>99.802832049</v>
      </c>
      <c r="U1192" t="n">
        <v/>
      </c>
      <c r="V1192" t="n">
        <v>108.5823691</v>
      </c>
      <c r="W1192" t="n">
        <v>107.50895908</v>
      </c>
      <c r="X1192" t="n">
        <v>113.140923519</v>
      </c>
      <c r="Y1192" t="n">
        <v/>
      </c>
      <c r="Z1192" t="n">
        <v>79.58673554400001</v>
      </c>
      <c r="AA1192" t="n">
        <v/>
      </c>
      <c r="AB1192" t="n">
        <v>104.262295082</v>
      </c>
      <c r="AC1192" t="n">
        <v>107.491042413</v>
      </c>
      <c r="AD1192" t="n">
        <v>104.891259062</v>
      </c>
      <c r="AE1192" t="n">
        <v>104.6</v>
      </c>
      <c r="AF1192" t="n">
        <v>101.708475706</v>
      </c>
      <c r="AG1192" t="n">
        <v>115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104.757137705</v>
      </c>
      <c r="AM1192" t="n">
        <v>113</v>
      </c>
      <c r="AN1192" t="n">
        <v>109.899084174</v>
      </c>
      <c r="AO1192" t="n">
        <v>107.9</v>
      </c>
      <c r="AP1192" t="n">
        <v>110.8</v>
      </c>
      <c r="AQ1192" t="n">
        <v>120.610050838</v>
      </c>
      <c r="AR1192" t="n">
        <v>110.290809099</v>
      </c>
      <c r="AS1192" t="n">
        <v>117.09024248</v>
      </c>
      <c r="AT1192" t="n">
        <v>101.417784169</v>
      </c>
      <c r="AU1192" t="n">
        <v/>
      </c>
    </row>
    <row r="1193">
      <c r="A1193" s="107" t="n">
        <v>43191</v>
      </c>
      <c r="B1193" t="n">
        <v>111.7</v>
      </c>
      <c r="C1193" t="n">
        <v>110.290809099</v>
      </c>
      <c r="D1193" t="n">
        <v>98.98155794100001</v>
      </c>
      <c r="E1193" t="n">
        <v>108.619568794</v>
      </c>
      <c r="F1193" t="n">
        <v>110.9</v>
      </c>
      <c r="G1193" t="n">
        <v/>
      </c>
      <c r="H1193" t="n">
        <v>100.798467836</v>
      </c>
      <c r="I1193" t="n">
        <v>111.890675777</v>
      </c>
      <c r="J1193" t="n">
        <v>110.181636394</v>
      </c>
      <c r="K1193" t="n">
        <v>105.891175735</v>
      </c>
      <c r="L1193" t="n">
        <v>107.8</v>
      </c>
      <c r="M1193" t="n">
        <v>105.1</v>
      </c>
      <c r="N1193" t="n">
        <v>105.313087761</v>
      </c>
      <c r="O1193" t="n">
        <v>113.809484124</v>
      </c>
      <c r="P1193" t="n">
        <v/>
      </c>
      <c r="Q1193" t="n">
        <v>107.9</v>
      </c>
      <c r="R1193" t="n">
        <v>103.25</v>
      </c>
      <c r="S1193" t="n">
        <v>103.869419127</v>
      </c>
      <c r="T1193" t="n">
        <v>100.985839756</v>
      </c>
      <c r="U1193" t="n">
        <v/>
      </c>
      <c r="V1193" t="n">
        <v>106.684425206</v>
      </c>
      <c r="W1193" t="n">
        <v>108.809067422</v>
      </c>
      <c r="X1193" t="n">
        <v>112.721647166</v>
      </c>
      <c r="Y1193" t="n">
        <v/>
      </c>
      <c r="Z1193" t="n">
        <v>94.08431928</v>
      </c>
      <c r="AA1193" t="n">
        <v/>
      </c>
      <c r="AB1193" t="n">
        <v>104.074941452</v>
      </c>
      <c r="AC1193" t="n">
        <v>105.791184068</v>
      </c>
      <c r="AD1193" t="n">
        <v>104.291309058</v>
      </c>
      <c r="AE1193" t="n">
        <v>107.1</v>
      </c>
      <c r="AF1193" t="n">
        <v>99.70830902599999</v>
      </c>
      <c r="AG1193" t="n">
        <v>116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105.109609385</v>
      </c>
      <c r="AM1193" t="n">
        <v>115</v>
      </c>
      <c r="AN1193" t="n">
        <v>106.759110341</v>
      </c>
      <c r="AO1193" t="n">
        <v>108.5</v>
      </c>
      <c r="AP1193" t="n">
        <v>109.5</v>
      </c>
      <c r="AQ1193" t="n">
        <v>120.91007584</v>
      </c>
      <c r="AR1193" t="n">
        <v>105.891175735</v>
      </c>
      <c r="AS1193" t="n">
        <v>118.490125823</v>
      </c>
      <c r="AT1193" t="n">
        <v>102.563560159</v>
      </c>
      <c r="AU1193" t="n">
        <v/>
      </c>
    </row>
    <row r="1194">
      <c r="A1194" s="107" t="n">
        <v>43221</v>
      </c>
      <c r="B1194" t="n">
        <v>114.9</v>
      </c>
      <c r="C1194" t="n">
        <v>110.490792434</v>
      </c>
      <c r="D1194" t="n">
        <v>88.191577209</v>
      </c>
      <c r="E1194" t="n">
        <v>108.378791243</v>
      </c>
      <c r="F1194" t="n">
        <v>112.6</v>
      </c>
      <c r="G1194" t="n">
        <v/>
      </c>
      <c r="H1194" t="n">
        <v>101.307848898</v>
      </c>
      <c r="I1194" t="n">
        <v>115.1904008</v>
      </c>
      <c r="J1194" t="n">
        <v>113.981003166</v>
      </c>
      <c r="K1194" t="n">
        <v>107.99100075</v>
      </c>
      <c r="L1194" t="n">
        <v>105</v>
      </c>
      <c r="M1194" t="n">
        <v>106.6</v>
      </c>
      <c r="N1194" t="n">
        <v>105.678088065</v>
      </c>
      <c r="O1194" t="n">
        <v>113.909492458</v>
      </c>
      <c r="P1194" t="n">
        <v/>
      </c>
      <c r="Q1194" t="n">
        <v>112.1</v>
      </c>
      <c r="R1194" t="n">
        <v>102.14</v>
      </c>
      <c r="S1194" t="n">
        <v>103.873801976</v>
      </c>
      <c r="T1194" t="n">
        <v>101.953755153</v>
      </c>
      <c r="U1194" t="n">
        <v/>
      </c>
      <c r="V1194" t="n">
        <v>108.5823691</v>
      </c>
      <c r="W1194" t="n">
        <v>110.809234103</v>
      </c>
      <c r="X1194" t="n">
        <v>112.485119253</v>
      </c>
      <c r="Y1194" t="n">
        <v/>
      </c>
      <c r="Z1194" t="n">
        <v>101.783036161</v>
      </c>
      <c r="AA1194" t="n">
        <v/>
      </c>
      <c r="AB1194" t="n">
        <v>104.449648712</v>
      </c>
      <c r="AC1194" t="n">
        <v>106.791100742</v>
      </c>
      <c r="AD1194" t="n">
        <v>104.59128406</v>
      </c>
      <c r="AE1194" t="n">
        <v>108</v>
      </c>
      <c r="AF1194" t="n">
        <v>101.508459038</v>
      </c>
      <c r="AG1194" t="n">
        <v>114.4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105.409316053</v>
      </c>
      <c r="AM1194" t="n">
        <v>116.7</v>
      </c>
      <c r="AN1194" t="n">
        <v>105.289122591</v>
      </c>
      <c r="AO1194" t="n">
        <v>110.6</v>
      </c>
      <c r="AP1194" t="n">
        <v>113.3</v>
      </c>
      <c r="AQ1194" t="n">
        <v>121.510125844</v>
      </c>
      <c r="AR1194" t="n">
        <v>109.990834097</v>
      </c>
      <c r="AS1194" t="n">
        <v>116.790267478</v>
      </c>
      <c r="AT1194" t="n">
        <v>101.611143163</v>
      </c>
      <c r="AU1194" t="n">
        <v/>
      </c>
    </row>
    <row r="1195">
      <c r="A1195" s="107" t="n">
        <v>43252</v>
      </c>
      <c r="B1195" t="n">
        <v>113.1</v>
      </c>
      <c r="C1195" t="n">
        <v>106.09115907</v>
      </c>
      <c r="D1195" t="n">
        <v>99.20176162999999</v>
      </c>
      <c r="E1195" t="n">
        <v>109.233284019</v>
      </c>
      <c r="F1195" t="n">
        <v>112.2</v>
      </c>
      <c r="G1195" t="n">
        <v/>
      </c>
      <c r="H1195" t="n">
        <v>102.366928339</v>
      </c>
      <c r="I1195" t="n">
        <v>113.590534122</v>
      </c>
      <c r="J1195" t="n">
        <v>116.280619897</v>
      </c>
      <c r="K1195" t="n">
        <v>107.99100075</v>
      </c>
      <c r="L1195" t="n">
        <v>106.7</v>
      </c>
      <c r="M1195" t="n">
        <v>106.4</v>
      </c>
      <c r="N1195" t="n">
        <v>104.602087168</v>
      </c>
      <c r="O1195" t="n">
        <v>111.709309109</v>
      </c>
      <c r="P1195" t="n">
        <v/>
      </c>
      <c r="Q1195" t="n">
        <v>111.4</v>
      </c>
      <c r="R1195" t="n">
        <v>103.96</v>
      </c>
      <c r="S1195" t="n">
        <v>104.336190358</v>
      </c>
      <c r="T1195" t="n">
        <v>104.642409034</v>
      </c>
      <c r="U1195" t="n">
        <v/>
      </c>
      <c r="V1195" t="n">
        <v>108.782152668</v>
      </c>
      <c r="W1195" t="n">
        <v>110.009167431</v>
      </c>
      <c r="X1195" t="n">
        <v>114.780645682</v>
      </c>
      <c r="Y1195" t="n">
        <v/>
      </c>
      <c r="Z1195" t="n">
        <v>97.983669388</v>
      </c>
      <c r="AA1195" t="n">
        <v/>
      </c>
      <c r="AB1195" t="n">
        <v>102.950819672</v>
      </c>
      <c r="AC1195" t="n">
        <v>107.091075744</v>
      </c>
      <c r="AD1195" t="n">
        <v>103.591367386</v>
      </c>
      <c r="AE1195" t="n">
        <v>108.5</v>
      </c>
      <c r="AF1195" t="n">
        <v>101.608467372</v>
      </c>
      <c r="AG1195" t="n">
        <v>113.5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105.607110279</v>
      </c>
      <c r="AM1195" t="n">
        <v>117.8</v>
      </c>
      <c r="AN1195" t="n">
        <v>106.319114007</v>
      </c>
      <c r="AO1195" t="n">
        <v>110.2</v>
      </c>
      <c r="AP1195" t="n">
        <v>112.6</v>
      </c>
      <c r="AQ1195" t="n">
        <v>122.210184182</v>
      </c>
      <c r="AR1195" t="n">
        <v>110.590784101</v>
      </c>
      <c r="AS1195" t="n">
        <v>113.490542455</v>
      </c>
      <c r="AT1195" t="n">
        <v>102.381901863</v>
      </c>
      <c r="AU1195" t="n">
        <v/>
      </c>
    </row>
    <row r="1196">
      <c r="A1196" s="107" t="n">
        <v>43282</v>
      </c>
      <c r="B1196" t="n">
        <v>112.9</v>
      </c>
      <c r="C1196" t="n">
        <v>109.190900758</v>
      </c>
      <c r="D1196" t="n">
        <v>98.87145609700001</v>
      </c>
      <c r="E1196" t="n">
        <v>110.205757794</v>
      </c>
      <c r="F1196" t="n">
        <v>110.7</v>
      </c>
      <c r="G1196" t="n">
        <v/>
      </c>
      <c r="H1196" t="n">
        <v>101.238435235</v>
      </c>
      <c r="I1196" t="n">
        <v>113.29055912</v>
      </c>
      <c r="J1196" t="n">
        <v>115.780703216</v>
      </c>
      <c r="K1196" t="n">
        <v>105.491209066</v>
      </c>
      <c r="L1196" t="n">
        <v>107.8</v>
      </c>
      <c r="M1196" t="n">
        <v>104.8</v>
      </c>
      <c r="N1196" t="n">
        <v>104.635087196</v>
      </c>
      <c r="O1196" t="n">
        <v>111.209267439</v>
      </c>
      <c r="P1196" t="n">
        <v/>
      </c>
      <c r="Q1196" t="n">
        <v>109.8</v>
      </c>
      <c r="R1196" t="n">
        <v>103.68</v>
      </c>
      <c r="S1196" t="n">
        <v>104.046178416</v>
      </c>
      <c r="T1196" t="n">
        <v>104.642409034</v>
      </c>
      <c r="U1196" t="n">
        <v/>
      </c>
      <c r="V1196" t="n">
        <v>109.381503371</v>
      </c>
      <c r="W1196" t="n">
        <v>107.00891741</v>
      </c>
      <c r="X1196" t="n">
        <v>113.573102923</v>
      </c>
      <c r="Y1196" t="n">
        <v/>
      </c>
      <c r="Z1196" t="n">
        <v>88.785202466</v>
      </c>
      <c r="AA1196" t="n">
        <v/>
      </c>
      <c r="AB1196" t="n">
        <v>104.824355972</v>
      </c>
      <c r="AC1196" t="n">
        <v>105.991167403</v>
      </c>
      <c r="AD1196" t="n">
        <v>103.791350721</v>
      </c>
      <c r="AE1196" t="n">
        <v>108.3</v>
      </c>
      <c r="AF1196" t="n">
        <v>102.108509042</v>
      </c>
      <c r="AG1196" t="n">
        <v>117.1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105.281234333</v>
      </c>
      <c r="AM1196" t="n">
        <v>117.7</v>
      </c>
      <c r="AN1196" t="n">
        <v>107.799101674</v>
      </c>
      <c r="AO1196" t="n">
        <v>109.9</v>
      </c>
      <c r="AP1196" t="n">
        <v>111.1</v>
      </c>
      <c r="AQ1196" t="n">
        <v>120.610050838</v>
      </c>
      <c r="AR1196" t="n">
        <v>105.791184068</v>
      </c>
      <c r="AS1196" t="n">
        <v>116.190317474</v>
      </c>
      <c r="AT1196" t="n">
        <v>102.588151457</v>
      </c>
      <c r="AU1196" t="n">
        <v/>
      </c>
    </row>
    <row r="1197">
      <c r="A1197" s="107" t="n">
        <v>43313</v>
      </c>
      <c r="B1197" t="n">
        <v>113</v>
      </c>
      <c r="C1197" t="n">
        <v>111.79068411</v>
      </c>
      <c r="D1197" t="n">
        <v>97.99064134299999</v>
      </c>
      <c r="E1197" t="n">
        <v>110.41362908</v>
      </c>
      <c r="F1197" t="n">
        <v>111.2</v>
      </c>
      <c r="G1197" t="n">
        <v/>
      </c>
      <c r="H1197" t="n">
        <v>100.313149872</v>
      </c>
      <c r="I1197" t="n">
        <v>112.790600783</v>
      </c>
      <c r="J1197" t="n">
        <v>113.481086486</v>
      </c>
      <c r="K1197" t="n">
        <v>106.49112574</v>
      </c>
      <c r="L1197" t="n">
        <v>106.4</v>
      </c>
      <c r="M1197" t="n">
        <v>106.5</v>
      </c>
      <c r="N1197" t="n">
        <v>105.43208786</v>
      </c>
      <c r="O1197" t="n">
        <v>111.809317443</v>
      </c>
      <c r="P1197" t="n">
        <v/>
      </c>
      <c r="Q1197" t="n">
        <v>110.2</v>
      </c>
      <c r="R1197" t="n">
        <v>104.11</v>
      </c>
      <c r="S1197" t="n">
        <v>104.649570864</v>
      </c>
      <c r="T1197" t="n">
        <v>105.932962897</v>
      </c>
      <c r="U1197" t="n">
        <v/>
      </c>
      <c r="V1197" t="n">
        <v>109.381503371</v>
      </c>
      <c r="W1197" t="n">
        <v>111.809317443</v>
      </c>
      <c r="X1197" t="n">
        <v>115.380214967</v>
      </c>
      <c r="Y1197" t="n">
        <v/>
      </c>
      <c r="Z1197" t="n">
        <v>100.283286119</v>
      </c>
      <c r="AA1197" t="n">
        <v/>
      </c>
      <c r="AB1197" t="n">
        <v>108.103044496</v>
      </c>
      <c r="AC1197" t="n">
        <v>107.091075744</v>
      </c>
      <c r="AD1197" t="n">
        <v>103.591367386</v>
      </c>
      <c r="AE1197" t="n">
        <v>109.1</v>
      </c>
      <c r="AF1197" t="n">
        <v>102.108509042</v>
      </c>
      <c r="AG1197" t="n">
        <v>118.3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106.093461603</v>
      </c>
      <c r="AM1197" t="n">
        <v>119.5</v>
      </c>
      <c r="AN1197" t="n">
        <v>109.339088841</v>
      </c>
      <c r="AO1197" t="n">
        <v>109.6</v>
      </c>
      <c r="AP1197" t="n">
        <v>116.3</v>
      </c>
      <c r="AQ1197" t="n">
        <v>122.310192516</v>
      </c>
      <c r="AR1197" t="n">
        <v>108.390967419</v>
      </c>
      <c r="AS1197" t="n">
        <v>115.890342471</v>
      </c>
      <c r="AT1197" t="n">
        <v>103.303480578</v>
      </c>
      <c r="AU1197" t="n">
        <v/>
      </c>
    </row>
    <row r="1198">
      <c r="A1198" s="107" t="n">
        <v>43344</v>
      </c>
      <c r="B1198" t="n">
        <v>114.1</v>
      </c>
      <c r="C1198" t="n">
        <v>106.791100742</v>
      </c>
      <c r="D1198" t="n">
        <v>95.348197082</v>
      </c>
      <c r="E1198" t="n">
        <v>110.185960529</v>
      </c>
      <c r="F1198" t="n">
        <v>110.4</v>
      </c>
      <c r="G1198" t="n">
        <v/>
      </c>
      <c r="H1198" t="n">
        <v>99.696779611</v>
      </c>
      <c r="I1198" t="n">
        <v>113.990500792</v>
      </c>
      <c r="J1198" t="n">
        <v>114.380936511</v>
      </c>
      <c r="K1198" t="n">
        <v>105.991167403</v>
      </c>
      <c r="L1198" t="n">
        <v>107.2</v>
      </c>
      <c r="M1198" t="n">
        <v>105.7</v>
      </c>
      <c r="N1198" t="n">
        <v>105.302087752</v>
      </c>
      <c r="O1198" t="n">
        <v>112.209350779</v>
      </c>
      <c r="P1198" t="n">
        <v/>
      </c>
      <c r="Q1198" t="n">
        <v>113.1</v>
      </c>
      <c r="R1198" t="n">
        <v>102.93</v>
      </c>
      <c r="S1198" t="n">
        <v>104.459810215</v>
      </c>
      <c r="T1198" t="n">
        <v>106.363147517</v>
      </c>
      <c r="U1198" t="n">
        <v/>
      </c>
      <c r="V1198" t="n">
        <v>107.883126613</v>
      </c>
      <c r="W1198" t="n">
        <v>108.809067422</v>
      </c>
      <c r="X1198" t="n">
        <v>116.272841183</v>
      </c>
      <c r="Y1198" t="n">
        <v/>
      </c>
      <c r="Z1198" t="n">
        <v>98.883519413</v>
      </c>
      <c r="AA1198" t="n">
        <v/>
      </c>
      <c r="AB1198" t="n">
        <v>103.981264637</v>
      </c>
      <c r="AC1198" t="n">
        <v>107.091075744</v>
      </c>
      <c r="AD1198" t="n">
        <v>103.291392384</v>
      </c>
      <c r="AE1198" t="n">
        <v>106.1</v>
      </c>
      <c r="AF1198" t="n">
        <v>100.608384032</v>
      </c>
      <c r="AG1198" t="n">
        <v>113.7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105.450020971</v>
      </c>
      <c r="AM1198" t="n">
        <v>117.9</v>
      </c>
      <c r="AN1198" t="n">
        <v>106.669111091</v>
      </c>
      <c r="AO1198" t="n">
        <v>110.1</v>
      </c>
      <c r="AP1198" t="n">
        <v>114.9</v>
      </c>
      <c r="AQ1198" t="n">
        <v>122.010167514</v>
      </c>
      <c r="AR1198" t="n">
        <v>108.590950754</v>
      </c>
      <c r="AS1198" t="n">
        <v>112.190650779</v>
      </c>
      <c r="AT1198" t="n">
        <v>103.289895869</v>
      </c>
      <c r="AU1198" t="n">
        <v/>
      </c>
    </row>
    <row r="1199">
      <c r="A1199" s="107" t="n">
        <v>43374</v>
      </c>
      <c r="B1199" t="n">
        <v>116.2</v>
      </c>
      <c r="C1199" t="n">
        <v>106.691109074</v>
      </c>
      <c r="D1199" t="n">
        <v>96.449215524</v>
      </c>
      <c r="E1199" t="n">
        <v>110.6279211</v>
      </c>
      <c r="F1199" t="n">
        <v>115.9</v>
      </c>
      <c r="G1199" t="n">
        <v/>
      </c>
      <c r="H1199" t="n">
        <v>99.73911648000001</v>
      </c>
      <c r="I1199" t="n">
        <v>116.290309141</v>
      </c>
      <c r="J1199" t="n">
        <v>112.981169805</v>
      </c>
      <c r="K1199" t="n">
        <v>105.691192401</v>
      </c>
      <c r="L1199" t="n">
        <v>109.7</v>
      </c>
      <c r="M1199" t="n">
        <v>106.4</v>
      </c>
      <c r="N1199" t="n">
        <v>106.220088517</v>
      </c>
      <c r="O1199" t="n">
        <v>112.409367447</v>
      </c>
      <c r="P1199" t="n">
        <v/>
      </c>
      <c r="Q1199" t="n">
        <v>111.1</v>
      </c>
      <c r="R1199" t="n">
        <v>103.94</v>
      </c>
      <c r="S1199" t="n">
        <v>104.840161502</v>
      </c>
      <c r="T1199" t="n">
        <v>107.115970604</v>
      </c>
      <c r="U1199" t="n">
        <v/>
      </c>
      <c r="V1199" t="n">
        <v>107.883126613</v>
      </c>
      <c r="W1199" t="n">
        <v>110.809234103</v>
      </c>
      <c r="X1199" t="n">
        <v>119.16063876</v>
      </c>
      <c r="Y1199" t="n">
        <v/>
      </c>
      <c r="Z1199" t="n">
        <v>109.681719713</v>
      </c>
      <c r="AA1199" t="n">
        <v/>
      </c>
      <c r="AB1199" t="n">
        <v>102.857142857</v>
      </c>
      <c r="AC1199" t="n">
        <v>106.691109074</v>
      </c>
      <c r="AD1199" t="n">
        <v>105.291225731</v>
      </c>
      <c r="AE1199" t="n">
        <v>107.7</v>
      </c>
      <c r="AF1199" t="n">
        <v>104.208684057</v>
      </c>
      <c r="AG1199" t="n">
        <v>114.6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106.026698577</v>
      </c>
      <c r="AM1199" t="n">
        <v>118.6</v>
      </c>
      <c r="AN1199" t="n">
        <v>106.469112757</v>
      </c>
      <c r="AO1199" t="n">
        <v>110.3</v>
      </c>
      <c r="AP1199" t="n">
        <v>116.9</v>
      </c>
      <c r="AQ1199" t="n">
        <v>122.810234186</v>
      </c>
      <c r="AR1199" t="n">
        <v>111.690692442</v>
      </c>
      <c r="AS1199" t="n">
        <v>109.89084243</v>
      </c>
      <c r="AT1199" t="n">
        <v>103.171996461</v>
      </c>
      <c r="AU1199" t="n">
        <v/>
      </c>
    </row>
    <row r="1200">
      <c r="A1200" s="107" t="n">
        <v>43405</v>
      </c>
      <c r="B1200" t="n">
        <v>115.2</v>
      </c>
      <c r="C1200" t="n">
        <v>112.390634114</v>
      </c>
      <c r="D1200" t="n">
        <v>96.449215524</v>
      </c>
      <c r="E1200" t="n">
        <v>109.670429039</v>
      </c>
      <c r="F1200" t="n">
        <v>115.2</v>
      </c>
      <c r="G1200" t="n">
        <v/>
      </c>
      <c r="H1200" t="n">
        <v>103.693927714</v>
      </c>
      <c r="I1200" t="n">
        <v>115.1904008</v>
      </c>
      <c r="J1200" t="n">
        <v>114.180969838</v>
      </c>
      <c r="K1200" t="n">
        <v>103.691359053</v>
      </c>
      <c r="L1200" t="n">
        <v>110.4</v>
      </c>
      <c r="M1200" t="n">
        <v>104.5</v>
      </c>
      <c r="N1200" t="n">
        <v>104.588087157</v>
      </c>
      <c r="O1200" t="n">
        <v>116.409700808</v>
      </c>
      <c r="P1200" t="n">
        <v/>
      </c>
      <c r="Q1200" t="n">
        <v>111</v>
      </c>
      <c r="R1200" t="n">
        <v>102.88</v>
      </c>
      <c r="S1200" t="n">
        <v>104.086361299</v>
      </c>
      <c r="T1200" t="n">
        <v>107.65370138</v>
      </c>
      <c r="U1200" t="n">
        <v/>
      </c>
      <c r="V1200" t="n">
        <v>112.278365104</v>
      </c>
      <c r="W1200" t="n">
        <v>110.209184099</v>
      </c>
      <c r="X1200" t="n">
        <v>115.2903867</v>
      </c>
      <c r="Y1200" t="n">
        <v/>
      </c>
      <c r="Z1200" t="n">
        <v>95.38410265</v>
      </c>
      <c r="AA1200" t="n">
        <v/>
      </c>
      <c r="AB1200" t="n">
        <v>101.451990632</v>
      </c>
      <c r="AC1200" t="n">
        <v>104.891259062</v>
      </c>
      <c r="AD1200" t="n">
        <v>104.091325723</v>
      </c>
      <c r="AE1200" t="n">
        <v>105.7</v>
      </c>
      <c r="AF1200" t="n">
        <v>103.008584049</v>
      </c>
      <c r="AG1200" t="n">
        <v>115.9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105.177026525</v>
      </c>
      <c r="AM1200" t="n">
        <v>117.7</v>
      </c>
      <c r="AN1200" t="n">
        <v>103.12914059</v>
      </c>
      <c r="AO1200" t="n">
        <v>110.2</v>
      </c>
      <c r="AP1200" t="n">
        <v>114.4</v>
      </c>
      <c r="AQ1200" t="n">
        <v>122.41020085</v>
      </c>
      <c r="AR1200" t="n">
        <v>110.090825765</v>
      </c>
      <c r="AS1200" t="n">
        <v>109.690859095</v>
      </c>
      <c r="AT1200" t="n">
        <v>103.085431127</v>
      </c>
      <c r="AU1200" t="n">
        <v/>
      </c>
    </row>
    <row r="1201">
      <c r="A1201" s="107" t="n">
        <v>43435</v>
      </c>
      <c r="B1201" t="n">
        <v>118.9</v>
      </c>
      <c r="C1201" t="n">
        <v>107.291059078</v>
      </c>
      <c r="D1201" t="n">
        <v>96.669419213</v>
      </c>
      <c r="E1201" t="n">
        <v>108.663978876</v>
      </c>
      <c r="F1201" t="n">
        <v>116.1</v>
      </c>
      <c r="G1201" t="n">
        <v/>
      </c>
      <c r="H1201" t="n">
        <v>102.289388709</v>
      </c>
      <c r="I1201" t="n">
        <v>117.490209149</v>
      </c>
      <c r="J1201" t="n">
        <v>113.981003166</v>
      </c>
      <c r="K1201" t="n">
        <v>104.291309058</v>
      </c>
      <c r="L1201" t="n">
        <v>118.9</v>
      </c>
      <c r="M1201" t="n">
        <v>104.7</v>
      </c>
      <c r="N1201" t="n">
        <v>104.281086901</v>
      </c>
      <c r="O1201" t="n">
        <v>116.909742479</v>
      </c>
      <c r="P1201" t="n">
        <v/>
      </c>
      <c r="Q1201" t="n">
        <v>112.7</v>
      </c>
      <c r="R1201" t="n">
        <v>104.2</v>
      </c>
      <c r="S1201" t="n">
        <v>104.269104425</v>
      </c>
      <c r="T1201" t="n">
        <v>107.761247535</v>
      </c>
      <c r="U1201" t="n">
        <v/>
      </c>
      <c r="V1201" t="n">
        <v>110.280529426</v>
      </c>
      <c r="W1201" t="n">
        <v>116.109675806</v>
      </c>
      <c r="X1201" t="n">
        <v>115.451915323</v>
      </c>
      <c r="Y1201" t="n">
        <v/>
      </c>
      <c r="Z1201" t="n">
        <v>92.684552575</v>
      </c>
      <c r="AA1201" t="n">
        <v/>
      </c>
      <c r="AB1201" t="n">
        <v>103.512880562</v>
      </c>
      <c r="AC1201" t="n">
        <v>105.491209066</v>
      </c>
      <c r="AD1201" t="n">
        <v>104.391300725</v>
      </c>
      <c r="AE1201" t="n">
        <v>103.9</v>
      </c>
      <c r="AF1201" t="n">
        <v>104.908742395</v>
      </c>
      <c r="AG1201" t="n">
        <v>118.9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105.122371954</v>
      </c>
      <c r="AM1201" t="n">
        <v>118.9</v>
      </c>
      <c r="AN1201" t="n">
        <v>103.06914109</v>
      </c>
      <c r="AO1201" t="n">
        <v>111.2</v>
      </c>
      <c r="AP1201" t="n">
        <v>117.1</v>
      </c>
      <c r="AQ1201" t="n">
        <v>121.610134178</v>
      </c>
      <c r="AR1201" t="n">
        <v>111.590700775</v>
      </c>
      <c r="AS1201" t="n">
        <v>107.891009083</v>
      </c>
      <c r="AT1201" t="n">
        <v>102.994899454</v>
      </c>
      <c r="AU1201" t="n">
        <v/>
      </c>
    </row>
    <row r="1202">
      <c r="A1202" s="107" t="n">
        <v>43466</v>
      </c>
      <c r="B1202" t="n">
        <v>117.8</v>
      </c>
      <c r="C1202" t="n">
        <v>112.190650779</v>
      </c>
      <c r="D1202" t="n">
        <v>96.008808148</v>
      </c>
      <c r="E1202" t="n">
        <v>107.381972182</v>
      </c>
      <c r="F1202" t="n">
        <v>115.6</v>
      </c>
      <c r="G1202" t="n">
        <v/>
      </c>
      <c r="H1202" t="n">
        <v>99.869942034</v>
      </c>
      <c r="I1202" t="n">
        <v>117.290225815</v>
      </c>
      <c r="J1202" t="n">
        <v>113.081153141</v>
      </c>
      <c r="K1202" t="n">
        <v>103.191400717</v>
      </c>
      <c r="L1202" t="n">
        <v>110</v>
      </c>
      <c r="M1202" t="n">
        <v>105.5</v>
      </c>
      <c r="N1202" t="n">
        <v>107.322089435</v>
      </c>
      <c r="O1202" t="n">
        <v>127.810650888</v>
      </c>
      <c r="P1202" t="n">
        <v/>
      </c>
      <c r="Q1202" t="n">
        <v>113.5</v>
      </c>
      <c r="R1202" t="n">
        <v>104.62</v>
      </c>
      <c r="S1202" t="n">
        <v>103.525808272</v>
      </c>
      <c r="T1202" t="n">
        <v>108.514070622</v>
      </c>
      <c r="U1202" t="n">
        <v/>
      </c>
      <c r="V1202" t="n">
        <v>111.179555482</v>
      </c>
      <c r="W1202" t="n">
        <v>114.309525794</v>
      </c>
      <c r="X1202" t="n">
        <v>114.726965092</v>
      </c>
      <c r="Y1202" t="n">
        <v/>
      </c>
      <c r="Z1202" t="n">
        <v>97.483752708</v>
      </c>
      <c r="AA1202" t="n">
        <v/>
      </c>
      <c r="AB1202" t="n">
        <v>105.480093677</v>
      </c>
      <c r="AC1202" t="n">
        <v>106.291142405</v>
      </c>
      <c r="AD1202" t="n">
        <v>102.391467378</v>
      </c>
      <c r="AE1202" t="n">
        <v>105.4</v>
      </c>
      <c r="AF1202" t="n">
        <v>101.30844237</v>
      </c>
      <c r="AG1202" t="n">
        <v>117.1</v>
      </c>
      <c r="AH1202" t="n">
        <v/>
      </c>
      <c r="AI1202" t="n">
        <v>103.991334055</v>
      </c>
      <c r="AJ1202" t="n">
        <v>98.332040341</v>
      </c>
      <c r="AK1202" t="n">
        <v/>
      </c>
      <c r="AL1202" t="n">
        <v>104.956909827</v>
      </c>
      <c r="AM1202" t="n">
        <v>119.4</v>
      </c>
      <c r="AN1202" t="n">
        <v>104.649127924</v>
      </c>
      <c r="AO1202" t="n">
        <v>111.2</v>
      </c>
      <c r="AP1202" t="n">
        <v>114.2</v>
      </c>
      <c r="AQ1202" t="n">
        <v>127.210600883</v>
      </c>
      <c r="AR1202" t="n">
        <v>112.790600783</v>
      </c>
      <c r="AS1202" t="n">
        <v>109.790850762</v>
      </c>
      <c r="AT1202" t="n">
        <v>102.399353751</v>
      </c>
      <c r="AU1202" t="n">
        <v/>
      </c>
    </row>
    <row r="1203">
      <c r="A1203" s="107" t="n">
        <v>43497</v>
      </c>
      <c r="B1203" t="n">
        <v>117.7</v>
      </c>
      <c r="C1203" t="n">
        <v>111.890675777</v>
      </c>
      <c r="D1203" t="n">
        <v>96.229011836</v>
      </c>
      <c r="E1203" t="n">
        <v>106.820960488</v>
      </c>
      <c r="F1203" t="n">
        <v>115.3</v>
      </c>
      <c r="G1203" t="n">
        <v/>
      </c>
      <c r="H1203" t="n">
        <v>99.3680212</v>
      </c>
      <c r="I1203" t="n">
        <v>117.590200817</v>
      </c>
      <c r="J1203" t="n">
        <v>113.181136477</v>
      </c>
      <c r="K1203" t="n">
        <v>103.691359053</v>
      </c>
      <c r="L1203" t="n">
        <v>109.6</v>
      </c>
      <c r="M1203" t="n">
        <v>105.5</v>
      </c>
      <c r="N1203" t="n">
        <v>106.606088838</v>
      </c>
      <c r="O1203" t="n">
        <v>122.91024252</v>
      </c>
      <c r="P1203" t="n">
        <v/>
      </c>
      <c r="Q1203" t="n">
        <v>111.4</v>
      </c>
      <c r="R1203" t="n">
        <v>104.73</v>
      </c>
      <c r="S1203" t="n">
        <v>103.509953014</v>
      </c>
      <c r="T1203" t="n">
        <v>108.729162932</v>
      </c>
      <c r="U1203" t="n">
        <v/>
      </c>
      <c r="V1203" t="n">
        <v>109.880962291</v>
      </c>
      <c r="W1203" t="n">
        <v>114.009500792</v>
      </c>
      <c r="X1203" t="n">
        <v>114.48993487</v>
      </c>
      <c r="Y1203" t="n">
        <v/>
      </c>
      <c r="Z1203" t="n">
        <v>100.283286119</v>
      </c>
      <c r="AA1203" t="n">
        <v/>
      </c>
      <c r="AB1203" t="n">
        <v>105.761124122</v>
      </c>
      <c r="AC1203" t="n">
        <v>106.591117407</v>
      </c>
      <c r="AD1203" t="n">
        <v>102.891425715</v>
      </c>
      <c r="AE1203" t="n">
        <v>102.2</v>
      </c>
      <c r="AF1203" t="n">
        <v>100.408367364</v>
      </c>
      <c r="AG1203" t="n">
        <v>116.4</v>
      </c>
      <c r="AH1203" t="n">
        <v/>
      </c>
      <c r="AI1203" t="n">
        <v>102.891425715</v>
      </c>
      <c r="AJ1203" t="n">
        <v>96.12102405</v>
      </c>
      <c r="AK1203" t="n">
        <v/>
      </c>
      <c r="AL1203" t="n">
        <v>104.795704504</v>
      </c>
      <c r="AM1203" t="n">
        <v>121.3</v>
      </c>
      <c r="AN1203" t="n">
        <v>103.109140757</v>
      </c>
      <c r="AO1203" t="n">
        <v>110.9</v>
      </c>
      <c r="AP1203" t="n">
        <v>115.4</v>
      </c>
      <c r="AQ1203" t="n">
        <v>124.210350863</v>
      </c>
      <c r="AR1203" t="n">
        <v>111.990667444</v>
      </c>
      <c r="AS1203" t="n">
        <v>111.090742438</v>
      </c>
      <c r="AT1203" t="n">
        <v>101.950463409</v>
      </c>
      <c r="AU1203" t="n">
        <v/>
      </c>
    </row>
    <row r="1204">
      <c r="A1204" s="107" t="n">
        <v>43525</v>
      </c>
      <c r="B1204" t="n">
        <v>117.3</v>
      </c>
      <c r="C1204" t="n">
        <v>110.790767436</v>
      </c>
      <c r="D1204" t="n">
        <v>95.898706303</v>
      </c>
      <c r="E1204" t="n">
        <v>108.722033019</v>
      </c>
      <c r="F1204" t="n">
        <v>116</v>
      </c>
      <c r="G1204" t="n">
        <v/>
      </c>
      <c r="H1204" t="n">
        <v>99.40012786699999</v>
      </c>
      <c r="I1204" t="n">
        <v>117.590200817</v>
      </c>
      <c r="J1204" t="n">
        <v>113.481086486</v>
      </c>
      <c r="K1204" t="n">
        <v>104.391300725</v>
      </c>
      <c r="L1204" t="n">
        <v>112.3</v>
      </c>
      <c r="M1204" t="n">
        <v>105.5</v>
      </c>
      <c r="N1204" t="n">
        <v>106.264088553</v>
      </c>
      <c r="O1204" t="n">
        <v>125.410450871</v>
      </c>
      <c r="P1204" t="n">
        <v/>
      </c>
      <c r="Q1204" t="n">
        <v>111.5</v>
      </c>
      <c r="R1204" t="n">
        <v>104.4</v>
      </c>
      <c r="S1204" t="n">
        <v>103.659424172</v>
      </c>
      <c r="T1204" t="n">
        <v>110.019716795</v>
      </c>
      <c r="U1204" t="n">
        <v/>
      </c>
      <c r="V1204" t="n">
        <v>107.683343045</v>
      </c>
      <c r="W1204" t="n">
        <v>115.809650804</v>
      </c>
      <c r="X1204" t="n">
        <v>116.268834953</v>
      </c>
      <c r="Y1204" t="n">
        <v/>
      </c>
      <c r="Z1204" t="n">
        <v>100.383269455</v>
      </c>
      <c r="AA1204" t="n">
        <v/>
      </c>
      <c r="AB1204" t="n">
        <v>106.697892272</v>
      </c>
      <c r="AC1204" t="n">
        <v>105.691192401</v>
      </c>
      <c r="AD1204" t="n">
        <v>102.491459045</v>
      </c>
      <c r="AE1204" t="n">
        <v>104.1</v>
      </c>
      <c r="AF1204" t="n">
        <v>102.30852571</v>
      </c>
      <c r="AG1204" t="n">
        <v>117.9</v>
      </c>
      <c r="AH1204" t="n">
        <v/>
      </c>
      <c r="AI1204" t="n">
        <v>103.391384051</v>
      </c>
      <c r="AJ1204" t="n">
        <v>95.422808379</v>
      </c>
      <c r="AK1204" t="n">
        <v/>
      </c>
      <c r="AL1204" t="n">
        <v>105.193118669</v>
      </c>
      <c r="AM1204" t="n">
        <v>121.5</v>
      </c>
      <c r="AN1204" t="n">
        <v>102.809143257</v>
      </c>
      <c r="AO1204" t="n">
        <v>111.2</v>
      </c>
      <c r="AP1204" t="n">
        <v>118.2</v>
      </c>
      <c r="AQ1204" t="n">
        <v>125.010417535</v>
      </c>
      <c r="AR1204" t="n">
        <v>110.190817432</v>
      </c>
      <c r="AS1204" t="n">
        <v>114.490459128</v>
      </c>
      <c r="AT1204" t="n">
        <v>102.034053989</v>
      </c>
      <c r="AU1204" t="n">
        <v/>
      </c>
    </row>
    <row r="1205">
      <c r="A1205" s="107" t="n">
        <v>43556</v>
      </c>
      <c r="B1205" t="n">
        <v>114.6</v>
      </c>
      <c r="C1205" t="n">
        <v>117.09024248</v>
      </c>
      <c r="D1205" t="n">
        <v>96.229011836</v>
      </c>
      <c r="E1205" t="n">
        <v>111.285511345</v>
      </c>
      <c r="F1205" t="n">
        <v>115.6</v>
      </c>
      <c r="G1205" t="n">
        <v/>
      </c>
      <c r="H1205" t="n">
        <v>102.17292211</v>
      </c>
      <c r="I1205" t="n">
        <v>115.090409133</v>
      </c>
      <c r="J1205" t="n">
        <v>114.580903183</v>
      </c>
      <c r="K1205" t="n">
        <v>101.691525706</v>
      </c>
      <c r="L1205" t="n">
        <v>113</v>
      </c>
      <c r="M1205" t="n">
        <v>104.7</v>
      </c>
      <c r="N1205" t="n">
        <v>106.490088742</v>
      </c>
      <c r="O1205" t="n">
        <v>124.710392533</v>
      </c>
      <c r="P1205" t="n">
        <v/>
      </c>
      <c r="Q1205" t="n">
        <v>114.8</v>
      </c>
      <c r="R1205" t="n">
        <v>104.81</v>
      </c>
      <c r="S1205" t="n">
        <v>102.918568233</v>
      </c>
      <c r="T1205" t="n">
        <v>106.685785983</v>
      </c>
      <c r="U1205" t="n">
        <v/>
      </c>
      <c r="V1205" t="n">
        <v>109.581286939</v>
      </c>
      <c r="W1205" t="n">
        <v>115.609634136</v>
      </c>
      <c r="X1205" t="n">
        <v>116.125935703</v>
      </c>
      <c r="Y1205" t="n">
        <v/>
      </c>
      <c r="Z1205" t="n">
        <v>104.3826029</v>
      </c>
      <c r="AA1205" t="n">
        <v/>
      </c>
      <c r="AB1205" t="n">
        <v>107.259953162</v>
      </c>
      <c r="AC1205" t="n">
        <v>104.19131739</v>
      </c>
      <c r="AD1205" t="n">
        <v>102.69144238</v>
      </c>
      <c r="AE1205" t="n">
        <v>106.1</v>
      </c>
      <c r="AF1205" t="n">
        <v>100.608384032</v>
      </c>
      <c r="AG1205" t="n">
        <v>114.2</v>
      </c>
      <c r="AH1205" t="n">
        <v/>
      </c>
      <c r="AI1205" t="n">
        <v>102.29147571</v>
      </c>
      <c r="AJ1205" t="n">
        <v>96.35376260699999</v>
      </c>
      <c r="AK1205" t="n">
        <v/>
      </c>
      <c r="AL1205" t="n">
        <v>105.027229784</v>
      </c>
      <c r="AM1205" t="n">
        <v>122.4</v>
      </c>
      <c r="AN1205" t="n">
        <v>105.839118007</v>
      </c>
      <c r="AO1205" t="n">
        <v>113.3</v>
      </c>
      <c r="AP1205" t="n">
        <v>117.3</v>
      </c>
      <c r="AQ1205" t="n">
        <v>126.410534211</v>
      </c>
      <c r="AR1205" t="n">
        <v>111.490709108</v>
      </c>
      <c r="AS1205" t="n">
        <v>113.990500792</v>
      </c>
      <c r="AT1205" t="n">
        <v>101.521008124</v>
      </c>
      <c r="AU1205" t="n">
        <v/>
      </c>
    </row>
    <row r="1206">
      <c r="A1206" s="107" t="n">
        <v>43586</v>
      </c>
      <c r="B1206" t="n">
        <v>115.1</v>
      </c>
      <c r="C1206" t="n">
        <v>112.690609116</v>
      </c>
      <c r="D1206" t="n">
        <v>96.118909992</v>
      </c>
      <c r="E1206" t="n">
        <v>111.377541875</v>
      </c>
      <c r="F1206" t="n">
        <v>116.6</v>
      </c>
      <c r="G1206" t="n">
        <v/>
      </c>
      <c r="H1206" t="n">
        <v>102.255038026</v>
      </c>
      <c r="I1206" t="n">
        <v>115.490375802</v>
      </c>
      <c r="J1206" t="n">
        <v>117.680386602</v>
      </c>
      <c r="K1206" t="n">
        <v>102.891425715</v>
      </c>
      <c r="L1206" t="n">
        <v>118.3</v>
      </c>
      <c r="M1206" t="n">
        <v>105.2</v>
      </c>
      <c r="N1206" t="n">
        <v>106.789088991</v>
      </c>
      <c r="O1206" t="n">
        <v>126.010500875</v>
      </c>
      <c r="P1206" t="n">
        <v/>
      </c>
      <c r="Q1206" t="n">
        <v>112.1</v>
      </c>
      <c r="R1206" t="n">
        <v>106.08</v>
      </c>
      <c r="S1206" t="n">
        <v>103.687287393</v>
      </c>
      <c r="T1206" t="n">
        <v>107.761247535</v>
      </c>
      <c r="U1206" t="n">
        <v/>
      </c>
      <c r="V1206" t="n">
        <v>108.282693748</v>
      </c>
      <c r="W1206" t="n">
        <v>118.709892491</v>
      </c>
      <c r="X1206" t="n">
        <v>117.852248102</v>
      </c>
      <c r="Y1206" t="n">
        <v/>
      </c>
      <c r="Z1206" t="n">
        <v>98.98350275</v>
      </c>
      <c r="AA1206" t="n">
        <v/>
      </c>
      <c r="AB1206" t="n">
        <v>106.229508197</v>
      </c>
      <c r="AC1206" t="n">
        <v>106.391134072</v>
      </c>
      <c r="AD1206" t="n">
        <v>103.891342388</v>
      </c>
      <c r="AE1206" t="n">
        <v>105.9</v>
      </c>
      <c r="AF1206" t="n">
        <v>100.708392366</v>
      </c>
      <c r="AG1206" t="n">
        <v>116.8</v>
      </c>
      <c r="AH1206" t="n">
        <v/>
      </c>
      <c r="AI1206" t="n">
        <v>102.69144238</v>
      </c>
      <c r="AJ1206" t="n">
        <v>96.470131885</v>
      </c>
      <c r="AK1206" t="n">
        <v/>
      </c>
      <c r="AL1206" t="n">
        <v>105.558020906</v>
      </c>
      <c r="AM1206" t="n">
        <v>122.5</v>
      </c>
      <c r="AN1206" t="n">
        <v>106.369113591</v>
      </c>
      <c r="AO1206" t="n">
        <v>112.9</v>
      </c>
      <c r="AP1206" t="n">
        <v>117.1</v>
      </c>
      <c r="AQ1206" t="n">
        <v>125.410450871</v>
      </c>
      <c r="AR1206" t="n">
        <v>111.890675777</v>
      </c>
      <c r="AS1206" t="n">
        <v>115.1904008</v>
      </c>
      <c r="AT1206" t="n">
        <v>101.712383949</v>
      </c>
      <c r="AU1206" t="n">
        <v/>
      </c>
    </row>
    <row r="1207">
      <c r="A1207" s="107" t="n">
        <v>43617</v>
      </c>
      <c r="B1207" t="n">
        <v>115.4</v>
      </c>
      <c r="C1207" t="n">
        <v>116.490292476</v>
      </c>
      <c r="D1207" t="n">
        <v>95.348197082</v>
      </c>
      <c r="E1207" t="n">
        <v>110.5492671</v>
      </c>
      <c r="F1207" t="n">
        <v>119</v>
      </c>
      <c r="G1207" t="n">
        <v/>
      </c>
      <c r="H1207" t="n">
        <v>100.398074579</v>
      </c>
      <c r="I1207" t="n">
        <v>115.890342471</v>
      </c>
      <c r="J1207" t="n">
        <v>112.781203133</v>
      </c>
      <c r="K1207" t="n">
        <v>101.991500708</v>
      </c>
      <c r="L1207" t="n">
        <v>110.7</v>
      </c>
      <c r="M1207" t="n">
        <v>104.3</v>
      </c>
      <c r="N1207" t="n">
        <v>106.214088512</v>
      </c>
      <c r="O1207" t="n">
        <v>117.609800817</v>
      </c>
      <c r="P1207" t="n">
        <v/>
      </c>
      <c r="Q1207" t="n">
        <v>114.4</v>
      </c>
      <c r="R1207" t="n">
        <v>103.79</v>
      </c>
      <c r="S1207" t="n">
        <v>102.845905088</v>
      </c>
      <c r="T1207" t="n">
        <v>107.008424449</v>
      </c>
      <c r="U1207" t="n">
        <v/>
      </c>
      <c r="V1207" t="n">
        <v>108.382585532</v>
      </c>
      <c r="W1207" t="n">
        <v>114.809567464</v>
      </c>
      <c r="X1207" t="n">
        <v>116.797166247</v>
      </c>
      <c r="Y1207" t="n">
        <v/>
      </c>
      <c r="Z1207" t="n">
        <v>99.78336943799999</v>
      </c>
      <c r="AA1207" t="n">
        <v/>
      </c>
      <c r="AB1207" t="n">
        <v>105.667447307</v>
      </c>
      <c r="AC1207" t="n">
        <v>105.791184068</v>
      </c>
      <c r="AD1207" t="n">
        <v>101.391550704</v>
      </c>
      <c r="AE1207" t="n">
        <v>106.4</v>
      </c>
      <c r="AF1207" t="n">
        <v>98.308192349</v>
      </c>
      <c r="AG1207" t="n">
        <v>116.6</v>
      </c>
      <c r="AH1207" t="n">
        <v/>
      </c>
      <c r="AI1207" t="n">
        <v>101.591534039</v>
      </c>
      <c r="AJ1207" t="n">
        <v>95.30643910000001</v>
      </c>
      <c r="AK1207" t="n">
        <v/>
      </c>
      <c r="AL1207" t="n">
        <v>104.535123853</v>
      </c>
      <c r="AM1207" t="n">
        <v>120.2</v>
      </c>
      <c r="AN1207" t="n">
        <v>100.72916059</v>
      </c>
      <c r="AO1207" t="n">
        <v>114.7</v>
      </c>
      <c r="AP1207" t="n">
        <v>112.5</v>
      </c>
      <c r="AQ1207" t="n">
        <v>123.91032586</v>
      </c>
      <c r="AR1207" t="n">
        <v>112.090659112</v>
      </c>
      <c r="AS1207" t="n">
        <v>110.090825765</v>
      </c>
      <c r="AT1207" t="n">
        <v>101.729439204</v>
      </c>
      <c r="AU1207" t="n">
        <v/>
      </c>
    </row>
    <row r="1208">
      <c r="A1208" s="107" t="n">
        <v>43647</v>
      </c>
      <c r="B1208" t="n">
        <v>114.8</v>
      </c>
      <c r="C1208" t="n">
        <v>109.090909091</v>
      </c>
      <c r="D1208" t="n">
        <v>94.687586017</v>
      </c>
      <c r="E1208" t="n">
        <v>108.53021357</v>
      </c>
      <c r="F1208" t="n">
        <v>118.3</v>
      </c>
      <c r="G1208" t="n">
        <v/>
      </c>
      <c r="H1208" t="n">
        <v>100.890770968</v>
      </c>
      <c r="I1208" t="n">
        <v>115.590367469</v>
      </c>
      <c r="J1208" t="n">
        <v>112.581236461</v>
      </c>
      <c r="K1208" t="n">
        <v>101.391550704</v>
      </c>
      <c r="L1208" t="n">
        <v>113.4</v>
      </c>
      <c r="M1208" t="n">
        <v>103.6</v>
      </c>
      <c r="N1208" t="n">
        <v>105.290087742</v>
      </c>
      <c r="O1208" t="n">
        <v>114.309525794</v>
      </c>
      <c r="P1208" t="n">
        <v/>
      </c>
      <c r="Q1208" t="n">
        <v>115</v>
      </c>
      <c r="R1208" t="n">
        <v>104</v>
      </c>
      <c r="S1208" t="n">
        <v>102.612413414</v>
      </c>
      <c r="T1208" t="n">
        <v>107.43860907</v>
      </c>
      <c r="U1208" t="n">
        <v/>
      </c>
      <c r="V1208" t="n">
        <v>106.684425206</v>
      </c>
      <c r="W1208" t="n">
        <v>116.909742479</v>
      </c>
      <c r="X1208" t="n">
        <v>118.547379374</v>
      </c>
      <c r="Y1208" t="n">
        <v/>
      </c>
      <c r="Z1208" t="n">
        <v>95.584069322</v>
      </c>
      <c r="AA1208" t="n">
        <v/>
      </c>
      <c r="AB1208" t="n">
        <v>109.133489461</v>
      </c>
      <c r="AC1208" t="n">
        <v>105.991167403</v>
      </c>
      <c r="AD1208" t="n">
        <v>101.791517374</v>
      </c>
      <c r="AE1208" t="n">
        <v>108.6</v>
      </c>
      <c r="AF1208" t="n">
        <v>97.908159013</v>
      </c>
      <c r="AG1208" t="n">
        <v>114.8</v>
      </c>
      <c r="AH1208" t="n">
        <v/>
      </c>
      <c r="AI1208" t="n">
        <v>101.691525706</v>
      </c>
      <c r="AJ1208" t="n">
        <v>96.470131885</v>
      </c>
      <c r="AK1208" t="n">
        <v/>
      </c>
      <c r="AL1208" t="n">
        <v>104.688950066</v>
      </c>
      <c r="AM1208" t="n">
        <v>121.8</v>
      </c>
      <c r="AN1208" t="n">
        <v>106.409113257</v>
      </c>
      <c r="AO1208" t="n">
        <v>114.1</v>
      </c>
      <c r="AP1208" t="n">
        <v>111.5</v>
      </c>
      <c r="AQ1208" t="n">
        <v>125.710475873</v>
      </c>
      <c r="AR1208" t="n">
        <v>112.190650779</v>
      </c>
      <c r="AS1208" t="n">
        <v>114.490459128</v>
      </c>
      <c r="AT1208" t="n">
        <v>101.34113468</v>
      </c>
      <c r="AU1208" t="n">
        <v/>
      </c>
    </row>
    <row r="1209">
      <c r="A1209" s="107" t="n">
        <v>43678</v>
      </c>
      <c r="B1209" t="n">
        <v>113.6</v>
      </c>
      <c r="C1209" t="n">
        <v>116.790267478</v>
      </c>
      <c r="D1209" t="n">
        <v>95.568400771</v>
      </c>
      <c r="E1209" t="n">
        <v>108.622779162</v>
      </c>
      <c r="F1209" t="n">
        <v>118.6</v>
      </c>
      <c r="G1209" t="n">
        <v/>
      </c>
      <c r="H1209" t="n">
        <v>102.091541525</v>
      </c>
      <c r="I1209" t="n">
        <v>113.390550787</v>
      </c>
      <c r="J1209" t="n">
        <v>113.081153141</v>
      </c>
      <c r="K1209" t="n">
        <v>102.29147571</v>
      </c>
      <c r="L1209" t="n">
        <v>110.3</v>
      </c>
      <c r="M1209" t="n">
        <v>104.5</v>
      </c>
      <c r="N1209" t="n">
        <v>106.057088381</v>
      </c>
      <c r="O1209" t="n">
        <v>119.009917493</v>
      </c>
      <c r="P1209" t="n">
        <v/>
      </c>
      <c r="Q1209" t="n">
        <v>113.8</v>
      </c>
      <c r="R1209" t="n">
        <v>103.09</v>
      </c>
      <c r="S1209" t="n">
        <v>102.692899599</v>
      </c>
      <c r="T1209" t="n">
        <v>106.470693673</v>
      </c>
      <c r="U1209" t="n">
        <v/>
      </c>
      <c r="V1209" t="n">
        <v>109.181719804</v>
      </c>
      <c r="W1209" t="n">
        <v>115.409617468</v>
      </c>
      <c r="X1209" t="n">
        <v>114.054283523</v>
      </c>
      <c r="Y1209" t="n">
        <v/>
      </c>
      <c r="Z1209" t="n">
        <v>102.682886186</v>
      </c>
      <c r="AA1209" t="n">
        <v/>
      </c>
      <c r="AB1209" t="n">
        <v>109.039812646</v>
      </c>
      <c r="AC1209" t="n">
        <v>105.591200733</v>
      </c>
      <c r="AD1209" t="n">
        <v>100.491625698</v>
      </c>
      <c r="AE1209" t="n">
        <v>106.6</v>
      </c>
      <c r="AF1209" t="n">
        <v>101.108425702</v>
      </c>
      <c r="AG1209" t="n">
        <v>119.2</v>
      </c>
      <c r="AH1209" t="n">
        <v/>
      </c>
      <c r="AI1209" t="n">
        <v>101.891509041</v>
      </c>
      <c r="AJ1209" t="n">
        <v>94.724592708</v>
      </c>
      <c r="AK1209" t="n">
        <v/>
      </c>
      <c r="AL1209" t="n">
        <v>104.620174718</v>
      </c>
      <c r="AM1209" t="n">
        <v>121</v>
      </c>
      <c r="AN1209" t="n">
        <v>103.529137257</v>
      </c>
      <c r="AO1209" t="n">
        <v>114.7</v>
      </c>
      <c r="AP1209" t="n">
        <v>109.5</v>
      </c>
      <c r="AQ1209" t="n">
        <v>123.510292524</v>
      </c>
      <c r="AR1209" t="n">
        <v>112.790600783</v>
      </c>
      <c r="AS1209" t="n">
        <v>111.39071744</v>
      </c>
      <c r="AT1209" t="n">
        <v>102.042581617</v>
      </c>
      <c r="AU1209" t="n">
        <v/>
      </c>
    </row>
    <row r="1210">
      <c r="A1210" s="107" t="n">
        <v>43709</v>
      </c>
      <c r="B1210" t="n">
        <v>114.8</v>
      </c>
      <c r="C1210" t="n">
        <v>115.390384135</v>
      </c>
      <c r="D1210" t="n">
        <v>95.568400771</v>
      </c>
      <c r="E1210" t="n">
        <v>108.323144876</v>
      </c>
      <c r="F1210" t="n">
        <v>121.5</v>
      </c>
      <c r="G1210" t="n">
        <v/>
      </c>
      <c r="H1210" t="n">
        <v>100.465292476</v>
      </c>
      <c r="I1210" t="n">
        <v>114.490459128</v>
      </c>
      <c r="J1210" t="n">
        <v>113.081153141</v>
      </c>
      <c r="K1210" t="n">
        <v>101.091575702</v>
      </c>
      <c r="L1210" t="n">
        <v>112.2</v>
      </c>
      <c r="M1210" t="n">
        <v>104.4</v>
      </c>
      <c r="N1210" t="n">
        <v>105.51608793</v>
      </c>
      <c r="O1210" t="n">
        <v>117.109759147</v>
      </c>
      <c r="P1210" t="n">
        <v/>
      </c>
      <c r="Q1210" t="n">
        <v>114.1</v>
      </c>
      <c r="R1210" t="n">
        <v>103.89</v>
      </c>
      <c r="S1210" t="n">
        <v>102.756695389</v>
      </c>
      <c r="T1210" t="n">
        <v>107.115970604</v>
      </c>
      <c r="U1210" t="n">
        <v/>
      </c>
      <c r="V1210" t="n">
        <v>109.381503371</v>
      </c>
      <c r="W1210" t="n">
        <v>118.809900825</v>
      </c>
      <c r="X1210" t="n">
        <v>111.000832485</v>
      </c>
      <c r="Y1210" t="n">
        <v/>
      </c>
      <c r="Z1210" t="n">
        <v>109.381769705</v>
      </c>
      <c r="AA1210" t="n">
        <v/>
      </c>
      <c r="AB1210" t="n">
        <v>107.822014052</v>
      </c>
      <c r="AC1210" t="n">
        <v>104.891259062</v>
      </c>
      <c r="AD1210" t="n">
        <v>102.491459045</v>
      </c>
      <c r="AE1210" t="n">
        <v>108</v>
      </c>
      <c r="AF1210" t="n">
        <v>99.008250688</v>
      </c>
      <c r="AG1210" t="n">
        <v>120.2</v>
      </c>
      <c r="AH1210" t="n">
        <v/>
      </c>
      <c r="AI1210" t="n">
        <v>103.091409049</v>
      </c>
      <c r="AJ1210" t="n">
        <v>93.91000775800001</v>
      </c>
      <c r="AK1210" t="n">
        <v/>
      </c>
      <c r="AL1210" t="n">
        <v>105.086972223</v>
      </c>
      <c r="AM1210" t="n">
        <v>122</v>
      </c>
      <c r="AN1210" t="n">
        <v>100.84915959</v>
      </c>
      <c r="AO1210" t="n">
        <v>114.6</v>
      </c>
      <c r="AP1210" t="n">
        <v>111.4</v>
      </c>
      <c r="AQ1210" t="n">
        <v>124.610384199</v>
      </c>
      <c r="AR1210" t="n">
        <v>112.790600783</v>
      </c>
      <c r="AS1210" t="n">
        <v>115.490375802</v>
      </c>
      <c r="AT1210" t="n">
        <v>101.715755337</v>
      </c>
      <c r="AU1210" t="n">
        <v/>
      </c>
    </row>
    <row r="1211">
      <c r="A1211" s="107" t="n">
        <v>43739</v>
      </c>
      <c r="B1211" t="n">
        <v>114.5</v>
      </c>
      <c r="C1211" t="n">
        <v>111.890675777</v>
      </c>
      <c r="D1211" t="n">
        <v>97.660335811</v>
      </c>
      <c r="E1211" t="n">
        <v>109.096575876</v>
      </c>
      <c r="F1211" t="n">
        <v>120.4</v>
      </c>
      <c r="G1211" t="n">
        <v/>
      </c>
      <c r="H1211" t="n">
        <v>97.289660633</v>
      </c>
      <c r="I1211" t="n">
        <v>114.590450796</v>
      </c>
      <c r="J1211" t="n">
        <v>112.781203133</v>
      </c>
      <c r="K1211" t="n">
        <v>99.691692359</v>
      </c>
      <c r="L1211" t="n">
        <v>109.8</v>
      </c>
      <c r="M1211" t="n">
        <v>104.6</v>
      </c>
      <c r="N1211" t="n">
        <v>105.198087665</v>
      </c>
      <c r="O1211" t="n">
        <v>116.309692474</v>
      </c>
      <c r="P1211" t="n">
        <v/>
      </c>
      <c r="Q1211" t="n">
        <v>112.7</v>
      </c>
      <c r="R1211" t="n">
        <v>103.57</v>
      </c>
      <c r="S1211" t="n">
        <v>101.402974551</v>
      </c>
      <c r="T1211" t="n">
        <v>107.65370138</v>
      </c>
      <c r="U1211" t="n">
        <v/>
      </c>
      <c r="V1211" t="n">
        <v>107.083992342</v>
      </c>
      <c r="W1211" t="n">
        <v>117.409784149</v>
      </c>
      <c r="X1211" t="n">
        <v>111.20680017</v>
      </c>
      <c r="Y1211" t="n">
        <v/>
      </c>
      <c r="Z1211" t="n">
        <v>126.378936844</v>
      </c>
      <c r="AA1211" t="n">
        <v/>
      </c>
      <c r="AB1211" t="n">
        <v>111.381733021</v>
      </c>
      <c r="AC1211" t="n">
        <v>104.091325723</v>
      </c>
      <c r="AD1211" t="n">
        <v>98.291809016</v>
      </c>
      <c r="AE1211" t="n">
        <v>106.9</v>
      </c>
      <c r="AF1211" t="n">
        <v>97.108092341</v>
      </c>
      <c r="AG1211" t="n">
        <v>118.4</v>
      </c>
      <c r="AH1211" t="n">
        <v/>
      </c>
      <c r="AI1211" t="n">
        <v>102.891425715</v>
      </c>
      <c r="AJ1211" t="n">
        <v>97.40108611300001</v>
      </c>
      <c r="AK1211" t="n">
        <v/>
      </c>
      <c r="AL1211" t="n">
        <v>104.248867251</v>
      </c>
      <c r="AM1211" t="n">
        <v>123</v>
      </c>
      <c r="AN1211" t="n">
        <v>104.269131091</v>
      </c>
      <c r="AO1211" t="n">
        <v>114.9</v>
      </c>
      <c r="AP1211" t="n">
        <v>112.2</v>
      </c>
      <c r="AQ1211" t="n">
        <v>125.910492541</v>
      </c>
      <c r="AR1211" t="n">
        <v>111.290725773</v>
      </c>
      <c r="AS1211" t="n">
        <v>114.090492459</v>
      </c>
      <c r="AT1211" t="n">
        <v>100.921000291</v>
      </c>
      <c r="AU1211" t="n">
        <v/>
      </c>
    </row>
    <row r="1212">
      <c r="A1212" s="107" t="n">
        <v>43770</v>
      </c>
      <c r="B1212" t="n">
        <v>113.7</v>
      </c>
      <c r="C1212" t="n">
        <v>115.1904008</v>
      </c>
      <c r="D1212" t="n">
        <v>95.568400771</v>
      </c>
      <c r="E1212" t="n">
        <v>108.166639468</v>
      </c>
      <c r="F1212" t="n">
        <v>117.4</v>
      </c>
      <c r="G1212" t="n">
        <v/>
      </c>
      <c r="H1212" t="n">
        <v>100.393486282</v>
      </c>
      <c r="I1212" t="n">
        <v>113.69052579</v>
      </c>
      <c r="J1212" t="n">
        <v>110.581569738</v>
      </c>
      <c r="K1212" t="n">
        <v>100.091659028</v>
      </c>
      <c r="L1212" t="n">
        <v>104.7</v>
      </c>
      <c r="M1212" t="n">
        <v>103.5</v>
      </c>
      <c r="N1212" t="n">
        <v>106.14008845</v>
      </c>
      <c r="O1212" t="n">
        <v>118.609884157</v>
      </c>
      <c r="P1212" t="n">
        <v/>
      </c>
      <c r="Q1212" t="n">
        <v>112.2</v>
      </c>
      <c r="R1212" t="n">
        <v>103.22</v>
      </c>
      <c r="S1212" t="n">
        <v>101.403765063</v>
      </c>
      <c r="T1212" t="n">
        <v>106.793332138</v>
      </c>
      <c r="U1212" t="n">
        <v/>
      </c>
      <c r="V1212" t="n">
        <v>101.390160659</v>
      </c>
      <c r="W1212" t="n">
        <v>115.909659138</v>
      </c>
      <c r="X1212" t="n">
        <v>117.999924452</v>
      </c>
      <c r="Y1212" t="n">
        <v/>
      </c>
      <c r="Z1212" t="n">
        <v>104.082652891</v>
      </c>
      <c r="AA1212" t="n">
        <v/>
      </c>
      <c r="AB1212" t="n">
        <v>110.444964871</v>
      </c>
      <c r="AC1212" t="n">
        <v>104.391300725</v>
      </c>
      <c r="AD1212" t="n">
        <v>97.69185901199999</v>
      </c>
      <c r="AE1212" t="n">
        <v>107.5</v>
      </c>
      <c r="AF1212" t="n">
        <v>96.308025669</v>
      </c>
      <c r="AG1212" t="n">
        <v>116.4</v>
      </c>
      <c r="AH1212" t="n">
        <v/>
      </c>
      <c r="AI1212" t="n">
        <v>101.691525706</v>
      </c>
      <c r="AJ1212" t="n">
        <v>99.84484096200001</v>
      </c>
      <c r="AK1212" t="n">
        <v/>
      </c>
      <c r="AL1212" t="n">
        <v>103.958183848</v>
      </c>
      <c r="AM1212" t="n">
        <v>123.8</v>
      </c>
      <c r="AN1212" t="n">
        <v>103.12914059</v>
      </c>
      <c r="AO1212" t="n">
        <v>112.9</v>
      </c>
      <c r="AP1212" t="n">
        <v>111.8</v>
      </c>
      <c r="AQ1212" t="n">
        <v>124.610384199</v>
      </c>
      <c r="AR1212" t="n">
        <v>112.690609116</v>
      </c>
      <c r="AS1212" t="n">
        <v>114.79043413</v>
      </c>
      <c r="AT1212" t="n">
        <v>101.238703992</v>
      </c>
      <c r="AU1212" t="n">
        <v/>
      </c>
    </row>
    <row r="1213">
      <c r="A1213" s="107" t="n">
        <v>43800</v>
      </c>
      <c r="B1213" t="n">
        <v>115.3</v>
      </c>
      <c r="C1213" t="n">
        <v>118.290142488</v>
      </c>
      <c r="D1213" t="n">
        <v>94.797687861</v>
      </c>
      <c r="E1213" t="n">
        <v>107.319102488</v>
      </c>
      <c r="F1213" t="n">
        <v>114.4</v>
      </c>
      <c r="G1213" t="n">
        <v/>
      </c>
      <c r="H1213" t="n">
        <v>104.027490545</v>
      </c>
      <c r="I1213" t="n">
        <v>113.490542455</v>
      </c>
      <c r="J1213" t="n">
        <v>110.381603066</v>
      </c>
      <c r="K1213" t="n">
        <v>97.69185901199999</v>
      </c>
      <c r="L1213" t="n">
        <v>111.6</v>
      </c>
      <c r="M1213" t="n">
        <v>101.4</v>
      </c>
      <c r="N1213" t="n">
        <v>104.992087493</v>
      </c>
      <c r="O1213" t="n">
        <v>116.409700808</v>
      </c>
      <c r="P1213" t="n">
        <v/>
      </c>
      <c r="Q1213" t="n">
        <v>111.5</v>
      </c>
      <c r="R1213" t="n">
        <v>101.13</v>
      </c>
      <c r="S1213" t="n">
        <v>100.559476485</v>
      </c>
      <c r="T1213" t="n">
        <v>106.363147517</v>
      </c>
      <c r="U1213" t="n">
        <v/>
      </c>
      <c r="V1213" t="n">
        <v>105.685507367</v>
      </c>
      <c r="W1213" t="n">
        <v>112.609384115</v>
      </c>
      <c r="X1213" t="n">
        <v>115.456562736</v>
      </c>
      <c r="Y1213" t="n">
        <v/>
      </c>
      <c r="Z1213" t="n">
        <v>93.78436927200001</v>
      </c>
      <c r="AA1213" t="n">
        <v/>
      </c>
      <c r="AB1213" t="n">
        <v>110.257611241</v>
      </c>
      <c r="AC1213" t="n">
        <v>101.791517374</v>
      </c>
      <c r="AD1213" t="n">
        <v>97.79185067900001</v>
      </c>
      <c r="AE1213" t="n">
        <v>110.5</v>
      </c>
      <c r="AF1213" t="n">
        <v>93.10775898</v>
      </c>
      <c r="AG1213" t="n">
        <v>114.9</v>
      </c>
      <c r="AH1213" t="n">
        <v/>
      </c>
      <c r="AI1213" t="n">
        <v>100.191650696</v>
      </c>
      <c r="AJ1213" t="n">
        <v>100.892164469</v>
      </c>
      <c r="AK1213" t="n">
        <v/>
      </c>
      <c r="AL1213" t="n">
        <v>103.489904793</v>
      </c>
      <c r="AM1213" t="n">
        <v>120.7</v>
      </c>
      <c r="AN1213" t="n">
        <v>106.439113007</v>
      </c>
      <c r="AO1213" t="n">
        <v>112.3</v>
      </c>
      <c r="AP1213" t="n">
        <v>109.8</v>
      </c>
      <c r="AQ1213" t="n">
        <v>123.010250854</v>
      </c>
      <c r="AR1213" t="n">
        <v>110.890759103</v>
      </c>
      <c r="AS1213" t="n">
        <v>117.290225815</v>
      </c>
      <c r="AT1213" t="n">
        <v>100.906820631</v>
      </c>
      <c r="AU1213" t="n">
        <v/>
      </c>
    </row>
    <row r="1214">
      <c r="A1214" s="107" t="n">
        <v>43831</v>
      </c>
      <c r="B1214" t="n">
        <v>118.1</v>
      </c>
      <c r="C1214" t="n">
        <v>112.390634114</v>
      </c>
      <c r="D1214" t="n">
        <v>95.898706303</v>
      </c>
      <c r="E1214" t="n">
        <v>107.855501366</v>
      </c>
      <c r="F1214" t="n">
        <v>119.1</v>
      </c>
      <c r="G1214" t="n">
        <v/>
      </c>
      <c r="H1214" t="n">
        <v>102.384560197</v>
      </c>
      <c r="I1214" t="n">
        <v>117.590200817</v>
      </c>
      <c r="J1214" t="n">
        <v>112.281286452</v>
      </c>
      <c r="K1214" t="n">
        <v>100.291642363</v>
      </c>
      <c r="L1214" t="n">
        <v>106.7</v>
      </c>
      <c r="M1214" t="n">
        <v>103.8</v>
      </c>
      <c r="N1214" t="n">
        <v>105.638088032</v>
      </c>
      <c r="O1214" t="n">
        <v>117.509792483</v>
      </c>
      <c r="P1214" t="n">
        <v/>
      </c>
      <c r="Q1214" t="n">
        <v>110.7</v>
      </c>
      <c r="R1214" t="n">
        <v>101.25</v>
      </c>
      <c r="S1214" t="n">
        <v>101.089499802</v>
      </c>
      <c r="T1214" t="n">
        <v>106.148055207</v>
      </c>
      <c r="U1214" t="n">
        <v/>
      </c>
      <c r="V1214" t="n">
        <v>111.279447265</v>
      </c>
      <c r="W1214" t="n">
        <v>117.909825819</v>
      </c>
      <c r="X1214" t="n">
        <v>117.092451048</v>
      </c>
      <c r="Y1214" t="n">
        <v/>
      </c>
      <c r="Z1214" t="n">
        <v>105.282452925</v>
      </c>
      <c r="AA1214" t="n">
        <v/>
      </c>
      <c r="AB1214" t="n">
        <v>110.725995316</v>
      </c>
      <c r="AC1214" t="n">
        <v>105.691192401</v>
      </c>
      <c r="AD1214" t="n">
        <v>98.091825681</v>
      </c>
      <c r="AE1214" t="n">
        <v>108.3</v>
      </c>
      <c r="AF1214" t="n">
        <v>96.408034003</v>
      </c>
      <c r="AG1214" t="n">
        <v>114.5</v>
      </c>
      <c r="AH1214" t="n">
        <v/>
      </c>
      <c r="AI1214" t="n">
        <v>102.69144238</v>
      </c>
      <c r="AJ1214" t="n">
        <v>98.44840962000001</v>
      </c>
      <c r="AK1214" t="n">
        <v/>
      </c>
      <c r="AL1214" t="n">
        <v>104.101951789</v>
      </c>
      <c r="AM1214" t="n">
        <v>123</v>
      </c>
      <c r="AN1214" t="n">
        <v>107.049107924</v>
      </c>
      <c r="AO1214" t="n">
        <v>112.8</v>
      </c>
      <c r="AP1214" t="n">
        <v>115.2</v>
      </c>
      <c r="AQ1214" t="n">
        <v>123.210267522</v>
      </c>
      <c r="AR1214" t="n">
        <v>112.190650779</v>
      </c>
      <c r="AS1214" t="n">
        <v>117.590200817</v>
      </c>
      <c r="AT1214" t="n">
        <v>100.450493404</v>
      </c>
      <c r="AU1214" t="n">
        <v/>
      </c>
    </row>
    <row r="1215">
      <c r="A1215" s="107" t="n">
        <v>43862</v>
      </c>
      <c r="B1215" t="n">
        <v>116.8</v>
      </c>
      <c r="C1215" t="n">
        <v>114.290475794</v>
      </c>
      <c r="D1215" t="n">
        <v>96.33911368</v>
      </c>
      <c r="E1215" t="n">
        <v>108.829847855</v>
      </c>
      <c r="F1215" t="n">
        <v>116.9</v>
      </c>
      <c r="G1215" t="n">
        <v/>
      </c>
      <c r="H1215" t="n">
        <v>101.306875208</v>
      </c>
      <c r="I1215" t="n">
        <v>115.590367469</v>
      </c>
      <c r="J1215" t="n">
        <v>113.581069822</v>
      </c>
      <c r="K1215" t="n">
        <v>101.791517374</v>
      </c>
      <c r="L1215" t="n">
        <v>108.6</v>
      </c>
      <c r="M1215" t="n">
        <v>103.6</v>
      </c>
      <c r="N1215" t="n">
        <v>105.366087805</v>
      </c>
      <c r="O1215" t="n">
        <v>127.710642554</v>
      </c>
      <c r="P1215" t="n">
        <v/>
      </c>
      <c r="Q1215" t="n">
        <v>110</v>
      </c>
      <c r="R1215" t="n">
        <v>103.46</v>
      </c>
      <c r="S1215" t="n">
        <v>101.582649577</v>
      </c>
      <c r="T1215" t="n">
        <v>106.470693673</v>
      </c>
      <c r="U1215" t="n">
        <v/>
      </c>
      <c r="V1215" t="n">
        <v>106.78431699</v>
      </c>
      <c r="W1215" t="n">
        <v>115.809650804</v>
      </c>
      <c r="X1215" t="n">
        <v>116.476266524</v>
      </c>
      <c r="Y1215" t="n">
        <v/>
      </c>
      <c r="Z1215" t="n">
        <v>96.28395267499999</v>
      </c>
      <c r="AA1215" t="n">
        <v/>
      </c>
      <c r="AB1215" t="n">
        <v>111.756440281</v>
      </c>
      <c r="AC1215" t="n">
        <v>103.291392384</v>
      </c>
      <c r="AD1215" t="n">
        <v>98.391800683</v>
      </c>
      <c r="AE1215" t="n">
        <v>105.5</v>
      </c>
      <c r="AF1215" t="n">
        <v>97.208100675</v>
      </c>
      <c r="AG1215" t="n">
        <v>117.4</v>
      </c>
      <c r="AH1215" t="n">
        <v/>
      </c>
      <c r="AI1215" t="n">
        <v>102.69144238</v>
      </c>
      <c r="AJ1215" t="n">
        <v>100.77579519</v>
      </c>
      <c r="AK1215" t="n">
        <v/>
      </c>
      <c r="AL1215" t="n">
        <v>104.25628254</v>
      </c>
      <c r="AM1215" t="n">
        <v>124.7</v>
      </c>
      <c r="AN1215" t="n">
        <v>104.579128507</v>
      </c>
      <c r="AO1215" t="n">
        <v>113.9</v>
      </c>
      <c r="AP1215" t="n">
        <v>114.5</v>
      </c>
      <c r="AQ1215" t="n">
        <v>128.11067589</v>
      </c>
      <c r="AR1215" t="n">
        <v>111.590700775</v>
      </c>
      <c r="AS1215" t="n">
        <v>119.790017499</v>
      </c>
      <c r="AT1215" t="n">
        <v>100.847920507</v>
      </c>
      <c r="AU1215" t="n">
        <v/>
      </c>
    </row>
    <row r="1216">
      <c r="A1216" s="107" t="n">
        <v>43891</v>
      </c>
      <c r="B1216" t="n">
        <v>106.6</v>
      </c>
      <c r="C1216" t="n">
        <v>107.491042413</v>
      </c>
      <c r="D1216" t="n">
        <v>88.631984586</v>
      </c>
      <c r="E1216" t="n">
        <v>102.292469816</v>
      </c>
      <c r="F1216" t="n">
        <v>113.8</v>
      </c>
      <c r="G1216" t="n">
        <v/>
      </c>
      <c r="H1216" t="n">
        <v>100.124208363</v>
      </c>
      <c r="I1216" t="n">
        <v>107.091075744</v>
      </c>
      <c r="J1216" t="n">
        <v>99.88335277500001</v>
      </c>
      <c r="K1216" t="n">
        <v>90.692442296</v>
      </c>
      <c r="L1216" t="n">
        <v>108</v>
      </c>
      <c r="M1216" t="n">
        <v>92.2</v>
      </c>
      <c r="N1216" t="n">
        <v>91.36707613900001</v>
      </c>
      <c r="O1216" t="n">
        <v>117.609800817</v>
      </c>
      <c r="P1216" t="n">
        <v/>
      </c>
      <c r="Q1216" t="n">
        <v>113.9</v>
      </c>
      <c r="R1216" t="n">
        <v>85.62</v>
      </c>
      <c r="S1216" t="n">
        <v>94.26132943099999</v>
      </c>
      <c r="T1216" t="n">
        <v>100.23301667</v>
      </c>
      <c r="U1216" t="n">
        <v/>
      </c>
      <c r="V1216" t="n">
        <v>107.683343045</v>
      </c>
      <c r="W1216" t="n">
        <v>103.808650721</v>
      </c>
      <c r="X1216" t="n">
        <v>94.19591444700001</v>
      </c>
      <c r="Y1216" t="n">
        <v/>
      </c>
      <c r="Z1216" t="n">
        <v>129.778370272</v>
      </c>
      <c r="AA1216" t="n">
        <v/>
      </c>
      <c r="AB1216" t="n">
        <v>100.983606557</v>
      </c>
      <c r="AC1216" t="n">
        <v>74.193817182</v>
      </c>
      <c r="AD1216" t="n">
        <v>96.291975669</v>
      </c>
      <c r="AE1216" t="n">
        <v>109.7</v>
      </c>
      <c r="AF1216" t="n">
        <v>79.906658888</v>
      </c>
      <c r="AG1216" t="n">
        <v>114.9</v>
      </c>
      <c r="AH1216" t="n">
        <v/>
      </c>
      <c r="AI1216" t="n">
        <v>100.591617365</v>
      </c>
      <c r="AJ1216" t="n">
        <v>102.404965089</v>
      </c>
      <c r="AK1216" t="n">
        <v/>
      </c>
      <c r="AL1216" t="n">
        <v>98.137646198</v>
      </c>
      <c r="AM1216" t="n">
        <v>115.2</v>
      </c>
      <c r="AN1216" t="n">
        <v>95.979200173</v>
      </c>
      <c r="AO1216" t="n">
        <v>113</v>
      </c>
      <c r="AP1216" t="n">
        <v>92.8</v>
      </c>
      <c r="AQ1216" t="n">
        <v>114.109509126</v>
      </c>
      <c r="AR1216" t="n">
        <v>109.89084243</v>
      </c>
      <c r="AS1216" t="n">
        <v>112.990584118</v>
      </c>
      <c r="AT1216" t="n">
        <v>97.05094480699999</v>
      </c>
      <c r="AU1216" t="n">
        <v/>
      </c>
    </row>
    <row r="1217">
      <c r="A1217" s="107" t="n">
        <v>43922</v>
      </c>
      <c r="B1217" t="n">
        <v>90</v>
      </c>
      <c r="C1217" t="n">
        <v>94.99208399299999</v>
      </c>
      <c r="D1217" t="n">
        <v>71.235893201</v>
      </c>
      <c r="E1217" t="n">
        <v>89.075119921</v>
      </c>
      <c r="F1217" t="n">
        <v>106.8</v>
      </c>
      <c r="G1217" t="n">
        <v/>
      </c>
      <c r="H1217" t="n">
        <v>97.820351012</v>
      </c>
      <c r="I1217" t="n">
        <v>91.19240063300001</v>
      </c>
      <c r="J1217" t="n">
        <v>75.487418764</v>
      </c>
      <c r="K1217" t="n">
        <v>70.794100492</v>
      </c>
      <c r="L1217" t="n">
        <v>103.2</v>
      </c>
      <c r="M1217" t="n">
        <v>75.2</v>
      </c>
      <c r="N1217" t="n">
        <v>70.158058465</v>
      </c>
      <c r="O1217" t="n">
        <v>106.808900742</v>
      </c>
      <c r="P1217" t="n">
        <v/>
      </c>
      <c r="Q1217" t="n">
        <v>109.6</v>
      </c>
      <c r="R1217" t="n">
        <v>68.16</v>
      </c>
      <c r="S1217" t="n">
        <v>80.105685951</v>
      </c>
      <c r="T1217" t="n">
        <v>79.476608711</v>
      </c>
      <c r="U1217" t="n">
        <v/>
      </c>
      <c r="V1217" t="n">
        <v>98.093731791</v>
      </c>
      <c r="W1217" t="n">
        <v>73.306108842</v>
      </c>
      <c r="X1217" t="n">
        <v>49.610620345</v>
      </c>
      <c r="Y1217" t="n">
        <v/>
      </c>
      <c r="Z1217" t="n">
        <v>116.180636561</v>
      </c>
      <c r="AA1217" t="n">
        <v/>
      </c>
      <c r="AB1217" t="n">
        <v>102.107728337</v>
      </c>
      <c r="AC1217" t="n">
        <v>58.295142071</v>
      </c>
      <c r="AD1217" t="n">
        <v>87.09274227100001</v>
      </c>
      <c r="AE1217" t="n">
        <v>103.9</v>
      </c>
      <c r="AF1217" t="n">
        <v>67.80565047100001</v>
      </c>
      <c r="AG1217" t="n">
        <v>103.5</v>
      </c>
      <c r="AH1217" t="n">
        <v/>
      </c>
      <c r="AI1217" t="n">
        <v>94.292142321</v>
      </c>
      <c r="AJ1217" t="n">
        <v>101.823118697</v>
      </c>
      <c r="AK1217" t="n">
        <v/>
      </c>
      <c r="AL1217" t="n">
        <v>83.34547405000001</v>
      </c>
      <c r="AM1217" t="n">
        <v>91.59999999999999</v>
      </c>
      <c r="AN1217" t="n">
        <v>74.449379589</v>
      </c>
      <c r="AO1217" t="n">
        <v>108.4</v>
      </c>
      <c r="AP1217" t="n">
        <v>68</v>
      </c>
      <c r="AQ1217" t="n">
        <v>95.307942329</v>
      </c>
      <c r="AR1217" t="n">
        <v>92.992250646</v>
      </c>
      <c r="AS1217" t="n">
        <v>79.593367219</v>
      </c>
      <c r="AT1217" t="n">
        <v>84.244034916</v>
      </c>
      <c r="AU1217" t="n">
        <v/>
      </c>
    </row>
    <row r="1218">
      <c r="A1218" s="107" t="n">
        <v>43952</v>
      </c>
      <c r="B1218" t="n">
        <v>99.09999999999999</v>
      </c>
      <c r="C1218" t="n">
        <v>107.391050746</v>
      </c>
      <c r="D1218" t="n">
        <v>76.9611891</v>
      </c>
      <c r="E1218" t="n">
        <v>93.02547694</v>
      </c>
      <c r="F1218" t="n">
        <v>103.3</v>
      </c>
      <c r="G1218" t="n">
        <v/>
      </c>
      <c r="H1218" t="n">
        <v>97.63747965</v>
      </c>
      <c r="I1218" t="n">
        <v>98.99175068700001</v>
      </c>
      <c r="J1218" t="n">
        <v>89.385102483</v>
      </c>
      <c r="K1218" t="n">
        <v>79.19340055000001</v>
      </c>
      <c r="L1218" t="n">
        <v>100.7</v>
      </c>
      <c r="M1218" t="n">
        <v>85.2</v>
      </c>
      <c r="N1218" t="n">
        <v>81.151067626</v>
      </c>
      <c r="O1218" t="n">
        <v>106.208850738</v>
      </c>
      <c r="P1218" t="n">
        <v/>
      </c>
      <c r="Q1218" t="n">
        <v>106.9</v>
      </c>
      <c r="R1218" t="n">
        <v>81.09</v>
      </c>
      <c r="S1218" t="n">
        <v>83.267018103</v>
      </c>
      <c r="T1218" t="n">
        <v>84.423731852</v>
      </c>
      <c r="U1218" t="n">
        <v/>
      </c>
      <c r="V1218" t="n">
        <v>99.692000333</v>
      </c>
      <c r="W1218" t="n">
        <v>86.107175598</v>
      </c>
      <c r="X1218" t="n">
        <v>79.076804216</v>
      </c>
      <c r="Y1218" t="n">
        <v/>
      </c>
      <c r="Z1218" t="n">
        <v>102.782869522</v>
      </c>
      <c r="AA1218" t="n">
        <v/>
      </c>
      <c r="AB1218" t="n">
        <v>106.604215457</v>
      </c>
      <c r="AC1218" t="n">
        <v>84.592950587</v>
      </c>
      <c r="AD1218" t="n">
        <v>78.293475544</v>
      </c>
      <c r="AE1218" t="n">
        <v>96.3</v>
      </c>
      <c r="AF1218" t="n">
        <v>78.70655888</v>
      </c>
      <c r="AG1218" t="n">
        <v>109.5</v>
      </c>
      <c r="AH1218" t="n">
        <v/>
      </c>
      <c r="AI1218" t="n">
        <v>94.192150654</v>
      </c>
      <c r="AJ1218" t="n">
        <v>100.426687355</v>
      </c>
      <c r="AK1218" t="n">
        <v/>
      </c>
      <c r="AL1218" t="n">
        <v>86.75474116700001</v>
      </c>
      <c r="AM1218" t="n">
        <v>103.7</v>
      </c>
      <c r="AN1218" t="n">
        <v>76.839359672</v>
      </c>
      <c r="AO1218" t="n">
        <v>105.5</v>
      </c>
      <c r="AP1218" t="n">
        <v>81.7</v>
      </c>
      <c r="AQ1218" t="n">
        <v>105.008750729</v>
      </c>
      <c r="AR1218" t="n">
        <v>92.69227564400001</v>
      </c>
      <c r="AS1218" t="n">
        <v>94.592117324</v>
      </c>
      <c r="AT1218" t="n">
        <v>85.60795951599999</v>
      </c>
      <c r="AU1218" t="n">
        <v/>
      </c>
    </row>
    <row r="1219">
      <c r="A1219" s="107" t="n">
        <v>43983</v>
      </c>
      <c r="B1219" t="n">
        <v>104.9</v>
      </c>
      <c r="C1219" t="n">
        <v>103.491375719</v>
      </c>
      <c r="D1219" t="n">
        <v>84.448114506</v>
      </c>
      <c r="E1219" t="n">
        <v>96.87979047</v>
      </c>
      <c r="F1219" t="n">
        <v>108.6</v>
      </c>
      <c r="G1219" t="n">
        <v/>
      </c>
      <c r="H1219" t="n">
        <v>96.50495500300001</v>
      </c>
      <c r="I1219" t="n">
        <v>105.091242396</v>
      </c>
      <c r="J1219" t="n">
        <v>102.082986169</v>
      </c>
      <c r="K1219" t="n">
        <v>88.39263394699999</v>
      </c>
      <c r="L1219" t="n">
        <v>106.2</v>
      </c>
      <c r="M1219" t="n">
        <v>93.59999999999999</v>
      </c>
      <c r="N1219" t="n">
        <v>90.44007536700001</v>
      </c>
      <c r="O1219" t="n">
        <v>115.309609134</v>
      </c>
      <c r="P1219" t="n">
        <v/>
      </c>
      <c r="Q1219" t="n">
        <v>107.6</v>
      </c>
      <c r="R1219" t="n">
        <v>91.59999999999999</v>
      </c>
      <c r="S1219" t="n">
        <v>89.467741598</v>
      </c>
      <c r="T1219" t="n">
        <v>93.780247356</v>
      </c>
      <c r="U1219" t="n">
        <v/>
      </c>
      <c r="V1219" t="n">
        <v>103.288104553</v>
      </c>
      <c r="W1219" t="n">
        <v>101.408450704</v>
      </c>
      <c r="X1219" t="n">
        <v>97.291537975</v>
      </c>
      <c r="Y1219" t="n">
        <v/>
      </c>
      <c r="Z1219" t="n">
        <v>121.879686719</v>
      </c>
      <c r="AA1219" t="n">
        <v/>
      </c>
      <c r="AB1219" t="n">
        <v>112.131147541</v>
      </c>
      <c r="AC1219" t="n">
        <v>91.19240063300001</v>
      </c>
      <c r="AD1219" t="n">
        <v>82.093158903</v>
      </c>
      <c r="AE1219" t="n">
        <v>103.6</v>
      </c>
      <c r="AF1219" t="n">
        <v>85.40711726000001</v>
      </c>
      <c r="AG1219" t="n">
        <v>114.3</v>
      </c>
      <c r="AH1219" t="n">
        <v/>
      </c>
      <c r="AI1219" t="n">
        <v>95.292058995</v>
      </c>
      <c r="AJ1219" t="n">
        <v>99.379363848</v>
      </c>
      <c r="AK1219" t="n">
        <v/>
      </c>
      <c r="AL1219" t="n">
        <v>93.75352852</v>
      </c>
      <c r="AM1219" t="n">
        <v>115.2</v>
      </c>
      <c r="AN1219" t="n">
        <v>85.83928467299999</v>
      </c>
      <c r="AO1219" t="n">
        <v>106.4</v>
      </c>
      <c r="AP1219" t="n">
        <v>98.90000000000001</v>
      </c>
      <c r="AQ1219" t="n">
        <v>109.409117426</v>
      </c>
      <c r="AR1219" t="n">
        <v>99.591700692</v>
      </c>
      <c r="AS1219" t="n">
        <v>110.190817432</v>
      </c>
      <c r="AT1219" t="n">
        <v>90.98016649</v>
      </c>
      <c r="AU1219" t="n">
        <v/>
      </c>
    </row>
    <row r="1220">
      <c r="A1220" s="107" t="n">
        <v>44013</v>
      </c>
      <c r="B1220" t="n">
        <v>110</v>
      </c>
      <c r="C1220" t="n">
        <v>109.290892426</v>
      </c>
      <c r="D1220" t="n">
        <v>92.26534544499999</v>
      </c>
      <c r="E1220" t="n">
        <v>99.863559388</v>
      </c>
      <c r="F1220" t="n">
        <v>111.5</v>
      </c>
      <c r="G1220" t="n">
        <v/>
      </c>
      <c r="H1220" t="n">
        <v>97.218353644</v>
      </c>
      <c r="I1220" t="n">
        <v>110.690775769</v>
      </c>
      <c r="J1220" t="n">
        <v>107.282119647</v>
      </c>
      <c r="K1220" t="n">
        <v>89.99250062500001</v>
      </c>
      <c r="L1220" t="n">
        <v>100.9</v>
      </c>
      <c r="M1220" t="n">
        <v>96.90000000000001</v>
      </c>
      <c r="N1220" t="n">
        <v>97.28108106800001</v>
      </c>
      <c r="O1220" t="n">
        <v>116.309692474</v>
      </c>
      <c r="P1220" t="n">
        <v/>
      </c>
      <c r="Q1220" t="n">
        <v>108.6</v>
      </c>
      <c r="R1220" t="n">
        <v>94.63</v>
      </c>
      <c r="S1220" t="n">
        <v>93.24833066799999</v>
      </c>
      <c r="T1220" t="n">
        <v>99.157555117</v>
      </c>
      <c r="U1220" t="n">
        <v/>
      </c>
      <c r="V1220" t="n">
        <v>106.584533422</v>
      </c>
      <c r="W1220" t="n">
        <v>108.609050754</v>
      </c>
      <c r="X1220" t="n">
        <v>105.683224633</v>
      </c>
      <c r="Y1220" t="n">
        <v/>
      </c>
      <c r="Z1220" t="n">
        <v>120.379936677</v>
      </c>
      <c r="AA1220" t="n">
        <v/>
      </c>
      <c r="AB1220" t="n">
        <v>107.915690867</v>
      </c>
      <c r="AC1220" t="n">
        <v>97.69185901199999</v>
      </c>
      <c r="AD1220" t="n">
        <v>87.39271727400001</v>
      </c>
      <c r="AE1220" t="n">
        <v>105.5</v>
      </c>
      <c r="AF1220" t="n">
        <v>90.50754229499999</v>
      </c>
      <c r="AG1220" t="n">
        <v>114.4</v>
      </c>
      <c r="AH1220" t="n">
        <v/>
      </c>
      <c r="AI1220" t="n">
        <v>97.79185067900001</v>
      </c>
      <c r="AJ1220" t="n">
        <v>101.823118697</v>
      </c>
      <c r="AK1220" t="n">
        <v/>
      </c>
      <c r="AL1220" t="n">
        <v>97.759427469</v>
      </c>
      <c r="AM1220" t="n">
        <v>123.1</v>
      </c>
      <c r="AN1220" t="n">
        <v>97.919184007</v>
      </c>
      <c r="AO1220" t="n">
        <v>108.2</v>
      </c>
      <c r="AP1220" t="n">
        <v>103.6</v>
      </c>
      <c r="AQ1220" t="n">
        <v>118.909909159</v>
      </c>
      <c r="AR1220" t="n">
        <v>102.891425715</v>
      </c>
      <c r="AS1220" t="n">
        <v>120.789934172</v>
      </c>
      <c r="AT1220" t="n">
        <v>94.442383234</v>
      </c>
      <c r="AU1220" t="n">
        <v/>
      </c>
    </row>
    <row r="1221">
      <c r="A1221" s="107" t="n">
        <v>44044</v>
      </c>
      <c r="B1221" t="n">
        <v>110.7</v>
      </c>
      <c r="C1221" t="n">
        <v>109.290892426</v>
      </c>
      <c r="D1221" t="n">
        <v>94.907789705</v>
      </c>
      <c r="E1221" t="n">
        <v>99.586665204</v>
      </c>
      <c r="F1221" t="n">
        <v>112.8</v>
      </c>
      <c r="G1221" t="n">
        <v/>
      </c>
      <c r="H1221" t="n">
        <v>97.534654993</v>
      </c>
      <c r="I1221" t="n">
        <v>110.490792434</v>
      </c>
      <c r="J1221" t="n">
        <v>110.581569738</v>
      </c>
      <c r="K1221" t="n">
        <v>90.292475627</v>
      </c>
      <c r="L1221" t="n">
        <v>104.8</v>
      </c>
      <c r="M1221" t="n">
        <v>98.2</v>
      </c>
      <c r="N1221" t="n">
        <v>100.218083515</v>
      </c>
      <c r="O1221" t="n">
        <v>116.70972581</v>
      </c>
      <c r="P1221" t="n">
        <v/>
      </c>
      <c r="Q1221" t="n">
        <v>110.1</v>
      </c>
      <c r="R1221" t="n">
        <v>95.51000000000001</v>
      </c>
      <c r="S1221" t="n">
        <v>94.74834433700001</v>
      </c>
      <c r="T1221" t="n">
        <v>100.878293601</v>
      </c>
      <c r="U1221" t="n">
        <v/>
      </c>
      <c r="V1221" t="n">
        <v>105.385832015</v>
      </c>
      <c r="W1221" t="n">
        <v>115.509625802</v>
      </c>
      <c r="X1221" t="n">
        <v>106.158262462</v>
      </c>
      <c r="Y1221" t="n">
        <v/>
      </c>
      <c r="Z1221" t="n">
        <v>106.982169638</v>
      </c>
      <c r="AA1221" t="n">
        <v/>
      </c>
      <c r="AB1221" t="n">
        <v>111.943793911</v>
      </c>
      <c r="AC1221" t="n">
        <v>104.991250729</v>
      </c>
      <c r="AD1221" t="n">
        <v>89.89250895799999</v>
      </c>
      <c r="AE1221" t="n">
        <v>106.3</v>
      </c>
      <c r="AF1221" t="n">
        <v>90.907575631</v>
      </c>
      <c r="AG1221" t="n">
        <v>116</v>
      </c>
      <c r="AH1221" t="n">
        <v/>
      </c>
      <c r="AI1221" t="n">
        <v>97.79185067900001</v>
      </c>
      <c r="AJ1221" t="n">
        <v>103.335919317</v>
      </c>
      <c r="AK1221" t="n">
        <v/>
      </c>
      <c r="AL1221" t="n">
        <v>99.199701312</v>
      </c>
      <c r="AM1221" t="n">
        <v>123.4</v>
      </c>
      <c r="AN1221" t="n">
        <v>106.979108507</v>
      </c>
      <c r="AO1221" t="n">
        <v>111</v>
      </c>
      <c r="AP1221" t="n">
        <v>109.5</v>
      </c>
      <c r="AQ1221" t="n">
        <v>120.610050838</v>
      </c>
      <c r="AR1221" t="n">
        <v>111.190734105</v>
      </c>
      <c r="AS1221" t="n">
        <v>123.389717524</v>
      </c>
      <c r="AT1221" t="n">
        <v>95.308433212</v>
      </c>
      <c r="AU1221" t="n">
        <v/>
      </c>
    </row>
    <row r="1222">
      <c r="A1222" s="107" t="n">
        <v>44075</v>
      </c>
      <c r="B1222" t="n">
        <v>113.6</v>
      </c>
      <c r="C1222" t="n">
        <v>110.590784101</v>
      </c>
      <c r="D1222" t="n">
        <v>97.44013212199999</v>
      </c>
      <c r="E1222" t="n">
        <v>101.163758163</v>
      </c>
      <c r="F1222" t="n">
        <v>116</v>
      </c>
      <c r="G1222" t="n">
        <v/>
      </c>
      <c r="H1222" t="n">
        <v>99.643640913</v>
      </c>
      <c r="I1222" t="n">
        <v>112.990584118</v>
      </c>
      <c r="J1222" t="n">
        <v>111.581403099</v>
      </c>
      <c r="K1222" t="n">
        <v>92.49229230900001</v>
      </c>
      <c r="L1222" t="n">
        <v>107</v>
      </c>
      <c r="M1222" t="n">
        <v>98.5</v>
      </c>
      <c r="N1222" t="n">
        <v>101.900084917</v>
      </c>
      <c r="O1222" t="n">
        <v>119.009917493</v>
      </c>
      <c r="P1222" t="n">
        <v/>
      </c>
      <c r="Q1222" t="n">
        <v>107.9</v>
      </c>
      <c r="R1222" t="n">
        <v>97.15000000000001</v>
      </c>
      <c r="S1222" t="n">
        <v>95.34721358100001</v>
      </c>
      <c r="T1222" t="n">
        <v>101.738662843</v>
      </c>
      <c r="U1222" t="n">
        <v/>
      </c>
      <c r="V1222" t="n">
        <v>106.78431699</v>
      </c>
      <c r="W1222" t="n">
        <v>117.809817485</v>
      </c>
      <c r="X1222" t="n">
        <v>112.184622476</v>
      </c>
      <c r="Y1222" t="n">
        <v/>
      </c>
      <c r="Z1222" t="n">
        <v>105.482419597</v>
      </c>
      <c r="AA1222" t="n">
        <v/>
      </c>
      <c r="AB1222" t="n">
        <v>113.723653396</v>
      </c>
      <c r="AC1222" t="n">
        <v>100.091659028</v>
      </c>
      <c r="AD1222" t="n">
        <v>91.992333972</v>
      </c>
      <c r="AE1222" t="n">
        <v>109.6</v>
      </c>
      <c r="AF1222" t="n">
        <v>93.907825652</v>
      </c>
      <c r="AG1222" t="n">
        <v>116.5</v>
      </c>
      <c r="AH1222" t="n">
        <v/>
      </c>
      <c r="AI1222" t="n">
        <v>98.491792351</v>
      </c>
      <c r="AJ1222" t="n">
        <v>101.474010861</v>
      </c>
      <c r="AK1222" t="n">
        <v/>
      </c>
      <c r="AL1222" t="n">
        <v>100.145772925</v>
      </c>
      <c r="AM1222" t="n">
        <v>126.4</v>
      </c>
      <c r="AN1222" t="n">
        <v>103.919134007</v>
      </c>
      <c r="AO1222" t="n">
        <v>110</v>
      </c>
      <c r="AP1222" t="n">
        <v>112.7</v>
      </c>
      <c r="AQ1222" t="n">
        <v>120.91007584</v>
      </c>
      <c r="AR1222" t="n">
        <v>110.490792434</v>
      </c>
      <c r="AS1222" t="n">
        <v>125.089575869</v>
      </c>
      <c r="AT1222" t="n">
        <v>95.26262200399999</v>
      </c>
      <c r="AU1222" t="n">
        <v/>
      </c>
    </row>
    <row r="1223">
      <c r="A1223" s="107" t="n">
        <v>44105</v>
      </c>
      <c r="B1223" t="n">
        <v>114.7</v>
      </c>
      <c r="C1223" t="n">
        <v>117.390217482</v>
      </c>
      <c r="D1223" t="n">
        <v>98.76135425299999</v>
      </c>
      <c r="E1223" t="n">
        <v>101.104633898</v>
      </c>
      <c r="F1223" t="n">
        <v>113.3</v>
      </c>
      <c r="G1223" t="n">
        <v/>
      </c>
      <c r="H1223" t="n">
        <v>100.912460994</v>
      </c>
      <c r="I1223" t="n">
        <v>114.590450796</v>
      </c>
      <c r="J1223" t="n">
        <v>114.280953174</v>
      </c>
      <c r="K1223" t="n">
        <v>95.392050662</v>
      </c>
      <c r="L1223" t="n">
        <v>100.3</v>
      </c>
      <c r="M1223" t="n">
        <v>100.7</v>
      </c>
      <c r="N1223" t="n">
        <v>103.261086051</v>
      </c>
      <c r="O1223" t="n">
        <v>121.510125844</v>
      </c>
      <c r="P1223" t="n">
        <v/>
      </c>
      <c r="Q1223" t="n">
        <v>109.7</v>
      </c>
      <c r="R1223" t="n">
        <v>99.2</v>
      </c>
      <c r="S1223" t="n">
        <v>96.739364353</v>
      </c>
      <c r="T1223" t="n">
        <v>102.70657824</v>
      </c>
      <c r="U1223" t="n">
        <v/>
      </c>
      <c r="V1223" t="n">
        <v>103.387996337</v>
      </c>
      <c r="W1223" t="n">
        <v>119.609967497</v>
      </c>
      <c r="X1223" t="n">
        <v>116.368108823</v>
      </c>
      <c r="Y1223" t="n">
        <v/>
      </c>
      <c r="Z1223" t="n">
        <v>102.782869522</v>
      </c>
      <c r="AA1223" t="n">
        <v/>
      </c>
      <c r="AB1223" t="n">
        <v>112.131147541</v>
      </c>
      <c r="AC1223" t="n">
        <v>102.191484043</v>
      </c>
      <c r="AD1223" t="n">
        <v>93.69219231700001</v>
      </c>
      <c r="AE1223" t="n">
        <v>109</v>
      </c>
      <c r="AF1223" t="n">
        <v>94.207850654</v>
      </c>
      <c r="AG1223" t="n">
        <v>118.2</v>
      </c>
      <c r="AH1223" t="n">
        <v/>
      </c>
      <c r="AI1223" t="n">
        <v>100.691609033</v>
      </c>
      <c r="AJ1223" t="n">
        <v>97.517455392</v>
      </c>
      <c r="AK1223" t="n">
        <v/>
      </c>
      <c r="AL1223" t="n">
        <v>101.232158652</v>
      </c>
      <c r="AM1223" t="n">
        <v>127.2</v>
      </c>
      <c r="AN1223" t="n">
        <v>105.619119841</v>
      </c>
      <c r="AO1223" t="n">
        <v>109.9</v>
      </c>
      <c r="AP1223" t="n">
        <v>110.1</v>
      </c>
      <c r="AQ1223" t="n">
        <v>124.810400867</v>
      </c>
      <c r="AR1223" t="n">
        <v>110.290809099</v>
      </c>
      <c r="AS1223" t="n">
        <v>125.889509208</v>
      </c>
      <c r="AT1223" t="n">
        <v>96.01017762399999</v>
      </c>
      <c r="AU1223" t="n">
        <v/>
      </c>
    </row>
    <row r="1224">
      <c r="A1224" s="107" t="n">
        <v>44136</v>
      </c>
      <c r="B1224" t="n">
        <v>114.7</v>
      </c>
      <c r="C1224" t="n">
        <v>115.890342471</v>
      </c>
      <c r="D1224" t="n">
        <v>99.31186347400001</v>
      </c>
      <c r="E1224" t="n">
        <v>103.489669305</v>
      </c>
      <c r="F1224" t="n">
        <v>116.1</v>
      </c>
      <c r="G1224" t="n">
        <v/>
      </c>
      <c r="H1224" t="n">
        <v>99.46675795500001</v>
      </c>
      <c r="I1224" t="n">
        <v>114.190484126</v>
      </c>
      <c r="J1224" t="n">
        <v>112.781203133</v>
      </c>
      <c r="K1224" t="n">
        <v>96.59195067100001</v>
      </c>
      <c r="L1224" t="n">
        <v>107.6</v>
      </c>
      <c r="M1224" t="n">
        <v>104.6</v>
      </c>
      <c r="N1224" t="n">
        <v>102.127085106</v>
      </c>
      <c r="O1224" t="n">
        <v>120.510042504</v>
      </c>
      <c r="P1224" t="n">
        <v/>
      </c>
      <c r="Q1224" t="n">
        <v>110.3</v>
      </c>
      <c r="R1224" t="n">
        <v>98.28</v>
      </c>
      <c r="S1224" t="n">
        <v>97.079385563</v>
      </c>
      <c r="T1224" t="n">
        <v>103.782039792</v>
      </c>
      <c r="U1224" t="n">
        <v/>
      </c>
      <c r="V1224" t="n">
        <v>110.280529426</v>
      </c>
      <c r="W1224" t="n">
        <v>117.809817485</v>
      </c>
      <c r="X1224" t="n">
        <v>116.110796552</v>
      </c>
      <c r="Y1224" t="n">
        <v/>
      </c>
      <c r="Z1224" t="n">
        <v>173.27112148</v>
      </c>
      <c r="AA1224" t="n">
        <v/>
      </c>
      <c r="AB1224" t="n">
        <v>112.693208431</v>
      </c>
      <c r="AC1224" t="n">
        <v>100.091659028</v>
      </c>
      <c r="AD1224" t="n">
        <v>93.992167319</v>
      </c>
      <c r="AE1224" t="n">
        <v>109.4</v>
      </c>
      <c r="AF1224" t="n">
        <v>94.407867322</v>
      </c>
      <c r="AG1224" t="n">
        <v>120.4</v>
      </c>
      <c r="AH1224" t="n">
        <v/>
      </c>
      <c r="AI1224" t="n">
        <v>99.991667361</v>
      </c>
      <c r="AJ1224" t="n">
        <v>99.030256012</v>
      </c>
      <c r="AK1224" t="n">
        <v/>
      </c>
      <c r="AL1224" t="n">
        <v>102.575365786</v>
      </c>
      <c r="AM1224" t="n">
        <v>127.1</v>
      </c>
      <c r="AN1224" t="n">
        <v>100.03916634</v>
      </c>
      <c r="AO1224" t="n">
        <v>111.7</v>
      </c>
      <c r="AP1224" t="n">
        <v>114.7</v>
      </c>
      <c r="AQ1224" t="n">
        <v>123.310275856</v>
      </c>
      <c r="AR1224" t="n">
        <v>110.690775769</v>
      </c>
      <c r="AS1224" t="n">
        <v>127.089409216</v>
      </c>
      <c r="AT1224" t="n">
        <v>96.301009384</v>
      </c>
      <c r="AU1224" t="n">
        <v/>
      </c>
    </row>
    <row r="1225">
      <c r="A1225" s="107" t="n">
        <v>44166</v>
      </c>
      <c r="B1225" t="n">
        <v>113.4</v>
      </c>
      <c r="C1225" t="n">
        <v>113.790517457</v>
      </c>
      <c r="D1225" t="n">
        <v>99.642169006</v>
      </c>
      <c r="E1225" t="n">
        <v>104.666803999</v>
      </c>
      <c r="F1225" t="n">
        <v>115.1</v>
      </c>
      <c r="G1225" t="n">
        <v/>
      </c>
      <c r="H1225" t="n">
        <v>99.50632375799999</v>
      </c>
      <c r="I1225" t="n">
        <v>110.290809099</v>
      </c>
      <c r="J1225" t="n">
        <v>113.581069822</v>
      </c>
      <c r="K1225" t="n">
        <v>96.99191734</v>
      </c>
      <c r="L1225" t="n">
        <v>108.3</v>
      </c>
      <c r="M1225" t="n">
        <v>103.7</v>
      </c>
      <c r="N1225" t="n">
        <v>103.39208616</v>
      </c>
      <c r="O1225" t="n">
        <v>120.710059172</v>
      </c>
      <c r="P1225" t="n">
        <v/>
      </c>
      <c r="Q1225" t="n">
        <v>108.2</v>
      </c>
      <c r="R1225" t="n">
        <v>97.87</v>
      </c>
      <c r="S1225" t="n">
        <v>97.646189572</v>
      </c>
      <c r="T1225" t="n">
        <v>103.351855171</v>
      </c>
      <c r="U1225" t="n">
        <v/>
      </c>
      <c r="V1225" t="n">
        <v>110.280529426</v>
      </c>
      <c r="W1225" t="n">
        <v>116.109675806</v>
      </c>
      <c r="X1225" t="n">
        <v>117.465286742</v>
      </c>
      <c r="Y1225" t="n">
        <v/>
      </c>
      <c r="Z1225" t="n">
        <v>154.774204299</v>
      </c>
      <c r="AA1225" t="n">
        <v/>
      </c>
      <c r="AB1225" t="n">
        <v>112.131147541</v>
      </c>
      <c r="AC1225" t="n">
        <v>100.691609033</v>
      </c>
      <c r="AD1225" t="n">
        <v>94.092158987</v>
      </c>
      <c r="AE1225" t="n">
        <v>111.3</v>
      </c>
      <c r="AF1225" t="n">
        <v>90.407533961</v>
      </c>
      <c r="AG1225" t="n">
        <v>119.3</v>
      </c>
      <c r="AH1225" t="n">
        <v/>
      </c>
      <c r="AI1225" t="n">
        <v>100.191650696</v>
      </c>
      <c r="AJ1225" t="n">
        <v>102.404965089</v>
      </c>
      <c r="AK1225" t="n">
        <v/>
      </c>
      <c r="AL1225" t="n">
        <v>102.961676496</v>
      </c>
      <c r="AM1225" t="n">
        <v>128.1</v>
      </c>
      <c r="AN1225" t="n">
        <v>101.639153007</v>
      </c>
      <c r="AO1225" t="n">
        <v>115.3</v>
      </c>
      <c r="AP1225" t="n">
        <v>113.1</v>
      </c>
      <c r="AQ1225" t="n">
        <v>121.310109176</v>
      </c>
      <c r="AR1225" t="n">
        <v>111.890675777</v>
      </c>
      <c r="AS1225" t="n">
        <v>128.489292559</v>
      </c>
      <c r="AT1225" t="n">
        <v>97.312128187</v>
      </c>
      <c r="AU1225" t="n">
        <v/>
      </c>
    </row>
    <row r="1226">
      <c r="A1226" s="107" t="n">
        <v>44197</v>
      </c>
      <c r="B1226" t="n">
        <v>113.2</v>
      </c>
      <c r="C1226" t="n">
        <v>120.389967503</v>
      </c>
      <c r="D1226" t="n">
        <v>100.52298376</v>
      </c>
      <c r="E1226" t="n">
        <v>105.080138795</v>
      </c>
      <c r="F1226" t="n">
        <v>118.3</v>
      </c>
      <c r="G1226" t="n">
        <v/>
      </c>
      <c r="H1226" t="n">
        <v>101.318375834</v>
      </c>
      <c r="I1226" t="n">
        <v>113.29055912</v>
      </c>
      <c r="J1226" t="n">
        <v>112.08131978</v>
      </c>
      <c r="K1226" t="n">
        <v>97.091909008</v>
      </c>
      <c r="L1226" t="n">
        <v>109.2</v>
      </c>
      <c r="M1226" t="n">
        <v>105.4</v>
      </c>
      <c r="N1226" t="n">
        <v>103.143085953</v>
      </c>
      <c r="O1226" t="n">
        <v>120.710059172</v>
      </c>
      <c r="P1226" t="n">
        <v/>
      </c>
      <c r="Q1226" t="n">
        <v>110.6</v>
      </c>
      <c r="R1226" t="n">
        <v>100.77</v>
      </c>
      <c r="S1226" t="n">
        <v>98.881515858</v>
      </c>
      <c r="T1226" t="n">
        <v>101.953755153</v>
      </c>
      <c r="U1226" t="n">
        <v/>
      </c>
      <c r="V1226" t="n">
        <v>115.375010405</v>
      </c>
      <c r="W1226" t="n">
        <v>114.809567464</v>
      </c>
      <c r="X1226" t="n">
        <v>116.757568583</v>
      </c>
      <c r="Y1226" t="n">
        <v/>
      </c>
      <c r="Z1226" t="n">
        <v>158.273621063</v>
      </c>
      <c r="AA1226" t="n">
        <v/>
      </c>
      <c r="AB1226" t="n">
        <v>110.070257611</v>
      </c>
      <c r="AC1226" t="n">
        <v>104.19131739</v>
      </c>
      <c r="AD1226" t="n">
        <v>96.19198400099999</v>
      </c>
      <c r="AE1226" t="n">
        <v>111.8</v>
      </c>
      <c r="AF1226" t="n">
        <v>96.408034003</v>
      </c>
      <c r="AG1226" t="n">
        <v>118.9</v>
      </c>
      <c r="AH1226" t="n">
        <v/>
      </c>
      <c r="AI1226" t="n">
        <v>102.191484043</v>
      </c>
      <c r="AJ1226" t="n">
        <v>103.685027153</v>
      </c>
      <c r="AK1226" t="n">
        <v/>
      </c>
      <c r="AL1226" t="n">
        <v>104.178166687</v>
      </c>
      <c r="AM1226" t="n">
        <v>129.1</v>
      </c>
      <c r="AN1226" t="n">
        <v>100.569161924</v>
      </c>
      <c r="AO1226" t="n">
        <v>111.5</v>
      </c>
      <c r="AP1226" t="n">
        <v>114.2</v>
      </c>
      <c r="AQ1226" t="n">
        <v>124.310359197</v>
      </c>
      <c r="AR1226" t="n">
        <v>111.590700775</v>
      </c>
      <c r="AS1226" t="n">
        <v>130.989084243</v>
      </c>
      <c r="AT1226" t="n">
        <v>98.429148224</v>
      </c>
      <c r="AU1226" t="n">
        <v/>
      </c>
    </row>
    <row r="1227">
      <c r="A1227" s="107" t="n">
        <v>44228</v>
      </c>
      <c r="B1227" t="n">
        <v>117.4</v>
      </c>
      <c r="C1227" t="n">
        <v>118.390134155</v>
      </c>
      <c r="D1227" t="n">
        <v>98.54115056400001</v>
      </c>
      <c r="E1227" t="n">
        <v>103.415028265</v>
      </c>
      <c r="F1227" t="n">
        <v>118.1</v>
      </c>
      <c r="G1227" t="n">
        <v/>
      </c>
      <c r="H1227" t="n">
        <v>102.26449428</v>
      </c>
      <c r="I1227" t="n">
        <v>117.390217482</v>
      </c>
      <c r="J1227" t="n">
        <v>111.081486419</v>
      </c>
      <c r="K1227" t="n">
        <v>95.19206732799999</v>
      </c>
      <c r="L1227" t="n">
        <v>107.3</v>
      </c>
      <c r="M1227" t="n">
        <v>103.6</v>
      </c>
      <c r="N1227" t="n">
        <v>102.983085819</v>
      </c>
      <c r="O1227" t="n">
        <v>121.010084174</v>
      </c>
      <c r="P1227" t="n">
        <v/>
      </c>
      <c r="Q1227" t="n">
        <v>113</v>
      </c>
      <c r="R1227" t="n">
        <v>96.34</v>
      </c>
      <c r="S1227" t="n">
        <v>96.88567749400001</v>
      </c>
      <c r="T1227" t="n">
        <v>102.814124395</v>
      </c>
      <c r="U1227" t="n">
        <v/>
      </c>
      <c r="V1227" t="n">
        <v>111.479230833</v>
      </c>
      <c r="W1227" t="n">
        <v>119.609967497</v>
      </c>
      <c r="X1227" t="n">
        <v>116.608977787</v>
      </c>
      <c r="Y1227" t="n">
        <v/>
      </c>
      <c r="Z1227" t="n">
        <v>157.773704383</v>
      </c>
      <c r="AA1227" t="n">
        <v/>
      </c>
      <c r="AB1227" t="n">
        <v>109.133489461</v>
      </c>
      <c r="AC1227" t="n">
        <v>102.791434047</v>
      </c>
      <c r="AD1227" t="n">
        <v>96.091992334</v>
      </c>
      <c r="AE1227" t="n">
        <v>115.4</v>
      </c>
      <c r="AF1227" t="n">
        <v>94.907908992</v>
      </c>
      <c r="AG1227" t="n">
        <v>122</v>
      </c>
      <c r="AH1227" t="n">
        <v/>
      </c>
      <c r="AI1227" t="n">
        <v>99.691692359</v>
      </c>
      <c r="AJ1227" t="n">
        <v>102.055857254</v>
      </c>
      <c r="AK1227" t="n">
        <v/>
      </c>
      <c r="AL1227" t="n">
        <v>103.210472073</v>
      </c>
      <c r="AM1227" t="n">
        <v>129.7</v>
      </c>
      <c r="AN1227" t="n">
        <v>102.07914934</v>
      </c>
      <c r="AO1227" t="n">
        <v>112.6</v>
      </c>
      <c r="AP1227" t="n">
        <v>114</v>
      </c>
      <c r="AQ1227" t="n">
        <v>126.110509209</v>
      </c>
      <c r="AR1227" t="n">
        <v>112.990584118</v>
      </c>
      <c r="AS1227" t="n">
        <v>134.588784268</v>
      </c>
      <c r="AT1227" t="n">
        <v>95.413342861</v>
      </c>
      <c r="AU1227" t="n">
        <v/>
      </c>
    </row>
    <row r="1228">
      <c r="A1228" s="107" t="n">
        <v>44256</v>
      </c>
      <c r="B1228" t="n">
        <v>120.9</v>
      </c>
      <c r="C1228" t="n">
        <v>122.989750854</v>
      </c>
      <c r="D1228" t="n">
        <v>96.118909992</v>
      </c>
      <c r="E1228" t="n">
        <v>104.39633055</v>
      </c>
      <c r="F1228" t="n">
        <v>127.8</v>
      </c>
      <c r="G1228" t="n">
        <v/>
      </c>
      <c r="H1228" t="n">
        <v>101.897596252</v>
      </c>
      <c r="I1228" t="n">
        <v>121.489875844</v>
      </c>
      <c r="J1228" t="n">
        <v>113.88101983</v>
      </c>
      <c r="K1228" t="n">
        <v>95.992000667</v>
      </c>
      <c r="L1228" t="n">
        <v>113.8</v>
      </c>
      <c r="M1228" t="n">
        <v>103.9</v>
      </c>
      <c r="N1228" t="n">
        <v>103.977086648</v>
      </c>
      <c r="O1228" t="n">
        <v>120.010000833</v>
      </c>
      <c r="P1228" t="n">
        <v/>
      </c>
      <c r="Q1228" t="n">
        <v>111.7</v>
      </c>
      <c r="R1228" t="n">
        <v>97.89</v>
      </c>
      <c r="S1228" t="n">
        <v>98.60758163</v>
      </c>
      <c r="T1228" t="n">
        <v>103.997132103</v>
      </c>
      <c r="U1228" t="n">
        <v/>
      </c>
      <c r="V1228" t="n">
        <v>113.876633647</v>
      </c>
      <c r="W1228" t="n">
        <v>120.010000833</v>
      </c>
      <c r="X1228" t="n">
        <v>116.704631591</v>
      </c>
      <c r="Y1228" t="n">
        <v/>
      </c>
      <c r="Z1228" t="n">
        <v>143.476087319</v>
      </c>
      <c r="AA1228" t="n">
        <v/>
      </c>
      <c r="AB1228" t="n">
        <v>114.660421546</v>
      </c>
      <c r="AC1228" t="n">
        <v>103.191400717</v>
      </c>
      <c r="AD1228" t="n">
        <v>97.291892342</v>
      </c>
      <c r="AE1228" t="n">
        <v>114.8</v>
      </c>
      <c r="AF1228" t="n">
        <v>96.20801733499999</v>
      </c>
      <c r="AG1228" t="n">
        <v>120.3</v>
      </c>
      <c r="AH1228" t="n">
        <v/>
      </c>
      <c r="AI1228" t="n">
        <v>103.291392384</v>
      </c>
      <c r="AJ1228" t="n">
        <v>103.219550039</v>
      </c>
      <c r="AK1228" t="n">
        <v/>
      </c>
      <c r="AL1228" t="n">
        <v>104.582269344</v>
      </c>
      <c r="AM1228" t="n">
        <v>133.2</v>
      </c>
      <c r="AN1228" t="n">
        <v>101.699152507</v>
      </c>
      <c r="AO1228" t="n">
        <v>113.9</v>
      </c>
      <c r="AP1228" t="n">
        <v>116.4</v>
      </c>
      <c r="AQ1228" t="n">
        <v>125.910492541</v>
      </c>
      <c r="AR1228" t="n">
        <v>114.390467461</v>
      </c>
      <c r="AS1228" t="n">
        <v>131.989000917</v>
      </c>
      <c r="AT1228" t="n">
        <v>98.030134586</v>
      </c>
      <c r="AU1228" t="n">
        <v/>
      </c>
    </row>
    <row r="1229">
      <c r="A1229" s="107" t="n">
        <v>44287</v>
      </c>
      <c r="B1229" t="n">
        <v>120.4</v>
      </c>
      <c r="C1229" t="n">
        <v>128.689275894</v>
      </c>
      <c r="D1229" t="n">
        <v>94.577484173</v>
      </c>
      <c r="E1229" t="n">
        <v>103.271899387</v>
      </c>
      <c r="F1229" t="n">
        <v>126.2</v>
      </c>
      <c r="G1229" t="n">
        <v/>
      </c>
      <c r="H1229" t="n">
        <v>103.199421937</v>
      </c>
      <c r="I1229" t="n">
        <v>121.789850846</v>
      </c>
      <c r="J1229" t="n">
        <v>115.780703216</v>
      </c>
      <c r="K1229" t="n">
        <v>95.692025665</v>
      </c>
      <c r="L1229" t="n">
        <v>111.2</v>
      </c>
      <c r="M1229" t="n">
        <v>105.8</v>
      </c>
      <c r="N1229" t="n">
        <v>103.702086418</v>
      </c>
      <c r="O1229" t="n">
        <v>125.810484207</v>
      </c>
      <c r="P1229" t="n">
        <v/>
      </c>
      <c r="Q1229" t="n">
        <v>111.4</v>
      </c>
      <c r="R1229" t="n">
        <v>98.17</v>
      </c>
      <c r="S1229" t="n">
        <v>98.86104307799999</v>
      </c>
      <c r="T1229" t="n">
        <v>103.351855171</v>
      </c>
      <c r="U1229" t="n">
        <v/>
      </c>
      <c r="V1229" t="n">
        <v>119.770248897</v>
      </c>
      <c r="W1229" t="n">
        <v>117.109759147</v>
      </c>
      <c r="X1229" t="n">
        <v>115.891885611</v>
      </c>
      <c r="Y1229" t="n">
        <v/>
      </c>
      <c r="Z1229" t="n">
        <v>168.571904683</v>
      </c>
      <c r="AA1229" t="n">
        <v/>
      </c>
      <c r="AB1229" t="n">
        <v>112.786885246</v>
      </c>
      <c r="AC1229" t="n">
        <v>104.291309058</v>
      </c>
      <c r="AD1229" t="n">
        <v>98.491792351</v>
      </c>
      <c r="AE1229" t="n">
        <v>112.9</v>
      </c>
      <c r="AF1229" t="n">
        <v>96.608050671</v>
      </c>
      <c r="AG1229" t="n">
        <v>123.5</v>
      </c>
      <c r="AH1229" t="n">
        <v/>
      </c>
      <c r="AI1229" t="n">
        <v>101.991500708</v>
      </c>
      <c r="AJ1229" t="n">
        <v>103.219550039</v>
      </c>
      <c r="AK1229" t="n">
        <v/>
      </c>
      <c r="AL1229" t="n">
        <v>104.9107135</v>
      </c>
      <c r="AM1229" t="n">
        <v>132.7</v>
      </c>
      <c r="AN1229" t="n">
        <v>102.179148507</v>
      </c>
      <c r="AO1229" t="n">
        <v>115.9</v>
      </c>
      <c r="AP1229" t="n">
        <v>114.8</v>
      </c>
      <c r="AQ1229" t="n">
        <v>128.11067589</v>
      </c>
      <c r="AR1229" t="n">
        <v>114.090492459</v>
      </c>
      <c r="AS1229" t="n">
        <v>131.189067578</v>
      </c>
      <c r="AT1229" t="n">
        <v>98.19126708100001</v>
      </c>
      <c r="AU1229" t="n">
        <v/>
      </c>
    </row>
    <row r="1230">
      <c r="A1230" s="107" t="n">
        <v>44317</v>
      </c>
      <c r="B1230" t="n">
        <v>119.2</v>
      </c>
      <c r="C1230" t="n">
        <v>128.589284226</v>
      </c>
      <c r="D1230" t="n">
        <v>95.568400771</v>
      </c>
      <c r="E1230" t="n">
        <v>102.829403755</v>
      </c>
      <c r="F1230" t="n">
        <v>122.7</v>
      </c>
      <c r="G1230" t="n">
        <v/>
      </c>
      <c r="H1230" t="n">
        <v>100.963136776</v>
      </c>
      <c r="I1230" t="n">
        <v>119.690025831</v>
      </c>
      <c r="J1230" t="n">
        <v>111.181469755</v>
      </c>
      <c r="K1230" t="n">
        <v>95.19206732799999</v>
      </c>
      <c r="L1230" t="n">
        <v>110.9</v>
      </c>
      <c r="M1230" t="n">
        <v>103.7</v>
      </c>
      <c r="N1230" t="n">
        <v>102.04808504</v>
      </c>
      <c r="O1230" t="n">
        <v>124.410367531</v>
      </c>
      <c r="P1230" t="n">
        <v/>
      </c>
      <c r="Q1230" t="n">
        <v>114.3</v>
      </c>
      <c r="R1230" t="n">
        <v>97.84</v>
      </c>
      <c r="S1230" t="n">
        <v>97.92310236500001</v>
      </c>
      <c r="T1230" t="n">
        <v>104.427316723</v>
      </c>
      <c r="U1230" t="n">
        <v/>
      </c>
      <c r="V1230" t="n">
        <v>113.477066511</v>
      </c>
      <c r="W1230" t="n">
        <v>120.510042504</v>
      </c>
      <c r="X1230" t="n">
        <v>101.10321678</v>
      </c>
      <c r="Y1230" t="n">
        <v/>
      </c>
      <c r="Z1230" t="n">
        <v>144.97583736</v>
      </c>
      <c r="AA1230" t="n">
        <v/>
      </c>
      <c r="AB1230" t="n">
        <v>110.913348946</v>
      </c>
      <c r="AC1230" t="n">
        <v>102.991417382</v>
      </c>
      <c r="AD1230" t="n">
        <v>92.592283976</v>
      </c>
      <c r="AE1230" t="n">
        <v>112.7</v>
      </c>
      <c r="AF1230" t="n">
        <v>95.40795066299999</v>
      </c>
      <c r="AG1230" t="n">
        <v>121.1</v>
      </c>
      <c r="AH1230" t="n">
        <v/>
      </c>
      <c r="AI1230" t="n">
        <v>102.991417382</v>
      </c>
      <c r="AJ1230" t="n">
        <v>102.637703646</v>
      </c>
      <c r="AK1230" t="n">
        <v/>
      </c>
      <c r="AL1230" t="n">
        <v>103.547054688</v>
      </c>
      <c r="AM1230" t="n">
        <v>134.7</v>
      </c>
      <c r="AN1230" t="n">
        <v>97.33918884000001</v>
      </c>
      <c r="AO1230" t="n">
        <v>116.8</v>
      </c>
      <c r="AP1230" t="n">
        <v>110.3</v>
      </c>
      <c r="AQ1230" t="n">
        <v>127.310609217</v>
      </c>
      <c r="AR1230" t="n">
        <v>111.990667444</v>
      </c>
      <c r="AS1230" t="n">
        <v>133.788850929</v>
      </c>
      <c r="AT1230" t="n">
        <v>98.938822702</v>
      </c>
      <c r="AU1230" t="n">
        <v/>
      </c>
    </row>
    <row r="1231">
      <c r="A1231" s="107" t="n">
        <v>44348</v>
      </c>
      <c r="B1231" t="n">
        <v>121.1</v>
      </c>
      <c r="C1231" t="n">
        <v>138.988417632</v>
      </c>
      <c r="D1231" t="n">
        <v>95.238095238</v>
      </c>
      <c r="E1231" t="n">
        <v>105.320648815</v>
      </c>
      <c r="F1231" t="n">
        <v>122.4</v>
      </c>
      <c r="G1231" t="n">
        <v/>
      </c>
      <c r="H1231" t="n">
        <v>103.501395324</v>
      </c>
      <c r="I1231" t="n">
        <v>122.189817515</v>
      </c>
      <c r="J1231" t="n">
        <v>112.781203133</v>
      </c>
      <c r="K1231" t="n">
        <v>94.892092326</v>
      </c>
      <c r="L1231" t="n">
        <v>110.7</v>
      </c>
      <c r="M1231" t="n">
        <v>104</v>
      </c>
      <c r="N1231" t="n">
        <v>101.24408437</v>
      </c>
      <c r="O1231" t="n">
        <v>127.510625885</v>
      </c>
      <c r="P1231" t="n">
        <v/>
      </c>
      <c r="Q1231" t="n">
        <v>112.4</v>
      </c>
      <c r="R1231" t="n">
        <v>98.12</v>
      </c>
      <c r="S1231" t="n">
        <v>99.35731563500001</v>
      </c>
      <c r="T1231" t="n">
        <v>103.029216706</v>
      </c>
      <c r="U1231" t="n">
        <v/>
      </c>
      <c r="V1231" t="n">
        <v>112.977607592</v>
      </c>
      <c r="W1231" t="n">
        <v>120.41003417</v>
      </c>
      <c r="X1231" t="n">
        <v>110.954936013</v>
      </c>
      <c r="Y1231" t="n">
        <v/>
      </c>
      <c r="Z1231" t="n">
        <v>142.376270622</v>
      </c>
      <c r="AA1231" t="n">
        <v/>
      </c>
      <c r="AB1231" t="n">
        <v>115.409836066</v>
      </c>
      <c r="AC1231" t="n">
        <v>104.19131739</v>
      </c>
      <c r="AD1231" t="n">
        <v>98.691775685</v>
      </c>
      <c r="AE1231" t="n">
        <v>114.3</v>
      </c>
      <c r="AF1231" t="n">
        <v>96.608050671</v>
      </c>
      <c r="AG1231" t="n">
        <v>122.3</v>
      </c>
      <c r="AH1231" t="n">
        <v/>
      </c>
      <c r="AI1231" t="n">
        <v>104.691275727</v>
      </c>
      <c r="AJ1231" t="n">
        <v>104.034134988</v>
      </c>
      <c r="AK1231" t="n">
        <v/>
      </c>
      <c r="AL1231" t="n">
        <v>105.306646597</v>
      </c>
      <c r="AM1231" t="n">
        <v>136.2</v>
      </c>
      <c r="AN1231" t="n">
        <v>95.20920658999999</v>
      </c>
      <c r="AO1231" t="n">
        <v>116.4</v>
      </c>
      <c r="AP1231" t="n">
        <v>111.7</v>
      </c>
      <c r="AQ1231" t="n">
        <v>129.11075923</v>
      </c>
      <c r="AR1231" t="n">
        <v>114.590450796</v>
      </c>
      <c r="AS1231" t="n">
        <v>136.38863428</v>
      </c>
      <c r="AT1231" t="n">
        <v>99.349140404</v>
      </c>
      <c r="AU1231" t="n">
        <v/>
      </c>
    </row>
    <row r="1232">
      <c r="A1232" s="107" t="n">
        <v>44378</v>
      </c>
      <c r="B1232" t="n">
        <v>119.9</v>
      </c>
      <c r="C1232" t="n">
        <v>132.98891759</v>
      </c>
      <c r="D1232" t="n">
        <v>93.916873108</v>
      </c>
      <c r="E1232" t="n">
        <v>105.532265529</v>
      </c>
      <c r="F1232" t="n">
        <v>123.3</v>
      </c>
      <c r="G1232" t="n">
        <v/>
      </c>
      <c r="H1232" t="n">
        <v>102.688181253</v>
      </c>
      <c r="I1232" t="n">
        <v>120.789934172</v>
      </c>
      <c r="J1232" t="n">
        <v>113.581069822</v>
      </c>
      <c r="K1232" t="n">
        <v>95.792017332</v>
      </c>
      <c r="L1232" t="n">
        <v>115.8</v>
      </c>
      <c r="M1232" t="n">
        <v>104.6</v>
      </c>
      <c r="N1232" t="n">
        <v>100.967084139</v>
      </c>
      <c r="O1232" t="n">
        <v>125.610467539</v>
      </c>
      <c r="P1232" t="n">
        <v/>
      </c>
      <c r="Q1232" t="n">
        <v>112.8</v>
      </c>
      <c r="R1232" t="n">
        <v>97.95999999999999</v>
      </c>
      <c r="S1232" t="n">
        <v>99.804061045</v>
      </c>
      <c r="T1232" t="n">
        <v>103.889585947</v>
      </c>
      <c r="U1232" t="n">
        <v/>
      </c>
      <c r="V1232" t="n">
        <v>115.774577541</v>
      </c>
      <c r="W1232" t="n">
        <v>119.609967497</v>
      </c>
      <c r="X1232" t="n">
        <v>117.843570669</v>
      </c>
      <c r="Y1232" t="n">
        <v/>
      </c>
      <c r="Z1232" t="n">
        <v>146.075654058</v>
      </c>
      <c r="AA1232" t="n">
        <v/>
      </c>
      <c r="AB1232" t="n">
        <v>117.00234192</v>
      </c>
      <c r="AC1232" t="n">
        <v>105.191234064</v>
      </c>
      <c r="AD1232" t="n">
        <v>98.191817349</v>
      </c>
      <c r="AE1232" t="n">
        <v>114.7</v>
      </c>
      <c r="AF1232" t="n">
        <v>93.707808984</v>
      </c>
      <c r="AG1232" t="n">
        <v>123.8</v>
      </c>
      <c r="AH1232" t="n">
        <v/>
      </c>
      <c r="AI1232" t="n">
        <v>105.591200733</v>
      </c>
      <c r="AJ1232" t="n">
        <v>103.91776571</v>
      </c>
      <c r="AK1232" t="n">
        <v/>
      </c>
      <c r="AL1232" t="n">
        <v>105.607138656</v>
      </c>
      <c r="AM1232" t="n">
        <v>138</v>
      </c>
      <c r="AN1232" t="n">
        <v>98.649177924</v>
      </c>
      <c r="AO1232" t="n">
        <v>116.5</v>
      </c>
      <c r="AP1232" t="n">
        <v>113.5</v>
      </c>
      <c r="AQ1232" t="n">
        <v>127.010584215</v>
      </c>
      <c r="AR1232" t="n">
        <v>113.890509124</v>
      </c>
      <c r="AS1232" t="n">
        <v>132.088992584</v>
      </c>
      <c r="AT1232" t="n">
        <v>100.023517081</v>
      </c>
      <c r="AU1232" t="n">
        <v/>
      </c>
    </row>
    <row r="1233">
      <c r="A1233" s="107" t="n">
        <v>44409</v>
      </c>
      <c r="B1233" t="n">
        <v>120.2</v>
      </c>
      <c r="C1233" t="n">
        <v>129.789184235</v>
      </c>
      <c r="D1233" t="n">
        <v>93.586567575</v>
      </c>
      <c r="E1233" t="n">
        <v>105.661750346</v>
      </c>
      <c r="F1233" t="n">
        <v>122.7</v>
      </c>
      <c r="G1233" t="n">
        <v/>
      </c>
      <c r="H1233" t="n">
        <v>101.33359749</v>
      </c>
      <c r="I1233" t="n">
        <v>119.390050829</v>
      </c>
      <c r="J1233" t="n">
        <v>111.081486419</v>
      </c>
      <c r="K1233" t="n">
        <v>92.49229230900001</v>
      </c>
      <c r="L1233" t="n">
        <v>120.8</v>
      </c>
      <c r="M1233" t="n">
        <v>103.3</v>
      </c>
      <c r="N1233" t="n">
        <v>101.490084575</v>
      </c>
      <c r="O1233" t="n">
        <v>122.810234186</v>
      </c>
      <c r="P1233" t="n">
        <v/>
      </c>
      <c r="Q1233" t="n">
        <v>114.2</v>
      </c>
      <c r="R1233" t="n">
        <v>98.86</v>
      </c>
      <c r="S1233" t="n">
        <v>98.889945826</v>
      </c>
      <c r="T1233" t="n">
        <v>104.212224413</v>
      </c>
      <c r="U1233" t="n">
        <v/>
      </c>
      <c r="V1233" t="n">
        <v>116.473820028</v>
      </c>
      <c r="W1233" t="n">
        <v>116.309692474</v>
      </c>
      <c r="X1233" t="n">
        <v>119.632557431</v>
      </c>
      <c r="Y1233" t="n">
        <v/>
      </c>
      <c r="Z1233" t="n">
        <v>143.276120647</v>
      </c>
      <c r="AA1233" t="n">
        <v/>
      </c>
      <c r="AB1233" t="n">
        <v>114.473067916</v>
      </c>
      <c r="AC1233" t="n">
        <v>104.891259062</v>
      </c>
      <c r="AD1233" t="n">
        <v>95.792017332</v>
      </c>
      <c r="AE1233" t="n">
        <v>115.7</v>
      </c>
      <c r="AF1233" t="n">
        <v>95.70797566500001</v>
      </c>
      <c r="AG1233" t="n">
        <v>121.7</v>
      </c>
      <c r="AH1233" t="n">
        <v/>
      </c>
      <c r="AI1233" t="n">
        <v>102.69144238</v>
      </c>
      <c r="AJ1233" t="n">
        <v>106.826997673</v>
      </c>
      <c r="AK1233" t="n">
        <v/>
      </c>
      <c r="AL1233" t="n">
        <v>105.187326517</v>
      </c>
      <c r="AM1233" t="n">
        <v>136.8</v>
      </c>
      <c r="AN1233" t="n">
        <v>96.729193923</v>
      </c>
      <c r="AO1233" t="n">
        <v>115.8</v>
      </c>
      <c r="AP1233" t="n">
        <v>109.1</v>
      </c>
      <c r="AQ1233" t="n">
        <v>127.910659222</v>
      </c>
      <c r="AR1233" t="n">
        <v>112.790600783</v>
      </c>
      <c r="AS1233" t="n">
        <v>139.988334305</v>
      </c>
      <c r="AT1233" t="n">
        <v>99.988414987</v>
      </c>
      <c r="AU1233" t="n">
        <v/>
      </c>
    </row>
    <row r="1234">
      <c r="A1234" s="107" t="n">
        <v>44440</v>
      </c>
      <c r="B1234" t="n">
        <v>119.5</v>
      </c>
      <c r="C1234" t="n">
        <v>130.289142571</v>
      </c>
      <c r="D1234" t="n">
        <v>93.146160198</v>
      </c>
      <c r="E1234" t="n">
        <v>105.496148897</v>
      </c>
      <c r="F1234" t="n">
        <v>123.3</v>
      </c>
      <c r="G1234" t="n">
        <v/>
      </c>
      <c r="H1234" t="n">
        <v>99.225993242</v>
      </c>
      <c r="I1234" t="n">
        <v>116.590284143</v>
      </c>
      <c r="J1234" t="n">
        <v>107.482086319</v>
      </c>
      <c r="K1234" t="n">
        <v>91.392383968</v>
      </c>
      <c r="L1234" t="n">
        <v>112.6</v>
      </c>
      <c r="M1234" t="n">
        <v>102.4</v>
      </c>
      <c r="N1234" t="n">
        <v>102.645085538</v>
      </c>
      <c r="O1234" t="n">
        <v>128.810734228</v>
      </c>
      <c r="P1234" t="n">
        <v/>
      </c>
      <c r="Q1234" t="n">
        <v>115.1</v>
      </c>
      <c r="R1234" t="n">
        <v>97.40000000000001</v>
      </c>
      <c r="S1234" t="n">
        <v>97.104668158</v>
      </c>
      <c r="T1234" t="n">
        <v>103.674493637</v>
      </c>
      <c r="U1234" t="n">
        <v/>
      </c>
      <c r="V1234" t="n">
        <v>118.072088571</v>
      </c>
      <c r="W1234" t="n">
        <v>116.20968414</v>
      </c>
      <c r="X1234" t="n">
        <v>117.324508183</v>
      </c>
      <c r="Y1234" t="n">
        <v/>
      </c>
      <c r="Z1234" t="n">
        <v>134.577570405</v>
      </c>
      <c r="AA1234" t="n">
        <v/>
      </c>
      <c r="AB1234" t="n">
        <v>116.44028103</v>
      </c>
      <c r="AC1234" t="n">
        <v>105.191234064</v>
      </c>
      <c r="AD1234" t="n">
        <v>90.092492292</v>
      </c>
      <c r="AE1234" t="n">
        <v>112.8</v>
      </c>
      <c r="AF1234" t="n">
        <v>95.40795066299999</v>
      </c>
      <c r="AG1234" t="n">
        <v>123.5</v>
      </c>
      <c r="AH1234" t="n">
        <v/>
      </c>
      <c r="AI1234" t="n">
        <v>103.691359053</v>
      </c>
      <c r="AJ1234" t="n">
        <v>110.201706749</v>
      </c>
      <c r="AK1234" t="n">
        <v/>
      </c>
      <c r="AL1234" t="n">
        <v>103.539689887</v>
      </c>
      <c r="AM1234" t="n">
        <v>137.7</v>
      </c>
      <c r="AN1234" t="n">
        <v>98.57917850699999</v>
      </c>
      <c r="AO1234" t="n">
        <v>117.9</v>
      </c>
      <c r="AP1234" t="n">
        <v>107.7</v>
      </c>
      <c r="AQ1234" t="n">
        <v>128.410700892</v>
      </c>
      <c r="AR1234" t="n">
        <v>113.29055912</v>
      </c>
      <c r="AS1234" t="n">
        <v>136.488625948</v>
      </c>
      <c r="AT1234" t="n">
        <v>99.009522683</v>
      </c>
      <c r="AU1234" t="n">
        <v/>
      </c>
    </row>
    <row r="1235">
      <c r="A1235" s="107" t="n">
        <v>44470</v>
      </c>
      <c r="B1235" t="n">
        <v>121.1</v>
      </c>
      <c r="C1235" t="n">
        <v>132.388967586</v>
      </c>
      <c r="D1235" t="n">
        <v>92.705752821</v>
      </c>
      <c r="E1235" t="n">
        <v>107.418356345</v>
      </c>
      <c r="F1235" t="n">
        <v>118</v>
      </c>
      <c r="G1235" t="n">
        <v/>
      </c>
      <c r="H1235" t="n">
        <v>102.640563542</v>
      </c>
      <c r="I1235" t="n">
        <v>120.989917507</v>
      </c>
      <c r="J1235" t="n">
        <v>108.081986336</v>
      </c>
      <c r="K1235" t="n">
        <v>93.79218398499999</v>
      </c>
      <c r="L1235" t="n">
        <v>116</v>
      </c>
      <c r="M1235" t="n">
        <v>101</v>
      </c>
      <c r="N1235" t="n">
        <v>103.10408592</v>
      </c>
      <c r="O1235" t="n">
        <v>124.710392533</v>
      </c>
      <c r="P1235" t="n">
        <v/>
      </c>
      <c r="Q1235" t="n">
        <v>115.2</v>
      </c>
      <c r="R1235" t="n">
        <v>98.43000000000001</v>
      </c>
      <c r="S1235" t="n">
        <v>98.59226915799999</v>
      </c>
      <c r="T1235" t="n">
        <v>102.92167055</v>
      </c>
      <c r="U1235" t="n">
        <v/>
      </c>
      <c r="V1235" t="n">
        <v>120.669274952</v>
      </c>
      <c r="W1235" t="n">
        <v>117.009750813</v>
      </c>
      <c r="X1235" t="n">
        <v>121.342649286</v>
      </c>
      <c r="Y1235" t="n">
        <v/>
      </c>
      <c r="Z1235" t="n">
        <v>90.48491918000001</v>
      </c>
      <c r="AA1235" t="n">
        <v/>
      </c>
      <c r="AB1235" t="n">
        <v>118.50117096</v>
      </c>
      <c r="AC1235" t="n">
        <v>104.59128406</v>
      </c>
      <c r="AD1235" t="n">
        <v>92.192317307</v>
      </c>
      <c r="AE1235" t="n">
        <v>113.2</v>
      </c>
      <c r="AF1235" t="n">
        <v>94.907908992</v>
      </c>
      <c r="AG1235" t="n">
        <v>122.3</v>
      </c>
      <c r="AH1235" t="n">
        <v/>
      </c>
      <c r="AI1235" t="n">
        <v>103.091409049</v>
      </c>
      <c r="AJ1235" t="n">
        <v>104.383242824</v>
      </c>
      <c r="AK1235" t="n">
        <v/>
      </c>
      <c r="AL1235" t="n">
        <v>104.328721201</v>
      </c>
      <c r="AM1235" t="n">
        <v>140.3</v>
      </c>
      <c r="AN1235" t="n">
        <v>99.01917484000001</v>
      </c>
      <c r="AO1235" t="n">
        <v>119.2</v>
      </c>
      <c r="AP1235" t="n">
        <v>111.1</v>
      </c>
      <c r="AQ1235" t="n">
        <v>128.910742562</v>
      </c>
      <c r="AR1235" t="n">
        <v>114.990417465</v>
      </c>
      <c r="AS1235" t="n">
        <v>137.988500958</v>
      </c>
      <c r="AT1235" t="n">
        <v>100.507212043</v>
      </c>
      <c r="AU1235" t="n">
        <v/>
      </c>
    </row>
    <row r="1236">
      <c r="A1236" s="107" t="n">
        <v>44501</v>
      </c>
      <c r="B1236" t="n">
        <v>124.1</v>
      </c>
      <c r="C1236" t="n">
        <v>125.589534205</v>
      </c>
      <c r="D1236" t="n">
        <v>92.92595651000001</v>
      </c>
      <c r="E1236" t="n">
        <v>106.537110509</v>
      </c>
      <c r="F1236" t="n">
        <v>126.4</v>
      </c>
      <c r="G1236" t="n">
        <v/>
      </c>
      <c r="H1236" t="n">
        <v>101.953089756</v>
      </c>
      <c r="I1236" t="n">
        <v>123.389717524</v>
      </c>
      <c r="J1236" t="n">
        <v>113.681053158</v>
      </c>
      <c r="K1236" t="n">
        <v>94.292142321</v>
      </c>
      <c r="L1236" t="n">
        <v>119.4</v>
      </c>
      <c r="M1236" t="n">
        <v>103.5</v>
      </c>
      <c r="N1236" t="n">
        <v>105.359087799</v>
      </c>
      <c r="O1236" t="n">
        <v>128.510709226</v>
      </c>
      <c r="P1236" t="n">
        <v/>
      </c>
      <c r="Q1236" t="n">
        <v>116</v>
      </c>
      <c r="R1236" t="n">
        <v>97.81999999999999</v>
      </c>
      <c r="S1236" t="n">
        <v>99.98347257</v>
      </c>
      <c r="T1236" t="n">
        <v>103.997132103</v>
      </c>
      <c r="U1236" t="n">
        <v/>
      </c>
      <c r="V1236" t="n">
        <v>119.570465329</v>
      </c>
      <c r="W1236" t="n">
        <v>120.510042504</v>
      </c>
      <c r="X1236" t="n">
        <v>116.987741757</v>
      </c>
      <c r="Y1236" t="n">
        <v/>
      </c>
      <c r="Z1236" t="n">
        <v>123.879353441</v>
      </c>
      <c r="AA1236" t="n">
        <v/>
      </c>
      <c r="AB1236" t="n">
        <v>114.192037471</v>
      </c>
      <c r="AC1236" t="n">
        <v>106.691109074</v>
      </c>
      <c r="AD1236" t="n">
        <v>97.091909008</v>
      </c>
      <c r="AE1236" t="n">
        <v>115</v>
      </c>
      <c r="AF1236" t="n">
        <v>95.40795066299999</v>
      </c>
      <c r="AG1236" t="n">
        <v>122.5</v>
      </c>
      <c r="AH1236" t="n">
        <v/>
      </c>
      <c r="AI1236" t="n">
        <v>104.091325723</v>
      </c>
      <c r="AJ1236" t="n">
        <v>101.241272304</v>
      </c>
      <c r="AK1236" t="n">
        <v/>
      </c>
      <c r="AL1236" t="n">
        <v>106.358979642</v>
      </c>
      <c r="AM1236" t="n">
        <v>145.8</v>
      </c>
      <c r="AN1236" t="n">
        <v>101.039158007</v>
      </c>
      <c r="AO1236" t="n">
        <v>119.9</v>
      </c>
      <c r="AP1236" t="n">
        <v>120.2</v>
      </c>
      <c r="AQ1236" t="n">
        <v>133.611134261</v>
      </c>
      <c r="AR1236" t="n">
        <v>115.090409133</v>
      </c>
      <c r="AS1236" t="n">
        <v>142.08815932</v>
      </c>
      <c r="AT1236" t="n">
        <v>101.102956062</v>
      </c>
      <c r="AU1236" t="n">
        <v/>
      </c>
    </row>
    <row r="1237">
      <c r="A1237" s="107" t="n">
        <v>44531</v>
      </c>
      <c r="B1237" t="n">
        <v>122.7</v>
      </c>
      <c r="C1237" t="n">
        <v>128.189317557</v>
      </c>
      <c r="D1237" t="n">
        <v>95.348197082</v>
      </c>
      <c r="E1237" t="n">
        <v>106.933590876</v>
      </c>
      <c r="F1237" t="n">
        <v>124</v>
      </c>
      <c r="G1237" t="n">
        <v/>
      </c>
      <c r="H1237" t="n">
        <v>100.928826201</v>
      </c>
      <c r="I1237" t="n">
        <v>118.490125823</v>
      </c>
      <c r="J1237" t="n">
        <v>110.481586402</v>
      </c>
      <c r="K1237" t="n">
        <v>95.792017332</v>
      </c>
      <c r="L1237" t="n">
        <v>119.2</v>
      </c>
      <c r="M1237" t="n">
        <v>105.2</v>
      </c>
      <c r="N1237" t="n">
        <v>105.279087733</v>
      </c>
      <c r="O1237" t="n">
        <v>130.510875906</v>
      </c>
      <c r="P1237" t="n">
        <v/>
      </c>
      <c r="Q1237" t="n">
        <v>119.7</v>
      </c>
      <c r="R1237" t="n">
        <v>97.75</v>
      </c>
      <c r="S1237" t="n">
        <v>100.069453481</v>
      </c>
      <c r="T1237" t="n">
        <v>104.319770568</v>
      </c>
      <c r="U1237" t="n">
        <v/>
      </c>
      <c r="V1237" t="n">
        <v>120.069924249</v>
      </c>
      <c r="W1237" t="n">
        <v>120.510042504</v>
      </c>
      <c r="X1237" t="n">
        <v>118.586253902</v>
      </c>
      <c r="Y1237" t="n">
        <v/>
      </c>
      <c r="Z1237" t="n">
        <v>139.07682053</v>
      </c>
      <c r="AA1237" t="n">
        <v/>
      </c>
      <c r="AB1237" t="n">
        <v>121.8735363</v>
      </c>
      <c r="AC1237" t="n">
        <v>105.691192401</v>
      </c>
      <c r="AD1237" t="n">
        <v>96.99191734</v>
      </c>
      <c r="AE1237" t="n">
        <v>118.9</v>
      </c>
      <c r="AF1237" t="n">
        <v>97.108092341</v>
      </c>
      <c r="AG1237" t="n">
        <v>126.6</v>
      </c>
      <c r="AH1237" t="n">
        <v/>
      </c>
      <c r="AI1237" t="n">
        <v>106.09115907</v>
      </c>
      <c r="AJ1237" t="n">
        <v>104.034134988</v>
      </c>
      <c r="AK1237" t="n">
        <v/>
      </c>
      <c r="AL1237" t="n">
        <v>107.002202814</v>
      </c>
      <c r="AM1237" t="n">
        <v>145.8</v>
      </c>
      <c r="AN1237" t="n">
        <v>102.369146924</v>
      </c>
      <c r="AO1237" t="n">
        <v>121.7</v>
      </c>
      <c r="AP1237" t="n">
        <v>118.9</v>
      </c>
      <c r="AQ1237" t="n">
        <v>135.81131761</v>
      </c>
      <c r="AR1237" t="n">
        <v>115.390384135</v>
      </c>
      <c r="AS1237" t="n">
        <v>144.587951004</v>
      </c>
      <c r="AT1237" t="n">
        <v>100.9023585</v>
      </c>
      <c r="AU1237" t="n">
        <v/>
      </c>
    </row>
    <row r="1238">
      <c r="A1238" s="107" t="n">
        <v>44562</v>
      </c>
      <c r="B1238" t="n">
        <v>127</v>
      </c>
      <c r="C1238" t="n">
        <v>129.18923423</v>
      </c>
      <c r="D1238" t="n">
        <v>93.586567575</v>
      </c>
      <c r="E1238" t="n">
        <v>106.162567652</v>
      </c>
      <c r="F1238" t="n">
        <v>124.2</v>
      </c>
      <c r="G1238" t="n">
        <v/>
      </c>
      <c r="H1238" t="n">
        <v>99.808982144</v>
      </c>
      <c r="I1238" t="n">
        <v>126.789434214</v>
      </c>
      <c r="J1238" t="n">
        <v>114.180969838</v>
      </c>
      <c r="K1238" t="n">
        <v>96.39196733599999</v>
      </c>
      <c r="L1238" t="n">
        <v>119.8</v>
      </c>
      <c r="M1238" t="n">
        <v>104.4</v>
      </c>
      <c r="N1238" t="n">
        <v>104.909087424</v>
      </c>
      <c r="O1238" t="n">
        <v>123.710309192</v>
      </c>
      <c r="P1238" t="n">
        <v/>
      </c>
      <c r="Q1238" t="n">
        <v>116.2</v>
      </c>
      <c r="R1238" t="n">
        <v>99.48</v>
      </c>
      <c r="S1238" t="n">
        <v>99.835530822</v>
      </c>
      <c r="T1238" t="n">
        <v>105.287685965</v>
      </c>
      <c r="U1238" t="n">
        <v/>
      </c>
      <c r="V1238" t="n">
        <v>114.875551486</v>
      </c>
      <c r="W1238" t="n">
        <v>122.710225852</v>
      </c>
      <c r="X1238" t="n">
        <v>119.009911134</v>
      </c>
      <c r="Y1238" t="n">
        <v/>
      </c>
      <c r="Z1238" t="n">
        <v>129.178470255</v>
      </c>
      <c r="AA1238" t="n">
        <v/>
      </c>
      <c r="AB1238" t="n">
        <v>125.901639344</v>
      </c>
      <c r="AC1238" t="n">
        <v>102.191484043</v>
      </c>
      <c r="AD1238" t="n">
        <v>94.892092326</v>
      </c>
      <c r="AE1238" t="n">
        <v>119.4</v>
      </c>
      <c r="AF1238" t="n">
        <v>97.508125677</v>
      </c>
      <c r="AG1238" t="n">
        <v>125.8</v>
      </c>
      <c r="AH1238" t="n">
        <v/>
      </c>
      <c r="AI1238" t="n">
        <v>104.891259062</v>
      </c>
      <c r="AJ1238" t="n">
        <v>104.965089216</v>
      </c>
      <c r="AK1238" t="n">
        <v/>
      </c>
      <c r="AL1238" t="n">
        <v>106.693382142</v>
      </c>
      <c r="AM1238" t="n">
        <v>149.3</v>
      </c>
      <c r="AN1238" t="n">
        <v>97.139190507</v>
      </c>
      <c r="AO1238" t="n">
        <v/>
      </c>
      <c r="AP1238" t="n">
        <v>115.9</v>
      </c>
      <c r="AQ1238" t="n">
        <v>136.111342612</v>
      </c>
      <c r="AR1238" t="n">
        <v>114.79043413</v>
      </c>
      <c r="AS1238" t="n">
        <v>141.188234314</v>
      </c>
      <c r="AT1238" t="n">
        <v>101.326756704</v>
      </c>
      <c r="AU1238" t="n">
        <v/>
      </c>
    </row>
    <row r="1239">
      <c r="A1239" s="107" t="n">
        <v>44593</v>
      </c>
      <c r="B1239" t="n">
        <v>127</v>
      </c>
      <c r="C1239" t="n">
        <v>128.289309224</v>
      </c>
      <c r="D1239" t="n">
        <v>94.24717864</v>
      </c>
      <c r="E1239" t="n">
        <v>106.949107652</v>
      </c>
      <c r="F1239" t="n">
        <v>136.5</v>
      </c>
      <c r="G1239" t="n">
        <v/>
      </c>
      <c r="H1239" t="n">
        <v>99.03825288199999</v>
      </c>
      <c r="I1239" t="n">
        <v>130.378270288</v>
      </c>
      <c r="J1239" t="n">
        <v>110.981503083</v>
      </c>
      <c r="K1239" t="n">
        <v>96.59195067100001</v>
      </c>
      <c r="L1239" t="n">
        <v>121.7</v>
      </c>
      <c r="M1239" t="n">
        <v>104.9</v>
      </c>
      <c r="N1239" t="n">
        <v>106.062088385</v>
      </c>
      <c r="O1239" t="n">
        <v>123.110259188</v>
      </c>
      <c r="P1239" t="n">
        <v/>
      </c>
      <c r="Q1239" t="n">
        <v>116.7</v>
      </c>
      <c r="R1239" t="n">
        <v>98.37</v>
      </c>
      <c r="S1239" t="n">
        <v>100.876466486</v>
      </c>
      <c r="T1239" t="n">
        <v>104.9650475</v>
      </c>
      <c r="U1239" t="n">
        <v/>
      </c>
      <c r="V1239" t="n">
        <v>117.2729543</v>
      </c>
      <c r="W1239" t="n">
        <v>124.910409201</v>
      </c>
      <c r="X1239" t="n">
        <v>118.347898245</v>
      </c>
      <c r="Y1239" t="n">
        <v/>
      </c>
      <c r="Z1239" t="n">
        <v>131.678053658</v>
      </c>
      <c r="AA1239" t="n">
        <v/>
      </c>
      <c r="AB1239" t="n">
        <v>130.304449649</v>
      </c>
      <c r="AC1239" t="n">
        <v>106.291142405</v>
      </c>
      <c r="AD1239" t="n">
        <v>97.091909008</v>
      </c>
      <c r="AE1239" t="n">
        <v>119.8</v>
      </c>
      <c r="AF1239" t="n">
        <v>97.408117343</v>
      </c>
      <c r="AG1239" t="n">
        <v>123</v>
      </c>
      <c r="AH1239" t="n">
        <v/>
      </c>
      <c r="AI1239" t="n">
        <v>103.291392384</v>
      </c>
      <c r="AJ1239" t="n">
        <v>104.150504267</v>
      </c>
      <c r="AK1239" t="n">
        <v/>
      </c>
      <c r="AL1239" t="n">
        <v>107.958030807</v>
      </c>
      <c r="AM1239" t="n">
        <v>152.2</v>
      </c>
      <c r="AN1239" t="n">
        <v>97.979183507</v>
      </c>
      <c r="AO1239" t="n">
        <v/>
      </c>
      <c r="AP1239" t="n">
        <v>113.3</v>
      </c>
      <c r="AQ1239" t="n">
        <v>125.010417535</v>
      </c>
      <c r="AR1239" t="n">
        <v>114.390467461</v>
      </c>
      <c r="AS1239" t="n">
        <v>147.38771769</v>
      </c>
      <c r="AT1239" t="n">
        <v>102.15046602</v>
      </c>
      <c r="AU1239" t="n">
        <v/>
      </c>
    </row>
    <row r="1240">
      <c r="A1240" s="107" t="n">
        <v>44621</v>
      </c>
      <c r="B1240" t="n">
        <v>129.4</v>
      </c>
      <c r="C1240" t="n">
        <v>127.989334222</v>
      </c>
      <c r="D1240" t="n">
        <v>94.797687861</v>
      </c>
      <c r="E1240" t="n">
        <v>107.860584447</v>
      </c>
      <c r="F1240" t="n">
        <v>133.3</v>
      </c>
      <c r="G1240" t="n">
        <v/>
      </c>
      <c r="H1240" t="n">
        <v>102.275346341</v>
      </c>
      <c r="I1240" t="n">
        <v>125.3</v>
      </c>
      <c r="J1240" t="n">
        <v>112.981169805</v>
      </c>
      <c r="K1240" t="n">
        <v>92.69227564400001</v>
      </c>
      <c r="L1240" t="n">
        <v>126.5</v>
      </c>
      <c r="M1240" t="n">
        <v>103.4</v>
      </c>
      <c r="N1240" t="n">
        <v>103.970086642</v>
      </c>
      <c r="O1240" t="n">
        <v>129.710809234</v>
      </c>
      <c r="P1240" t="n">
        <v/>
      </c>
      <c r="Q1240" t="n">
        <v>115.1</v>
      </c>
      <c r="R1240" t="n">
        <v>97.95999999999999</v>
      </c>
      <c r="S1240" t="n">
        <v>100.501341916</v>
      </c>
      <c r="T1240" t="n">
        <v>104.749955189</v>
      </c>
      <c r="U1240" t="n">
        <v/>
      </c>
      <c r="V1240" t="n">
        <v>123.466244901</v>
      </c>
      <c r="W1240" t="n">
        <v>124.710392533</v>
      </c>
      <c r="X1240" t="n">
        <v>119.245587782</v>
      </c>
      <c r="Y1240" t="n">
        <v/>
      </c>
      <c r="Z1240" t="n">
        <v>132.977837027</v>
      </c>
      <c r="AA1240" t="n">
        <v/>
      </c>
      <c r="AB1240" t="n">
        <v>126.463700234</v>
      </c>
      <c r="AC1240" t="n">
        <v>106.49112574</v>
      </c>
      <c r="AD1240" t="n">
        <v>96.691942338</v>
      </c>
      <c r="AE1240" t="n">
        <v>121.2</v>
      </c>
      <c r="AF1240" t="n">
        <v>93.20776731399999</v>
      </c>
      <c r="AG1240" t="n">
        <v>127.3</v>
      </c>
      <c r="AH1240" t="n">
        <v/>
      </c>
      <c r="AI1240" t="n">
        <v>103.791350721</v>
      </c>
      <c r="AJ1240" t="n">
        <v>106.710628394</v>
      </c>
      <c r="AK1240" t="n">
        <v/>
      </c>
      <c r="AL1240" t="n">
        <v>107.806936957</v>
      </c>
      <c r="AM1240" t="n">
        <v>153.1</v>
      </c>
      <c r="AN1240" t="n">
        <v>102.989141757</v>
      </c>
      <c r="AO1240" t="n">
        <v/>
      </c>
      <c r="AP1240" t="n">
        <v>107.3</v>
      </c>
      <c r="AQ1240" t="n">
        <v>130.410867572</v>
      </c>
      <c r="AR1240" t="n">
        <v>116.190317474</v>
      </c>
      <c r="AS1240" t="n">
        <v>144.887926006</v>
      </c>
      <c r="AT1240" t="n">
        <v>102.846161766</v>
      </c>
      <c r="AU1240" t="n">
        <v/>
      </c>
    </row>
    <row r="1241">
      <c r="A1241" s="107" t="n">
        <v>44652</v>
      </c>
      <c r="B1241" t="n">
        <v>131.5</v>
      </c>
      <c r="C1241" t="n">
        <v>126.18948421</v>
      </c>
      <c r="D1241" t="n">
        <v>95.01789155</v>
      </c>
      <c r="E1241" t="n">
        <v/>
      </c>
      <c r="F1241" t="n">
        <v/>
      </c>
      <c r="G1241" t="n">
        <v/>
      </c>
      <c r="H1241" t="n">
        <v>100.12018365</v>
      </c>
      <c r="I1241" t="n">
        <v/>
      </c>
      <c r="J1241" t="n">
        <v>112.08131978</v>
      </c>
      <c r="K1241" t="n">
        <v>92.992250646</v>
      </c>
      <c r="L1241" t="n">
        <v>126.9</v>
      </c>
      <c r="M1241" t="n">
        <v>103.8</v>
      </c>
      <c r="N1241" t="n">
        <v>106.180088483</v>
      </c>
      <c r="O1241" t="n">
        <v>130.810900908</v>
      </c>
      <c r="P1241" t="n">
        <v/>
      </c>
      <c r="Q1241" t="n">
        <v>119.1</v>
      </c>
      <c r="R1241" t="n">
        <v>97.84999999999999</v>
      </c>
      <c r="S1241" t="n">
        <v>100.971984898</v>
      </c>
      <c r="T1241" t="n">
        <v>104.104678258</v>
      </c>
      <c r="U1241" t="n">
        <v/>
      </c>
      <c r="V1241" t="n">
        <v>114.076417215</v>
      </c>
      <c r="W1241" t="n">
        <v>122.810234186</v>
      </c>
      <c r="X1241" t="n">
        <v>124.438935242</v>
      </c>
      <c r="Y1241" t="n">
        <v/>
      </c>
      <c r="Z1241" t="n">
        <v>120.179970005</v>
      </c>
      <c r="AA1241" t="n">
        <v/>
      </c>
      <c r="AB1241" t="n">
        <v>125.995316159</v>
      </c>
      <c r="AC1241" t="n">
        <v>108.190984085</v>
      </c>
      <c r="AD1241" t="n">
        <v>95.392050662</v>
      </c>
      <c r="AE1241" t="n">
        <v>117.2</v>
      </c>
      <c r="AF1241" t="n">
        <v>96.20801733499999</v>
      </c>
      <c r="AG1241" t="n">
        <v>127.2</v>
      </c>
      <c r="AH1241" t="n">
        <v/>
      </c>
      <c r="AI1241" t="n">
        <v>110.290809099</v>
      </c>
      <c r="AJ1241" t="n">
        <v>106.361520559</v>
      </c>
      <c r="AK1241" t="n">
        <v/>
      </c>
      <c r="AL1241" t="n">
        <v>107.709728192</v>
      </c>
      <c r="AM1241" t="n">
        <v>152.5</v>
      </c>
      <c r="AN1241" t="n">
        <v>100.839159674</v>
      </c>
      <c r="AO1241" t="n">
        <v/>
      </c>
      <c r="AP1241" t="n">
        <v>106.1</v>
      </c>
      <c r="AQ1241" t="n">
        <v>130.910909242</v>
      </c>
      <c r="AR1241" t="n">
        <v>114.390467461</v>
      </c>
      <c r="AS1241" t="n">
        <v>144.887926006</v>
      </c>
      <c r="AT1241" t="n">
        <v>104.20463265</v>
      </c>
      <c r="AU1241" t="n">
        <v/>
      </c>
    </row>
    <row r="1242">
      <c r="A1242" s="107" t="n">
        <v>44682</v>
      </c>
      <c r="B1242" t="n">
        <v/>
      </c>
      <c r="C1242" t="n">
        <v>126.989417549</v>
      </c>
      <c r="D1242" t="n">
        <v>95.348197082</v>
      </c>
      <c r="E1242" t="n">
        <v/>
      </c>
      <c r="F1242" t="n">
        <v/>
      </c>
      <c r="G1242" t="n">
        <v/>
      </c>
      <c r="H1242" t="n">
        <v>101.359261202</v>
      </c>
      <c r="I1242" t="n">
        <v/>
      </c>
      <c r="J1242" t="n">
        <v>114.780869855</v>
      </c>
      <c r="K1242" t="n">
        <v/>
      </c>
      <c r="L1242" t="n">
        <v>129.5</v>
      </c>
      <c r="M1242" t="n">
        <v/>
      </c>
      <c r="N1242" t="n">
        <v/>
      </c>
      <c r="O1242" t="n">
        <v>130.410867572</v>
      </c>
      <c r="P1242" t="n">
        <v/>
      </c>
      <c r="Q1242" t="n">
        <v/>
      </c>
      <c r="R1242" t="n">
        <v/>
      </c>
      <c r="S1242" t="n">
        <v/>
      </c>
      <c r="T1242" t="n">
        <v/>
      </c>
      <c r="U1242" t="n">
        <v/>
      </c>
      <c r="V1242" t="n">
        <v>117.073170732</v>
      </c>
      <c r="W1242" t="n">
        <v>124.510375865</v>
      </c>
      <c r="X1242" t="n">
        <v/>
      </c>
      <c r="Y1242" t="n">
        <v/>
      </c>
      <c r="Z1242" t="n">
        <v/>
      </c>
      <c r="AA1242" t="n">
        <v/>
      </c>
      <c r="AB1242" t="n">
        <v/>
      </c>
      <c r="AC1242" t="n">
        <v/>
      </c>
      <c r="AD1242" t="n">
        <v>88.992583951</v>
      </c>
      <c r="AE1242" t="n">
        <v>117.3</v>
      </c>
      <c r="AF1242" t="n">
        <v>93.407783982</v>
      </c>
      <c r="AG1242" t="n">
        <v>127.5</v>
      </c>
      <c r="AH1242" t="n">
        <v/>
      </c>
      <c r="AI1242" t="n">
        <v>106.891092409</v>
      </c>
      <c r="AJ1242" t="n">
        <v>107.05973623</v>
      </c>
      <c r="AK1242" t="n">
        <v/>
      </c>
      <c r="AL1242" t="n">
        <v/>
      </c>
      <c r="AM1242" t="n">
        <v>151.9</v>
      </c>
      <c r="AN1242" t="n">
        <v>100.269164424</v>
      </c>
      <c r="AO1242" t="n">
        <v/>
      </c>
      <c r="AP1242" t="n">
        <v>108.3</v>
      </c>
      <c r="AQ1242" t="n">
        <v/>
      </c>
      <c r="AR1242" t="n">
        <v/>
      </c>
      <c r="AS1242" t="n">
        <v/>
      </c>
      <c r="AT1242" t="n">
        <v>104.307162496</v>
      </c>
      <c r="AU1242" t="n">
        <v/>
      </c>
    </row>
    <row r="1243">
      <c r="A1243" s="107" t="n">
        <v>44713</v>
      </c>
      <c r="B1243" t="n">
        <v/>
      </c>
      <c r="C1243" t="n">
        <v/>
      </c>
      <c r="D1243" t="n">
        <v/>
      </c>
      <c r="E1243" t="n">
        <v/>
      </c>
      <c r="F1243" t="n">
        <v/>
      </c>
      <c r="G1243" t="n">
        <v/>
      </c>
      <c r="H1243" t="n">
        <v/>
      </c>
      <c r="I1243" t="n">
        <v/>
      </c>
      <c r="J1243" t="n">
        <v/>
      </c>
      <c r="K1243" t="n">
        <v/>
      </c>
      <c r="L1243" t="n">
        <v/>
      </c>
      <c r="M1243" t="n">
        <v/>
      </c>
      <c r="N1243" t="n">
        <v/>
      </c>
      <c r="O1243" t="n">
        <v/>
      </c>
      <c r="P1243" t="n">
        <v/>
      </c>
      <c r="Q1243" t="n">
        <v/>
      </c>
      <c r="R1243" t="n">
        <v/>
      </c>
      <c r="S1243" t="n">
        <v/>
      </c>
      <c r="T1243" t="n">
        <v/>
      </c>
      <c r="U1243" t="n">
        <v/>
      </c>
      <c r="V1243" t="n">
        <v/>
      </c>
      <c r="W1243" t="n">
        <v/>
      </c>
      <c r="X1243" t="n">
        <v/>
      </c>
      <c r="Y1243" t="n">
        <v/>
      </c>
      <c r="Z1243" t="n">
        <v/>
      </c>
      <c r="AA1243" t="n">
        <v/>
      </c>
      <c r="AB1243" t="n">
        <v/>
      </c>
      <c r="AC1243" t="n">
        <v/>
      </c>
      <c r="AD1243" t="n">
        <v/>
      </c>
      <c r="AE1243" t="n">
        <v/>
      </c>
      <c r="AF1243" t="n">
        <v/>
      </c>
      <c r="AG1243" t="n">
        <v/>
      </c>
      <c r="AH1243" t="n">
        <v/>
      </c>
      <c r="AI1243" t="n">
        <v/>
      </c>
      <c r="AJ1243" t="n">
        <v/>
      </c>
      <c r="AK1243" t="n">
        <v/>
      </c>
      <c r="AL1243" t="n">
        <v/>
      </c>
      <c r="AM1243" t="n">
        <v/>
      </c>
      <c r="AN1243" t="n">
        <v/>
      </c>
      <c r="AO1243" t="n">
        <v/>
      </c>
      <c r="AP1243" t="n">
        <v/>
      </c>
      <c r="AQ1243" t="n">
        <v/>
      </c>
      <c r="AR1243" t="n">
        <v/>
      </c>
      <c r="AS1243" t="n">
        <v/>
      </c>
      <c r="AT1243" t="n">
        <v/>
      </c>
      <c r="AU1243" t="n">
        <v/>
      </c>
    </row>
    <row r="1244">
      <c r="A1244" s="107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/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/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/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/>
      </c>
      <c r="AN1244" t="n">
        <v/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/>
      </c>
      <c r="AU1244" t="n">
        <v/>
      </c>
    </row>
    <row r="1245">
      <c r="A1245" s="107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  <c r="AU1245" t="n">
        <v/>
      </c>
    </row>
    <row r="1246">
      <c r="A1246" s="107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  <c r="AU1246" t="n">
        <v/>
      </c>
    </row>
    <row r="1247">
      <c r="A1247" s="107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  <c r="AU1247" t="n">
        <v/>
      </c>
    </row>
    <row r="1248">
      <c r="A1248" s="107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  <c r="AU1248" t="n">
        <v/>
      </c>
    </row>
    <row r="1249">
      <c r="A1249" s="107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  <c r="AU1249" t="n">
        <v/>
      </c>
    </row>
    <row r="1250">
      <c r="A1250" s="107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  <c r="AU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zoomScale="190" zoomScaleNormal="190" workbookViewId="0">
      <selection activeCell="A4" sqref="A4"/>
    </sheetView>
  </sheetViews>
  <sheetFormatPr baseColWidth="10" defaultRowHeight="15"/>
  <cols>
    <col width="21.1640625" customWidth="1" style="8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22996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17734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14493</v>
      </c>
    </row>
    <row r="5">
      <c r="A5" t="inlineStr">
        <is>
          <t>Japan</t>
        </is>
      </c>
      <c r="B5" t="n">
        <v>4937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4223</v>
      </c>
      <c r="C6" t="n">
        <v>22.6502400143392</v>
      </c>
      <c r="D6" t="inlineStr">
        <is>
          <t>DEU</t>
        </is>
      </c>
    </row>
    <row r="7">
      <c r="A7" t="inlineStr">
        <is>
          <t>United Kingdom</t>
        </is>
      </c>
      <c r="B7" t="n">
        <v>3187</v>
      </c>
      <c r="C7" t="n">
        <v>17.4297621030843</v>
      </c>
      <c r="D7" t="inlineStr">
        <is>
          <t>GBR</t>
        </is>
      </c>
    </row>
    <row r="8">
      <c r="A8" t="inlineStr">
        <is>
          <t>India</t>
        </is>
      </c>
      <c r="B8" t="n">
        <v>3173</v>
      </c>
      <c r="C8" t="n">
        <v>31.1973628091831</v>
      </c>
      <c r="D8" t="inlineStr">
        <is>
          <t>IND</t>
        </is>
      </c>
    </row>
    <row r="9">
      <c r="A9" t="inlineStr">
        <is>
          <t>France</t>
        </is>
      </c>
      <c r="B9" t="n">
        <v>2937</v>
      </c>
      <c r="C9" t="n">
        <v>25.3531141690181</v>
      </c>
      <c r="D9" t="inlineStr">
        <is>
          <t>FRA</t>
        </is>
      </c>
    </row>
    <row r="10">
      <c r="A10" t="inlineStr">
        <is>
          <t>Italy</t>
        </is>
      </c>
      <c r="B10" t="n">
        <v>2100</v>
      </c>
      <c r="C10" t="n">
        <v>20.0072500484951</v>
      </c>
      <c r="D10" t="inlineStr">
        <is>
          <t>ITA</t>
        </is>
      </c>
    </row>
    <row r="11">
      <c r="A11" t="inlineStr">
        <is>
          <t>Canada</t>
        </is>
      </c>
      <c r="B11" t="n">
        <v>1991</v>
      </c>
      <c r="C11" t="n">
        <v>23.6920161687706</v>
      </c>
      <c r="D11" t="inlineStr">
        <is>
          <t>CAN</t>
        </is>
      </c>
    </row>
    <row r="12">
      <c r="A12" t="inlineStr">
        <is>
          <t>South Korea</t>
        </is>
      </c>
      <c r="B12" t="n">
        <v>1799</v>
      </c>
      <c r="C12" t="n">
        <v>31.816938441889</v>
      </c>
      <c r="D12" t="inlineStr">
        <is>
          <t>KOR</t>
        </is>
      </c>
    </row>
    <row r="13">
      <c r="A13" t="inlineStr">
        <is>
          <t>Russia</t>
        </is>
      </c>
      <c r="B13" t="n">
        <v>1776</v>
      </c>
      <c r="C13" t="n">
        <v>22.462198565239</v>
      </c>
      <c r="D13" t="inlineStr">
        <is>
          <t>RUS</t>
        </is>
      </c>
    </row>
    <row r="14">
      <c r="A14" t="inlineStr">
        <is>
          <t>Brazil</t>
        </is>
      </c>
      <c r="B14" t="n">
        <v>1609</v>
      </c>
      <c r="C14" t="n">
        <v>18.9197501560449</v>
      </c>
      <c r="D14" t="inlineStr">
        <is>
          <t>BRA</t>
        </is>
      </c>
    </row>
    <row r="15">
      <c r="A15" t="inlineStr">
        <is>
          <t>Australia</t>
        </is>
      </c>
      <c r="B15" t="n">
        <v>1543</v>
      </c>
      <c r="C15" t="n">
        <v>22.6819899274798</v>
      </c>
      <c r="D15" t="inlineStr">
        <is>
          <t>AUS</t>
        </is>
      </c>
    </row>
    <row r="16">
      <c r="A16" t="inlineStr">
        <is>
          <t>Spain</t>
        </is>
      </c>
      <c r="B16" t="n">
        <v>1425</v>
      </c>
      <c r="C16" t="n">
        <v>21.4968014120424</v>
      </c>
      <c r="D16" t="inlineStr">
        <is>
          <t>ESP</t>
        </is>
      </c>
    </row>
    <row r="17">
      <c r="A17" t="inlineStr">
        <is>
          <t>Mexico</t>
        </is>
      </c>
      <c r="B17" t="n">
        <v>1293</v>
      </c>
      <c r="C17" t="n">
        <v>20.2173118575997</v>
      </c>
      <c r="D17" t="inlineStr">
        <is>
          <t>MEX</t>
        </is>
      </c>
    </row>
    <row r="18">
      <c r="A18" t="inlineStr">
        <is>
          <t>Indonesia</t>
        </is>
      </c>
      <c r="B18" t="n">
        <v>1186</v>
      </c>
      <c r="C18" t="n">
        <v>31.4599211451255</v>
      </c>
      <c r="D18" t="inlineStr">
        <is>
          <t>IDN</t>
        </is>
      </c>
    </row>
    <row r="19">
      <c r="A19" t="inlineStr">
        <is>
          <t>Netherlands</t>
        </is>
      </c>
      <c r="B19" t="n">
        <v>1018</v>
      </c>
      <c r="C19" t="n">
        <v>21.2049460973907</v>
      </c>
      <c r="D19" t="inlineStr">
        <is>
          <t>NLD</t>
        </is>
      </c>
    </row>
    <row r="20">
      <c r="A20" t="inlineStr">
        <is>
          <t>Saudi Arabia</t>
        </is>
      </c>
      <c r="B20" t="n">
        <v>834</v>
      </c>
    </row>
    <row r="21">
      <c r="A21" t="inlineStr">
        <is>
          <t>Turkey</t>
        </is>
      </c>
      <c r="B21" t="n">
        <v>815</v>
      </c>
    </row>
    <row r="22">
      <c r="A22" t="inlineStr">
        <is>
          <t>Switzerland</t>
        </is>
      </c>
      <c r="B22" t="n">
        <v>813</v>
      </c>
    </row>
    <row r="23">
      <c r="A23" t="inlineStr">
        <is>
          <t>Poland</t>
        </is>
      </c>
      <c r="B23" t="n">
        <v>674</v>
      </c>
    </row>
    <row r="24">
      <c r="A24" t="inlineStr">
        <is>
          <t>Taiwan</t>
        </is>
      </c>
      <c r="B24" t="n">
        <v>669</v>
      </c>
    </row>
    <row r="25">
      <c r="A25" t="inlineStr">
        <is>
          <t>Sweden</t>
        </is>
      </c>
      <c r="B25" t="n">
        <v>627</v>
      </c>
    </row>
    <row r="26">
      <c r="A26" t="inlineStr">
        <is>
          <t>Belgium</t>
        </is>
      </c>
      <c r="B26" t="n">
        <v>600</v>
      </c>
    </row>
    <row r="27">
      <c r="A27" t="inlineStr">
        <is>
          <t>Thailand</t>
        </is>
      </c>
      <c r="B27" t="n">
        <v>506</v>
      </c>
    </row>
    <row r="28">
      <c r="A28" t="inlineStr">
        <is>
          <t>Ireland</t>
        </is>
      </c>
      <c r="B28" t="n">
        <v>499</v>
      </c>
    </row>
    <row r="29">
      <c r="A29" t="inlineStr">
        <is>
          <t>Argentina</t>
        </is>
      </c>
      <c r="B29" t="n">
        <v>491</v>
      </c>
    </row>
    <row r="30">
      <c r="A30" t="inlineStr">
        <is>
          <t>Israel</t>
        </is>
      </c>
      <c r="B30" t="n">
        <v>482</v>
      </c>
    </row>
    <row r="31">
      <c r="A31" t="inlineStr">
        <is>
          <t>Norway</t>
        </is>
      </c>
      <c r="B31" t="n">
        <v>482</v>
      </c>
    </row>
    <row r="32">
      <c r="A32" t="inlineStr">
        <is>
          <t>Austria</t>
        </is>
      </c>
      <c r="B32" t="n">
        <v>477</v>
      </c>
    </row>
    <row r="33">
      <c r="A33" t="inlineStr">
        <is>
          <t>Nigeria</t>
        </is>
      </c>
      <c r="B33" t="n">
        <v>441</v>
      </c>
    </row>
    <row r="34">
      <c r="A34" t="inlineStr">
        <is>
          <t>South Africa</t>
        </is>
      </c>
      <c r="B34" t="n">
        <v>420</v>
      </c>
    </row>
    <row r="35">
      <c r="A35" t="inlineStr">
        <is>
          <t>Bangladesh</t>
        </is>
      </c>
      <c r="B35" t="n">
        <v>416</v>
      </c>
    </row>
    <row r="36">
      <c r="A36" t="inlineStr">
        <is>
          <t>Egypt</t>
        </is>
      </c>
      <c r="B36" t="n">
        <v>404</v>
      </c>
    </row>
    <row r="37">
      <c r="A37" t="inlineStr">
        <is>
          <t>Denmark</t>
        </is>
      </c>
      <c r="B37" t="n">
        <v>397</v>
      </c>
    </row>
    <row r="38">
      <c r="A38" t="inlineStr">
        <is>
          <t>Singapore</t>
        </is>
      </c>
      <c r="B38" t="n">
        <v>397</v>
      </c>
    </row>
    <row r="39">
      <c r="A39" t="inlineStr">
        <is>
          <t>Philippines</t>
        </is>
      </c>
      <c r="B39" t="n">
        <v>394</v>
      </c>
    </row>
    <row r="40">
      <c r="A40" t="inlineStr">
        <is>
          <t>Malaysia</t>
        </is>
      </c>
      <c r="B40" t="n">
        <v>373</v>
      </c>
    </row>
    <row r="41">
      <c r="A41" t="inlineStr">
        <is>
          <t>Hong Kong</t>
        </is>
      </c>
      <c r="B41" t="n">
        <v>368</v>
      </c>
    </row>
    <row r="42">
      <c r="A42" t="inlineStr">
        <is>
          <t>Vietnam</t>
        </is>
      </c>
      <c r="B42" t="n">
        <v>363</v>
      </c>
    </row>
    <row r="43">
      <c r="A43" t="inlineStr">
        <is>
          <t>United Arab Emirates</t>
        </is>
      </c>
      <c r="B43" t="n">
        <v>359</v>
      </c>
    </row>
    <row r="44">
      <c r="A44" t="inlineStr">
        <is>
          <t>Pakistan</t>
        </is>
      </c>
      <c r="B44" t="n">
        <v>346</v>
      </c>
    </row>
    <row r="45">
      <c r="A45" t="inlineStr">
        <is>
          <t>Chile</t>
        </is>
      </c>
      <c r="B45" t="n">
        <v>317</v>
      </c>
    </row>
    <row r="46">
      <c r="A46" t="inlineStr">
        <is>
          <t>Colombia</t>
        </is>
      </c>
      <c r="B46" t="n">
        <v>314</v>
      </c>
    </row>
    <row r="47">
      <c r="A47" t="inlineStr">
        <is>
          <t>Finland</t>
        </is>
      </c>
      <c r="B47" t="n">
        <v>299</v>
      </c>
    </row>
    <row r="48">
      <c r="A48" t="inlineStr">
        <is>
          <t>Romania</t>
        </is>
      </c>
      <c r="B48" t="n">
        <v>284</v>
      </c>
    </row>
    <row r="49">
      <c r="A49" t="inlineStr">
        <is>
          <t>Czech Republic</t>
        </is>
      </c>
      <c r="B49" t="n">
        <v>282</v>
      </c>
    </row>
    <row r="50">
      <c r="A50" t="inlineStr">
        <is>
          <t>Portugal</t>
        </is>
      </c>
      <c r="B50" t="n">
        <v>250</v>
      </c>
    </row>
    <row r="51">
      <c r="A51" t="inlineStr">
        <is>
          <t>New Zealand</t>
        </is>
      </c>
      <c r="B51" t="n">
        <v>250</v>
      </c>
    </row>
    <row r="52">
      <c r="A52" t="inlineStr">
        <is>
          <t>Iran</t>
        </is>
      </c>
      <c r="B52" t="n">
        <v>232</v>
      </c>
    </row>
    <row r="53">
      <c r="A53" t="inlineStr">
        <is>
          <t>Peru</t>
        </is>
      </c>
      <c r="B53" t="n">
        <v>223</v>
      </c>
    </row>
    <row r="54">
      <c r="A54" t="inlineStr">
        <is>
          <t>Greece</t>
        </is>
      </c>
      <c r="B54" t="n">
        <v>216</v>
      </c>
    </row>
    <row r="55">
      <c r="A55" t="inlineStr">
        <is>
          <t>Iraq</t>
        </is>
      </c>
      <c r="B55" t="n">
        <v>208</v>
      </c>
    </row>
    <row r="56">
      <c r="A56" t="inlineStr">
        <is>
          <t>Ukraine</t>
        </is>
      </c>
      <c r="B56" t="n">
        <v>200</v>
      </c>
    </row>
    <row r="57">
      <c r="A57" t="inlineStr">
        <is>
          <t>Kazakhstan</t>
        </is>
      </c>
      <c r="B57" t="n">
        <v>191</v>
      </c>
    </row>
    <row r="58">
      <c r="A58" t="inlineStr">
        <is>
          <t>Hungary</t>
        </is>
      </c>
      <c r="B58" t="n">
        <v>182</v>
      </c>
    </row>
    <row r="59">
      <c r="A59" t="inlineStr">
        <is>
          <t>Qatar</t>
        </is>
      </c>
      <c r="B59" t="n">
        <v>180</v>
      </c>
    </row>
    <row r="60">
      <c r="A60" t="inlineStr">
        <is>
          <t>Algeria</t>
        </is>
      </c>
      <c r="B60" t="n">
        <v>168</v>
      </c>
    </row>
    <row r="61">
      <c r="A61" t="inlineStr">
        <is>
          <t>Morocco</t>
        </is>
      </c>
      <c r="B61" t="n">
        <v>133</v>
      </c>
    </row>
    <row r="62">
      <c r="A62" t="inlineStr">
        <is>
          <t>Slovakia</t>
        </is>
      </c>
      <c r="B62" t="n">
        <v>115</v>
      </c>
    </row>
    <row r="63">
      <c r="A63" t="inlineStr">
        <is>
          <t>Ethiopia</t>
        </is>
      </c>
      <c r="B63" t="n">
        <v>111</v>
      </c>
    </row>
    <row r="64">
      <c r="A64" t="inlineStr">
        <is>
          <t>Kenya</t>
        </is>
      </c>
      <c r="B64" t="n">
        <v>110</v>
      </c>
    </row>
    <row r="65">
      <c r="A65" t="inlineStr">
        <is>
          <t>Cuba</t>
        </is>
      </c>
      <c r="B65" t="n">
        <v>107</v>
      </c>
    </row>
    <row r="66">
      <c r="A66" t="inlineStr">
        <is>
          <t>Ecuador</t>
        </is>
      </c>
      <c r="B66" t="n">
        <v>106</v>
      </c>
    </row>
    <row r="67">
      <c r="A67" t="inlineStr">
        <is>
          <t>Kuwait</t>
        </is>
      </c>
      <c r="B67" t="n">
        <v>106</v>
      </c>
    </row>
    <row r="68">
      <c r="A68" t="inlineStr">
        <is>
          <t>Venezuela</t>
        </is>
      </c>
      <c r="B68" t="n">
        <v>106</v>
      </c>
    </row>
    <row r="69">
      <c r="A69" t="inlineStr">
        <is>
          <t>Puerto Rico</t>
        </is>
      </c>
      <c r="B69" t="n">
        <v>103</v>
      </c>
    </row>
    <row r="70">
      <c r="A70" t="inlineStr">
        <is>
          <t>Dominican Republic</t>
        </is>
      </c>
      <c r="B70" t="n">
        <v>94</v>
      </c>
    </row>
    <row r="71">
      <c r="A71" t="inlineStr">
        <is>
          <t>Luxembourg</t>
        </is>
      </c>
      <c r="B71" t="n">
        <v>87</v>
      </c>
    </row>
    <row r="72">
      <c r="A72" t="inlineStr">
        <is>
          <t>Oman</t>
        </is>
      </c>
      <c r="B72" t="n">
        <v>86</v>
      </c>
    </row>
    <row r="73">
      <c r="A73" t="inlineStr">
        <is>
          <t>Guatemala</t>
        </is>
      </c>
      <c r="B73" t="n">
        <v>86</v>
      </c>
    </row>
    <row r="74">
      <c r="A74" t="inlineStr">
        <is>
          <t>Sri Lanka</t>
        </is>
      </c>
      <c r="B74" t="n">
        <v>85</v>
      </c>
    </row>
    <row r="75">
      <c r="A75" t="inlineStr">
        <is>
          <t>Bulgaria</t>
        </is>
      </c>
      <c r="B75" t="n">
        <v>80</v>
      </c>
    </row>
    <row r="76">
      <c r="A76" t="inlineStr">
        <is>
          <t>Ghana</t>
        </is>
      </c>
      <c r="B76" t="n">
        <v>78</v>
      </c>
    </row>
    <row r="77">
      <c r="A77" t="inlineStr">
        <is>
          <t>Angola</t>
        </is>
      </c>
      <c r="B77" t="n">
        <v>73</v>
      </c>
    </row>
    <row r="78">
      <c r="A78" t="inlineStr">
        <is>
          <t>Ivory Coast</t>
        </is>
      </c>
      <c r="B78" t="n">
        <v>70</v>
      </c>
    </row>
    <row r="79">
      <c r="A79" t="inlineStr">
        <is>
          <t>Uzbekistan</t>
        </is>
      </c>
      <c r="B79" t="n">
        <v>69</v>
      </c>
    </row>
    <row r="80">
      <c r="A80" t="inlineStr">
        <is>
          <t>Tanzania</t>
        </is>
      </c>
      <c r="B80" t="n">
        <v>68</v>
      </c>
    </row>
    <row r="81">
      <c r="A81" t="inlineStr">
        <is>
          <t>Belarus</t>
        </is>
      </c>
      <c r="B81" t="n">
        <v>68</v>
      </c>
    </row>
    <row r="82">
      <c r="A82" t="inlineStr">
        <is>
          <t>Croatia</t>
        </is>
      </c>
      <c r="B82" t="n">
        <v>68</v>
      </c>
    </row>
    <row r="83">
      <c r="A83" t="inlineStr">
        <is>
          <t>Lithuania</t>
        </is>
      </c>
      <c r="B83" t="n">
        <v>66</v>
      </c>
    </row>
    <row r="84">
      <c r="A84" t="inlineStr">
        <is>
          <t>Myanmar</t>
        </is>
      </c>
      <c r="B84" t="n">
        <v>65</v>
      </c>
    </row>
    <row r="85">
      <c r="A85" t="inlineStr">
        <is>
          <t>Syria</t>
        </is>
      </c>
      <c r="B85" t="n">
        <v>65</v>
      </c>
    </row>
    <row r="86">
      <c r="A86" t="inlineStr">
        <is>
          <t>Panama</t>
        </is>
      </c>
      <c r="B86" t="n">
        <v>64</v>
      </c>
    </row>
    <row r="87">
      <c r="A87" t="inlineStr">
        <is>
          <t>Costa Rica</t>
        </is>
      </c>
      <c r="B87" t="n">
        <v>64</v>
      </c>
    </row>
    <row r="88">
      <c r="A88" t="inlineStr">
        <is>
          <t>Serbia</t>
        </is>
      </c>
      <c r="B88" t="n">
        <v>63</v>
      </c>
    </row>
    <row r="89">
      <c r="A89" t="inlineStr">
        <is>
          <t>Slovenia</t>
        </is>
      </c>
      <c r="B89" t="n">
        <v>62</v>
      </c>
    </row>
    <row r="90">
      <c r="A90" t="inlineStr">
        <is>
          <t>Uruguay</t>
        </is>
      </c>
      <c r="B90" t="n">
        <v>59</v>
      </c>
    </row>
    <row r="91">
      <c r="A91" t="inlineStr">
        <is>
          <t>Azerbaijan</t>
        </is>
      </c>
      <c r="B91" t="n">
        <v>55</v>
      </c>
    </row>
    <row r="92">
      <c r="A92" t="inlineStr">
        <is>
          <t>Congo</t>
        </is>
      </c>
      <c r="B92" t="n">
        <v>54</v>
      </c>
    </row>
    <row r="93">
      <c r="A93" t="inlineStr">
        <is>
          <t>Tunisia</t>
        </is>
      </c>
      <c r="B93" t="n">
        <v>47</v>
      </c>
    </row>
    <row r="94">
      <c r="A94" t="inlineStr">
        <is>
          <t>Turkmenistan</t>
        </is>
      </c>
      <c r="B94" t="n">
        <v>45</v>
      </c>
    </row>
    <row r="95">
      <c r="A95" t="inlineStr">
        <is>
          <t>Cameroon</t>
        </is>
      </c>
      <c r="B95" t="n">
        <v>45</v>
      </c>
    </row>
    <row r="96">
      <c r="A96" t="inlineStr">
        <is>
          <t>Jordan</t>
        </is>
      </c>
      <c r="B96" t="n">
        <v>45</v>
      </c>
    </row>
    <row r="97">
      <c r="A97" t="inlineStr">
        <is>
          <t>Libya</t>
        </is>
      </c>
      <c r="B97" t="n">
        <v>42</v>
      </c>
    </row>
    <row r="98">
      <c r="A98" t="inlineStr">
        <is>
          <t>Bolivia</t>
        </is>
      </c>
      <c r="B98" t="n">
        <v>40</v>
      </c>
    </row>
    <row r="99">
      <c r="A99" t="inlineStr">
        <is>
          <t>Uganda</t>
        </is>
      </c>
      <c r="B99" t="n">
        <v>40</v>
      </c>
    </row>
    <row r="100">
      <c r="A100" t="inlineStr">
        <is>
          <t>Bahrain</t>
        </is>
      </c>
      <c r="B100" t="n">
        <v>39</v>
      </c>
    </row>
    <row r="101">
      <c r="A101" t="inlineStr">
        <is>
          <t>Latvia</t>
        </is>
      </c>
      <c r="B101" t="n">
        <v>39</v>
      </c>
    </row>
    <row r="102">
      <c r="A102" t="inlineStr">
        <is>
          <t>Paraguay</t>
        </is>
      </c>
      <c r="B102" t="n">
        <v>39</v>
      </c>
    </row>
    <row r="103">
      <c r="A103" t="inlineStr">
        <is>
          <t>Nepal</t>
        </is>
      </c>
      <c r="B103" t="n">
        <v>36</v>
      </c>
    </row>
    <row r="104">
      <c r="A104" t="inlineStr">
        <is>
          <t>Estonia</t>
        </is>
      </c>
      <c r="B104" t="n">
        <v>36</v>
      </c>
    </row>
    <row r="105">
      <c r="A105" t="inlineStr">
        <is>
          <t>Sudan</t>
        </is>
      </c>
      <c r="B105" t="n">
        <v>34</v>
      </c>
    </row>
    <row r="106">
      <c r="A106" t="inlineStr">
        <is>
          <t>Macau</t>
        </is>
      </c>
      <c r="B106" t="n">
        <v>30</v>
      </c>
    </row>
    <row r="107">
      <c r="A107" t="inlineStr">
        <is>
          <t>El Salvador</t>
        </is>
      </c>
      <c r="B107" t="n">
        <v>29</v>
      </c>
    </row>
    <row r="108">
      <c r="A108" t="inlineStr">
        <is>
          <t>Cyprus</t>
        </is>
      </c>
      <c r="B108" t="n">
        <v>28</v>
      </c>
    </row>
    <row r="109">
      <c r="A109" t="inlineStr">
        <is>
          <t>Honduras</t>
        </is>
      </c>
      <c r="B109" t="n">
        <v>28</v>
      </c>
    </row>
    <row r="110">
      <c r="A110" t="inlineStr">
        <is>
          <t>Senegal</t>
        </is>
      </c>
      <c r="B110" t="n">
        <v>28</v>
      </c>
    </row>
    <row r="111">
      <c r="A111" t="inlineStr">
        <is>
          <t>Papua New Guinea</t>
        </is>
      </c>
      <c r="B111" t="n">
        <v>27</v>
      </c>
    </row>
    <row r="112">
      <c r="A112" t="inlineStr">
        <is>
          <t>Cambodia</t>
        </is>
      </c>
      <c r="B112" t="n">
        <v>27</v>
      </c>
    </row>
    <row r="113">
      <c r="A113" t="inlineStr">
        <is>
          <t>Zimbabwe</t>
        </is>
      </c>
      <c r="B113" t="n">
        <v>26</v>
      </c>
    </row>
    <row r="114">
      <c r="A114" t="inlineStr">
        <is>
          <t>Iceland</t>
        </is>
      </c>
      <c r="B114" t="n">
        <v>25</v>
      </c>
    </row>
    <row r="115">
      <c r="A115" t="inlineStr">
        <is>
          <t>Bosniaand Herzegovina</t>
        </is>
      </c>
      <c r="B115" t="n">
        <v>23</v>
      </c>
    </row>
    <row r="116">
      <c r="A116" t="inlineStr">
        <is>
          <t>Haiti</t>
        </is>
      </c>
      <c r="B116" t="n">
        <v>21</v>
      </c>
    </row>
    <row r="117">
      <c r="A117" t="inlineStr">
        <is>
          <t>Yemen</t>
        </is>
      </c>
      <c r="B117" t="n">
        <v>21</v>
      </c>
    </row>
    <row r="118">
      <c r="A118" t="inlineStr">
        <is>
          <t>Zambia</t>
        </is>
      </c>
      <c r="B118" t="n">
        <v>21</v>
      </c>
    </row>
    <row r="119">
      <c r="A119" t="inlineStr">
        <is>
          <t>Trinidadand Tobago</t>
        </is>
      </c>
      <c r="B119" t="n">
        <v>21</v>
      </c>
    </row>
    <row r="120">
      <c r="A120" t="inlineStr">
        <is>
          <t>Afghanistan</t>
        </is>
      </c>
      <c r="B120" t="n">
        <v>20</v>
      </c>
    </row>
    <row r="121">
      <c r="A121" t="inlineStr">
        <is>
          <t>Burkina Faso</t>
        </is>
      </c>
      <c r="B121" t="n">
        <v>20</v>
      </c>
    </row>
    <row r="122">
      <c r="A122" t="inlineStr">
        <is>
          <t>Georgia</t>
        </is>
      </c>
      <c r="B122" t="n">
        <v>19</v>
      </c>
    </row>
    <row r="123">
      <c r="A123" t="inlineStr">
        <is>
          <t>Laos</t>
        </is>
      </c>
      <c r="B123" t="n">
        <v>19</v>
      </c>
    </row>
    <row r="124">
      <c r="A124" t="inlineStr">
        <is>
          <t>Mali</t>
        </is>
      </c>
      <c r="B124" t="n">
        <v>19</v>
      </c>
    </row>
    <row r="125">
      <c r="A125" t="inlineStr">
        <is>
          <t>Lebanon</t>
        </is>
      </c>
      <c r="B125" t="n">
        <v>18</v>
      </c>
    </row>
    <row r="126">
      <c r="A126" t="inlineStr">
        <is>
          <t>Gabon</t>
        </is>
      </c>
      <c r="B126" t="n">
        <v>18</v>
      </c>
    </row>
    <row r="127">
      <c r="A127" t="inlineStr">
        <is>
          <t>Albania</t>
        </is>
      </c>
      <c r="B127" t="n">
        <v>18</v>
      </c>
    </row>
    <row r="128">
      <c r="A128" t="inlineStr">
        <is>
          <t>Botswana</t>
        </is>
      </c>
      <c r="B128" t="n">
        <v>18</v>
      </c>
    </row>
    <row r="129">
      <c r="A129" t="inlineStr">
        <is>
          <t>Benin</t>
        </is>
      </c>
      <c r="B129" t="n">
        <v>18</v>
      </c>
    </row>
    <row r="130">
      <c r="A130" t="inlineStr">
        <is>
          <t>Malta</t>
        </is>
      </c>
      <c r="B130" t="n">
        <v>17</v>
      </c>
    </row>
    <row r="131">
      <c r="A131" t="inlineStr">
        <is>
          <t>Palestine</t>
        </is>
      </c>
      <c r="B131" t="n">
        <v>16</v>
      </c>
    </row>
    <row r="132">
      <c r="A132" t="inlineStr">
        <is>
          <t>Mozambique</t>
        </is>
      </c>
      <c r="B132" t="n">
        <v>16</v>
      </c>
    </row>
    <row r="133">
      <c r="A133" t="inlineStr">
        <is>
          <t>Guinea</t>
        </is>
      </c>
      <c r="B133" t="n">
        <v>16</v>
      </c>
    </row>
    <row r="134">
      <c r="A134" t="inlineStr">
        <is>
          <t>Mongolia</t>
        </is>
      </c>
      <c r="B134" t="n">
        <v>15</v>
      </c>
    </row>
    <row r="135">
      <c r="A135" t="inlineStr">
        <is>
          <t>Niger</t>
        </is>
      </c>
      <c r="B135" t="n">
        <v>15</v>
      </c>
    </row>
    <row r="136">
      <c r="A136" t="inlineStr">
        <is>
          <t>Madagascar</t>
        </is>
      </c>
      <c r="B136" t="n">
        <v>15</v>
      </c>
    </row>
    <row r="137">
      <c r="A137" t="inlineStr">
        <is>
          <t>Macedonia</t>
        </is>
      </c>
      <c r="B137" t="n">
        <v>14</v>
      </c>
    </row>
    <row r="138">
      <c r="A138" t="inlineStr">
        <is>
          <t>Jamaica</t>
        </is>
      </c>
      <c r="B138" t="n">
        <v>14</v>
      </c>
    </row>
    <row r="139">
      <c r="A139" t="inlineStr">
        <is>
          <t>Nicaragua</t>
        </is>
      </c>
      <c r="B139" t="n">
        <v>14</v>
      </c>
    </row>
    <row r="140">
      <c r="A140" t="inlineStr">
        <is>
          <t>Moldova</t>
        </is>
      </c>
      <c r="B140" t="n">
        <v>14</v>
      </c>
    </row>
    <row r="141">
      <c r="A141" t="inlineStr">
        <is>
          <t>Armenia</t>
        </is>
      </c>
      <c r="B141" t="n">
        <v>14</v>
      </c>
    </row>
    <row r="142">
      <c r="A142" t="inlineStr">
        <is>
          <t>Brunei</t>
        </is>
      </c>
      <c r="B142" t="n">
        <v>14</v>
      </c>
    </row>
    <row r="143">
      <c r="A143" t="inlineStr">
        <is>
          <t>Republicofthe Congo</t>
        </is>
      </c>
      <c r="B143" t="n">
        <v>13</v>
      </c>
    </row>
    <row r="144">
      <c r="A144" t="inlineStr">
        <is>
          <t>Malawi</t>
        </is>
      </c>
      <c r="B144" t="n">
        <v>13</v>
      </c>
    </row>
    <row r="145">
      <c r="A145" t="inlineStr">
        <is>
          <t>Namibia</t>
        </is>
      </c>
      <c r="B145" t="n">
        <v>12</v>
      </c>
    </row>
    <row r="146">
      <c r="A146" t="inlineStr">
        <is>
          <t>Chad</t>
        </is>
      </c>
      <c r="B146" t="n">
        <v>12</v>
      </c>
    </row>
    <row r="147">
      <c r="A147" t="inlineStr">
        <is>
          <t>Equatorial Guinea</t>
        </is>
      </c>
      <c r="B147" t="n">
        <v>12</v>
      </c>
    </row>
    <row r="148">
      <c r="A148" t="inlineStr">
        <is>
          <t>Bahamas</t>
        </is>
      </c>
      <c r="B148" t="n">
        <v>11</v>
      </c>
    </row>
    <row r="149">
      <c r="A149" t="inlineStr">
        <is>
          <t>Rwanda</t>
        </is>
      </c>
      <c r="B149" t="n">
        <v>11</v>
      </c>
    </row>
    <row r="150">
      <c r="A150" t="inlineStr">
        <is>
          <t>Mauritius</t>
        </is>
      </c>
      <c r="B150" t="n">
        <v>11</v>
      </c>
    </row>
    <row r="151">
      <c r="A151" t="inlineStr">
        <is>
          <t>Kyrgyzstan</t>
        </is>
      </c>
      <c r="B151" t="n">
        <v>9</v>
      </c>
    </row>
    <row r="152">
      <c r="A152" t="inlineStr">
        <is>
          <t>Kosovo</t>
        </is>
      </c>
      <c r="B152" t="n">
        <v>9</v>
      </c>
    </row>
    <row r="153">
      <c r="A153" t="inlineStr">
        <is>
          <t>New Caledonia</t>
        </is>
      </c>
      <c r="B153" t="n">
        <v>9</v>
      </c>
    </row>
    <row r="154">
      <c r="A154" t="inlineStr">
        <is>
          <t>Tajikistan</t>
        </is>
      </c>
      <c r="B154" t="n">
        <v>9</v>
      </c>
    </row>
    <row r="155">
      <c r="A155" t="inlineStr">
        <is>
          <t>Togo</t>
        </is>
      </c>
      <c r="B155" t="n">
        <v>8</v>
      </c>
    </row>
    <row r="156">
      <c r="A156" t="inlineStr">
        <is>
          <t>Mauritania</t>
        </is>
      </c>
      <c r="B156" t="n">
        <v>8</v>
      </c>
    </row>
    <row r="157">
      <c r="A157" t="inlineStr">
        <is>
          <t>Monaco</t>
        </is>
      </c>
      <c r="B157" t="n">
        <v>7</v>
      </c>
    </row>
    <row r="158">
      <c r="A158" t="inlineStr">
        <is>
          <t>Guyana</t>
        </is>
      </c>
      <c r="B158" t="n">
        <v>7</v>
      </c>
    </row>
    <row r="159">
      <c r="A159" t="inlineStr">
        <is>
          <t>Somalia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Montenegro</t>
        </is>
      </c>
      <c r="B161" t="n">
        <v>6</v>
      </c>
    </row>
    <row r="162">
      <c r="A162" t="inlineStr">
        <is>
          <t>Liechtenstein</t>
        </is>
      </c>
      <c r="B162" t="n">
        <v>6</v>
      </c>
    </row>
    <row r="163">
      <c r="A163" t="inlineStr">
        <is>
          <t>Maldives</t>
        </is>
      </c>
      <c r="B163" t="n">
        <v>5</v>
      </c>
    </row>
    <row r="164">
      <c r="A164" t="inlineStr">
        <is>
          <t>Fiji</t>
        </is>
      </c>
      <c r="B164" t="n">
        <v>5</v>
      </c>
    </row>
    <row r="165">
      <c r="A165" t="inlineStr">
        <is>
          <t>Swaziland</t>
        </is>
      </c>
      <c r="B165" t="n">
        <v>5</v>
      </c>
    </row>
    <row r="166">
      <c r="A166" t="inlineStr">
        <is>
          <t>Sierra Leone</t>
        </is>
      </c>
      <c r="B166" t="n">
        <v>4</v>
      </c>
    </row>
    <row r="167">
      <c r="A167" t="inlineStr">
        <is>
          <t>Suriname</t>
        </is>
      </c>
      <c r="B167" t="n">
        <v>3</v>
      </c>
    </row>
    <row r="168">
      <c r="A168" t="inlineStr">
        <is>
          <t>Djibouti</t>
        </is>
      </c>
      <c r="B168" t="n">
        <v>3</v>
      </c>
    </row>
    <row r="169">
      <c r="A169" t="inlineStr">
        <is>
          <t>Central African Republic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Lesotho</t>
        </is>
      </c>
      <c r="B171" t="n">
        <v>3</v>
      </c>
    </row>
    <row r="172">
      <c r="A172" t="inlineStr">
        <is>
          <t>Liberia</t>
        </is>
      </c>
      <c r="B172" t="n">
        <v>3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Bhutan</t>
        </is>
      </c>
      <c r="B174" t="n">
        <v>2</v>
      </c>
    </row>
    <row r="175">
      <c r="A175" t="inlineStr">
        <is>
          <t>East Timor</t>
        </is>
      </c>
      <c r="B175" t="n">
        <v>2</v>
      </c>
    </row>
    <row r="176">
      <c r="A176" t="inlineStr">
        <is>
          <t>Eritrea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2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Sao Tomeand Principe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Seychelles</t>
        </is>
      </c>
      <c r="B182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6"/>
    <outlinePr summaryBelow="1" summaryRight="1"/>
    <pageSetUpPr/>
  </sheetPr>
  <dimension ref="A1:C380"/>
  <sheetViews>
    <sheetView zoomScale="120" zoomScaleNormal="120" workbookViewId="0">
      <pane ySplit="1" topLeftCell="A349" activePane="bottomLeft" state="frozen"/>
      <selection activeCell="P16" sqref="P16"/>
      <selection pane="bottomLeft" activeCell="G392" sqref="G392"/>
    </sheetView>
  </sheetViews>
  <sheetFormatPr baseColWidth="10" defaultRowHeight="15"/>
  <cols>
    <col width="20.1640625" customWidth="1" style="81" min="1" max="1"/>
    <col width="19.6640625" customWidth="1" style="8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7" t="n">
        <v>122</v>
      </c>
      <c r="B2" t="n">
        <v>48.1</v>
      </c>
      <c r="C2" t="n">
        <v>0.006999999999999999</v>
      </c>
    </row>
    <row r="3">
      <c r="A3" s="107" t="n">
        <v>153</v>
      </c>
      <c r="B3" t="n">
        <v>51.7</v>
      </c>
      <c r="C3" t="n">
        <v>0.039</v>
      </c>
    </row>
    <row r="4">
      <c r="A4" s="107" t="n">
        <v>32963</v>
      </c>
      <c r="C4" t="n">
        <v>0.05</v>
      </c>
    </row>
    <row r="5">
      <c r="A5" s="107" t="n">
        <v>32993</v>
      </c>
      <c r="C5" t="n">
        <v>0.008</v>
      </c>
    </row>
    <row r="6">
      <c r="A6" s="107" t="n">
        <v>33024</v>
      </c>
      <c r="C6" t="n">
        <v>0.017</v>
      </c>
    </row>
    <row r="7">
      <c r="A7" s="107" t="n">
        <v>33054</v>
      </c>
      <c r="C7" t="n">
        <v>0.033</v>
      </c>
    </row>
    <row r="8">
      <c r="A8" s="107" t="n">
        <v>33085</v>
      </c>
      <c r="C8" t="n">
        <v>0.05</v>
      </c>
    </row>
    <row r="9">
      <c r="A9" s="107" t="n">
        <v>33116</v>
      </c>
      <c r="C9" t="n">
        <v>0.025</v>
      </c>
    </row>
    <row r="10">
      <c r="A10" s="107" t="n">
        <v>33146</v>
      </c>
      <c r="C10" t="n">
        <v>0.042</v>
      </c>
    </row>
    <row r="11">
      <c r="A11" s="107" t="n">
        <v>33177</v>
      </c>
      <c r="C11" t="n">
        <v>0.067</v>
      </c>
    </row>
    <row r="12">
      <c r="A12" s="107" t="n">
        <v>33207</v>
      </c>
      <c r="C12" t="n">
        <v>0.109</v>
      </c>
    </row>
    <row r="13">
      <c r="A13" s="107" t="n">
        <v>33238</v>
      </c>
      <c r="C13" t="n">
        <v>0.126</v>
      </c>
    </row>
    <row r="14">
      <c r="A14" s="107" t="n">
        <v>33269</v>
      </c>
      <c r="C14" t="n">
        <v>0.126</v>
      </c>
    </row>
    <row r="15">
      <c r="A15" s="107" t="n">
        <v>33297</v>
      </c>
      <c r="C15" t="n">
        <v>0.235</v>
      </c>
    </row>
    <row r="16">
      <c r="A16" s="107" t="n">
        <v>33328</v>
      </c>
      <c r="C16" t="n">
        <v>0.092</v>
      </c>
    </row>
    <row r="17">
      <c r="A17" s="107" t="n">
        <v>33358</v>
      </c>
      <c r="C17" t="n">
        <v>0.109</v>
      </c>
    </row>
    <row r="18">
      <c r="A18" s="107" t="n">
        <v>33389</v>
      </c>
      <c r="C18" t="n">
        <v>0.109</v>
      </c>
    </row>
    <row r="19">
      <c r="A19" s="107" t="n">
        <v>33419</v>
      </c>
      <c r="C19" t="n">
        <v>0.109</v>
      </c>
    </row>
    <row r="20">
      <c r="A20" s="107" t="n">
        <v>33450</v>
      </c>
      <c r="C20" t="n">
        <v>0.092</v>
      </c>
    </row>
    <row r="21">
      <c r="A21" s="107" t="n">
        <v>33481</v>
      </c>
      <c r="C21" t="n">
        <v>0.109</v>
      </c>
    </row>
    <row r="22">
      <c r="A22" s="107" t="n">
        <v>33511</v>
      </c>
      <c r="C22" t="n">
        <v>0.118</v>
      </c>
    </row>
    <row r="23">
      <c r="A23" s="107" t="n">
        <v>33542</v>
      </c>
      <c r="C23" t="n">
        <v>0.126</v>
      </c>
    </row>
    <row r="24">
      <c r="A24" s="107" t="n">
        <v>33572</v>
      </c>
      <c r="C24" t="n">
        <v>0.118</v>
      </c>
    </row>
    <row r="25">
      <c r="A25" s="107" t="n">
        <v>33603</v>
      </c>
      <c r="C25" t="n">
        <v>0.076</v>
      </c>
    </row>
    <row r="26">
      <c r="A26" s="107" t="n">
        <v>33634</v>
      </c>
      <c r="C26" t="n">
        <v>0.05</v>
      </c>
    </row>
    <row r="27">
      <c r="A27" s="107" t="n">
        <v>33663</v>
      </c>
      <c r="C27" t="n">
        <v>0.109</v>
      </c>
    </row>
    <row r="28">
      <c r="A28" s="107" t="n">
        <v>33694</v>
      </c>
      <c r="C28" t="n">
        <v>0.185</v>
      </c>
    </row>
    <row r="29">
      <c r="A29" s="107" t="n">
        <v>33724</v>
      </c>
      <c r="C29" t="n">
        <v>0.168</v>
      </c>
    </row>
    <row r="30">
      <c r="A30" s="107" t="n">
        <v>33755</v>
      </c>
      <c r="C30" t="n">
        <v>0.151</v>
      </c>
    </row>
    <row r="31">
      <c r="A31" s="107" t="n">
        <v>33785</v>
      </c>
      <c r="C31" t="n">
        <v>0.143</v>
      </c>
    </row>
    <row r="32">
      <c r="A32" s="107" t="n">
        <v>33816</v>
      </c>
      <c r="C32" t="n">
        <v>0.168</v>
      </c>
    </row>
    <row r="33">
      <c r="A33" s="107" t="n">
        <v>33847</v>
      </c>
      <c r="C33" t="n">
        <v>0.193</v>
      </c>
    </row>
    <row r="34">
      <c r="A34" s="107" t="n">
        <v>33877</v>
      </c>
      <c r="C34" t="n">
        <v>0.176</v>
      </c>
    </row>
    <row r="35">
      <c r="A35" s="107" t="n">
        <v>33908</v>
      </c>
      <c r="C35" t="n">
        <v>0.176</v>
      </c>
    </row>
    <row r="36">
      <c r="A36" s="107" t="n">
        <v>33938</v>
      </c>
      <c r="C36" t="n">
        <v>0.185</v>
      </c>
    </row>
    <row r="37">
      <c r="A37" s="107" t="n">
        <v>33969</v>
      </c>
      <c r="C37" t="n">
        <v>0.218</v>
      </c>
    </row>
    <row r="38">
      <c r="A38" s="107" t="n">
        <v>34000</v>
      </c>
      <c r="C38" t="n">
        <v>0.269</v>
      </c>
    </row>
    <row r="39">
      <c r="A39" s="107" t="n">
        <v>34028</v>
      </c>
      <c r="C39" t="n">
        <v>0.08400000000000001</v>
      </c>
    </row>
    <row r="40">
      <c r="A40" s="107" t="n">
        <v>34059</v>
      </c>
      <c r="C40" t="n">
        <v>0.277</v>
      </c>
    </row>
    <row r="41">
      <c r="A41" s="107" t="n">
        <v>34089</v>
      </c>
      <c r="C41" t="n">
        <v>0.218</v>
      </c>
    </row>
    <row r="42">
      <c r="A42" s="107" t="n">
        <v>34120</v>
      </c>
      <c r="C42" t="n">
        <v>0.21</v>
      </c>
    </row>
    <row r="43">
      <c r="A43" s="107" t="n">
        <v>34150</v>
      </c>
      <c r="C43" t="n">
        <v>0.227</v>
      </c>
    </row>
    <row r="44">
      <c r="A44" s="107" t="n">
        <v>34181</v>
      </c>
      <c r="C44" t="n">
        <v>0.252</v>
      </c>
    </row>
    <row r="45">
      <c r="A45" s="107" t="n">
        <v>34212</v>
      </c>
      <c r="C45" t="n">
        <v>0.21</v>
      </c>
    </row>
    <row r="46">
      <c r="A46" s="107" t="n">
        <v>34242</v>
      </c>
      <c r="C46" t="n">
        <v>0.193</v>
      </c>
    </row>
    <row r="47">
      <c r="A47" s="107" t="n">
        <v>34273</v>
      </c>
      <c r="C47" t="n">
        <v>0.16</v>
      </c>
    </row>
    <row r="48">
      <c r="A48" s="107" t="n">
        <v>34303</v>
      </c>
      <c r="C48" t="n">
        <v>0.134</v>
      </c>
    </row>
    <row r="49">
      <c r="A49" s="107" t="n">
        <v>34334</v>
      </c>
      <c r="C49" t="n">
        <v>0.16</v>
      </c>
    </row>
    <row r="50">
      <c r="A50" s="107" t="n">
        <v>34365</v>
      </c>
      <c r="C50" t="n">
        <v>0.252</v>
      </c>
    </row>
    <row r="51">
      <c r="A51" s="107" t="n">
        <v>34393</v>
      </c>
      <c r="C51" t="n">
        <v>0.277</v>
      </c>
    </row>
    <row r="52">
      <c r="A52" s="107" t="n">
        <v>34424</v>
      </c>
      <c r="C52" t="n">
        <v>0.034</v>
      </c>
    </row>
    <row r="53">
      <c r="A53" s="107" t="n">
        <v>34454</v>
      </c>
      <c r="C53" t="n">
        <v>0.16</v>
      </c>
    </row>
    <row r="54">
      <c r="A54" s="107" t="n">
        <v>34485</v>
      </c>
      <c r="C54" t="n">
        <v>0.168</v>
      </c>
    </row>
    <row r="55">
      <c r="A55" s="107" t="n">
        <v>34515</v>
      </c>
      <c r="C55" t="n">
        <v>0.176</v>
      </c>
    </row>
    <row r="56">
      <c r="A56" s="107" t="n">
        <v>34546</v>
      </c>
      <c r="C56" t="n">
        <v>0.151</v>
      </c>
    </row>
    <row r="57">
      <c r="A57" s="107" t="n">
        <v>34577</v>
      </c>
      <c r="C57" t="n">
        <v>0.151</v>
      </c>
    </row>
    <row r="58">
      <c r="A58" s="107" t="n">
        <v>34607</v>
      </c>
      <c r="C58" t="n">
        <v>0.294</v>
      </c>
    </row>
    <row r="59">
      <c r="A59" s="107" t="n">
        <v>34638</v>
      </c>
      <c r="C59" t="n">
        <v>0.218</v>
      </c>
    </row>
    <row r="60">
      <c r="A60" s="107" t="n">
        <v>34668</v>
      </c>
      <c r="C60" t="n">
        <v>0.244</v>
      </c>
    </row>
    <row r="61">
      <c r="A61" s="107" t="n">
        <v>34699</v>
      </c>
      <c r="C61" t="n">
        <v>0.235</v>
      </c>
    </row>
    <row r="62">
      <c r="A62" s="107" t="n">
        <v>34730</v>
      </c>
      <c r="C62" t="n">
        <v>0.185</v>
      </c>
    </row>
    <row r="63">
      <c r="A63" s="107" t="n">
        <v>34758</v>
      </c>
      <c r="C63" t="n">
        <v>0.114</v>
      </c>
    </row>
    <row r="64">
      <c r="A64" s="107" t="n">
        <v>34789</v>
      </c>
      <c r="C64" t="n">
        <v>0.155</v>
      </c>
    </row>
    <row r="65">
      <c r="A65" s="107" t="n">
        <v>34819</v>
      </c>
      <c r="C65" t="n">
        <v>0.164</v>
      </c>
    </row>
    <row r="66">
      <c r="A66" s="107" t="n">
        <v>34850</v>
      </c>
      <c r="C66" t="n">
        <v>0.154</v>
      </c>
    </row>
    <row r="67">
      <c r="A67" s="107" t="n">
        <v>34880</v>
      </c>
      <c r="C67" t="n">
        <v>0.131</v>
      </c>
    </row>
    <row r="68">
      <c r="A68" s="107" t="n">
        <v>34911</v>
      </c>
      <c r="C68" t="n">
        <v>0.139</v>
      </c>
    </row>
    <row r="69">
      <c r="A69" s="107" t="n">
        <v>34942</v>
      </c>
      <c r="C69" t="n">
        <v>0.136</v>
      </c>
    </row>
    <row r="70">
      <c r="A70" s="107" t="n">
        <v>34972</v>
      </c>
      <c r="C70" t="n">
        <v>0.118</v>
      </c>
    </row>
    <row r="71">
      <c r="A71" s="107" t="n">
        <v>35003</v>
      </c>
      <c r="C71" t="n">
        <v>0.114</v>
      </c>
    </row>
    <row r="72">
      <c r="A72" s="107" t="n">
        <v>35033</v>
      </c>
      <c r="C72" t="n">
        <v>0.129</v>
      </c>
    </row>
    <row r="73">
      <c r="A73" s="107" t="n">
        <v>35064</v>
      </c>
      <c r="C73" t="n">
        <v>0.121</v>
      </c>
    </row>
    <row r="74">
      <c r="A74" s="107" t="n">
        <v>35095</v>
      </c>
      <c r="C74" t="n">
        <v>0.149</v>
      </c>
    </row>
    <row r="75">
      <c r="A75" s="107" t="n">
        <v>35124</v>
      </c>
      <c r="C75" t="n">
        <v>0.169</v>
      </c>
    </row>
    <row r="76">
      <c r="A76" s="107" t="n">
        <v>35155</v>
      </c>
      <c r="C76" t="n">
        <v>0.122</v>
      </c>
    </row>
    <row r="77">
      <c r="A77" s="107" t="n">
        <v>35185</v>
      </c>
      <c r="C77" t="n">
        <v>0.122</v>
      </c>
    </row>
    <row r="78">
      <c r="A78" s="107" t="n">
        <v>35216</v>
      </c>
      <c r="C78" t="n">
        <v>0.137</v>
      </c>
    </row>
    <row r="79">
      <c r="A79" s="107" t="n">
        <v>35246</v>
      </c>
      <c r="C79" t="n">
        <v>0.131</v>
      </c>
    </row>
    <row r="80">
      <c r="A80" s="107" t="n">
        <v>35277</v>
      </c>
      <c r="C80" t="n">
        <v>0.138</v>
      </c>
    </row>
    <row r="81">
      <c r="A81" s="107" t="n">
        <v>35308</v>
      </c>
      <c r="C81" t="n">
        <v>0.122</v>
      </c>
    </row>
    <row r="82">
      <c r="A82" s="107" t="n">
        <v>35338</v>
      </c>
      <c r="C82" t="n">
        <v>0.106</v>
      </c>
    </row>
    <row r="83">
      <c r="A83" s="107" t="n">
        <v>35369</v>
      </c>
      <c r="C83" t="n">
        <v>0.137</v>
      </c>
    </row>
    <row r="84">
      <c r="A84" s="107" t="n">
        <v>35399</v>
      </c>
      <c r="C84" t="n">
        <v>0.133</v>
      </c>
    </row>
    <row r="85">
      <c r="A85" s="107" t="n">
        <v>35430</v>
      </c>
      <c r="C85" t="n">
        <v>0.134</v>
      </c>
    </row>
    <row r="86">
      <c r="A86" s="107" t="n">
        <v>35461</v>
      </c>
      <c r="C86" t="n">
        <v>0.14</v>
      </c>
    </row>
    <row r="87">
      <c r="A87" s="107" t="n">
        <v>35489</v>
      </c>
      <c r="C87" t="n">
        <v>0.103</v>
      </c>
    </row>
    <row r="88">
      <c r="A88" s="107" t="n">
        <v>35520</v>
      </c>
      <c r="C88" t="n">
        <v>0.104</v>
      </c>
    </row>
    <row r="89">
      <c r="A89" s="107" t="n">
        <v>35550</v>
      </c>
      <c r="C89" t="n">
        <v>0.135</v>
      </c>
    </row>
    <row r="90">
      <c r="A90" s="107" t="n">
        <v>35581</v>
      </c>
      <c r="C90" t="n">
        <v>0.119</v>
      </c>
    </row>
    <row r="91">
      <c r="A91" s="107" t="n">
        <v>35611</v>
      </c>
      <c r="C91" t="n">
        <v>0.119</v>
      </c>
    </row>
    <row r="92">
      <c r="A92" s="107" t="n">
        <v>35642</v>
      </c>
      <c r="C92" t="n">
        <v>0.121</v>
      </c>
    </row>
    <row r="93">
      <c r="A93" s="107" t="n">
        <v>35673</v>
      </c>
      <c r="C93" t="n">
        <v>0.08400000000000001</v>
      </c>
    </row>
    <row r="94">
      <c r="A94" s="107" t="n">
        <v>35703</v>
      </c>
      <c r="C94" t="n">
        <v>0.109</v>
      </c>
    </row>
    <row r="95">
      <c r="A95" s="107" t="n">
        <v>35734</v>
      </c>
      <c r="C95" t="n">
        <v>0.111</v>
      </c>
    </row>
    <row r="96">
      <c r="A96" s="107" t="n">
        <v>35764</v>
      </c>
      <c r="C96" t="n">
        <v>0.118</v>
      </c>
    </row>
    <row r="97">
      <c r="A97" s="107" t="n">
        <v>35795</v>
      </c>
      <c r="C97" t="n">
        <v>0.116</v>
      </c>
    </row>
    <row r="98">
      <c r="A98" s="107" t="n">
        <v>35826</v>
      </c>
      <c r="C98" t="n">
        <v>0.092</v>
      </c>
    </row>
    <row r="99">
      <c r="A99" s="107" t="n">
        <v>35854</v>
      </c>
      <c r="C99" t="n">
        <v>0.018</v>
      </c>
    </row>
    <row r="100">
      <c r="A100" s="107" t="n">
        <v>35885</v>
      </c>
      <c r="C100" t="n">
        <v>0.095</v>
      </c>
    </row>
    <row r="101">
      <c r="A101" s="107" t="n">
        <v>35915</v>
      </c>
      <c r="C101" t="n">
        <v>0.09</v>
      </c>
    </row>
    <row r="102">
      <c r="A102" s="107" t="n">
        <v>35946</v>
      </c>
      <c r="C102" t="n">
        <v>0.07199999999999999</v>
      </c>
    </row>
    <row r="103">
      <c r="A103" s="107" t="n">
        <v>35976</v>
      </c>
      <c r="C103" t="n">
        <v>0.08</v>
      </c>
    </row>
    <row r="104">
      <c r="A104" s="107" t="n">
        <v>36007</v>
      </c>
      <c r="C104" t="n">
        <v>0.079</v>
      </c>
    </row>
    <row r="105">
      <c r="A105" s="107" t="n">
        <v>36038</v>
      </c>
      <c r="C105" t="n">
        <v>0.076</v>
      </c>
    </row>
    <row r="106">
      <c r="A106" s="107" t="n">
        <v>36068</v>
      </c>
      <c r="C106" t="n">
        <v>0.079</v>
      </c>
    </row>
    <row r="107">
      <c r="A107" s="107" t="n">
        <v>36099</v>
      </c>
      <c r="C107" t="n">
        <v>0.102</v>
      </c>
    </row>
    <row r="108">
      <c r="A108" s="107" t="n">
        <v>36129</v>
      </c>
      <c r="C108" t="n">
        <v>0.106</v>
      </c>
    </row>
    <row r="109">
      <c r="A109" s="107" t="n">
        <v>36160</v>
      </c>
      <c r="C109" t="n">
        <v>0.11</v>
      </c>
    </row>
    <row r="110">
      <c r="A110" s="107" t="n">
        <v>36191</v>
      </c>
      <c r="C110" t="n">
        <v>0.115</v>
      </c>
    </row>
    <row r="111">
      <c r="A111" s="107" t="n">
        <v>36219</v>
      </c>
      <c r="C111" t="n">
        <v>0.179</v>
      </c>
    </row>
    <row r="112">
      <c r="A112" s="107" t="n">
        <v>36250</v>
      </c>
      <c r="C112" t="n">
        <v>0.021</v>
      </c>
    </row>
    <row r="113">
      <c r="A113" s="107" t="n">
        <v>36280</v>
      </c>
      <c r="C113" t="n">
        <v>0.09</v>
      </c>
    </row>
    <row r="114">
      <c r="A114" s="107" t="n">
        <v>36311</v>
      </c>
      <c r="C114" t="n">
        <v>0.091</v>
      </c>
    </row>
    <row r="115">
      <c r="A115" s="107" t="n">
        <v>36341</v>
      </c>
      <c r="C115" t="n">
        <v>0.089</v>
      </c>
    </row>
    <row r="116">
      <c r="A116" s="107" t="n">
        <v>36372</v>
      </c>
      <c r="C116" t="n">
        <v>0.091</v>
      </c>
    </row>
    <row r="117">
      <c r="A117" s="107" t="n">
        <v>36403</v>
      </c>
      <c r="C117" t="n">
        <v>0.093</v>
      </c>
    </row>
    <row r="118">
      <c r="A118" s="107" t="n">
        <v>36433</v>
      </c>
      <c r="C118" t="n">
        <v>0.095</v>
      </c>
    </row>
    <row r="119">
      <c r="A119" s="107" t="n">
        <v>36464</v>
      </c>
      <c r="C119" t="n">
        <v>0.082</v>
      </c>
    </row>
    <row r="120">
      <c r="A120" s="107" t="n">
        <v>36494</v>
      </c>
      <c r="C120" t="n">
        <v>0.07000000000000001</v>
      </c>
    </row>
    <row r="121">
      <c r="A121" s="107" t="n">
        <v>36525</v>
      </c>
      <c r="C121" t="n">
        <v>0.076</v>
      </c>
    </row>
    <row r="122">
      <c r="A122" s="107" t="n">
        <v>36556</v>
      </c>
      <c r="C122" t="n">
        <v>0.074</v>
      </c>
    </row>
    <row r="123">
      <c r="A123" s="107" t="n">
        <v>36585</v>
      </c>
      <c r="C123" t="n">
        <v>0.089</v>
      </c>
    </row>
    <row r="124">
      <c r="A124" s="107" t="n">
        <v>36616</v>
      </c>
      <c r="C124" t="n">
        <v>0.12</v>
      </c>
    </row>
    <row r="125">
      <c r="A125" s="107" t="n">
        <v>36646</v>
      </c>
      <c r="C125" t="n">
        <v>0.119</v>
      </c>
    </row>
    <row r="126">
      <c r="A126" s="107" t="n">
        <v>36677</v>
      </c>
      <c r="C126" t="n">
        <v>0.114</v>
      </c>
    </row>
    <row r="127">
      <c r="A127" s="107" t="n">
        <v>36707</v>
      </c>
      <c r="C127" t="n">
        <v>0.115</v>
      </c>
    </row>
    <row r="128">
      <c r="A128" s="107" t="n">
        <v>36738</v>
      </c>
      <c r="C128" t="n">
        <v>0.122</v>
      </c>
    </row>
    <row r="129">
      <c r="A129" s="107" t="n">
        <v>36769</v>
      </c>
      <c r="C129" t="n">
        <v>0.128</v>
      </c>
    </row>
    <row r="130">
      <c r="A130" s="107" t="n">
        <v>36799</v>
      </c>
      <c r="C130" t="n">
        <v>0.128</v>
      </c>
    </row>
    <row r="131">
      <c r="A131" s="107" t="n">
        <v>36830</v>
      </c>
      <c r="C131" t="n">
        <v>0.12</v>
      </c>
    </row>
    <row r="132">
      <c r="A132" s="107" t="n">
        <v>36860</v>
      </c>
      <c r="C132" t="n">
        <v>0.114</v>
      </c>
    </row>
    <row r="133">
      <c r="A133" s="107" t="n">
        <v>36891</v>
      </c>
      <c r="C133" t="n">
        <v>0.106</v>
      </c>
    </row>
    <row r="134">
      <c r="A134" s="107" t="n">
        <v>36922</v>
      </c>
      <c r="C134" t="n">
        <v>0.104</v>
      </c>
    </row>
    <row r="135">
      <c r="A135" s="107" t="n">
        <v>36950</v>
      </c>
      <c r="C135" t="n">
        <v>0.023</v>
      </c>
    </row>
    <row r="136">
      <c r="A136" s="107" t="n">
        <v>36981</v>
      </c>
      <c r="C136" t="n">
        <v>0.19</v>
      </c>
    </row>
    <row r="137">
      <c r="A137" s="107" t="n">
        <v>37011</v>
      </c>
      <c r="C137" t="n">
        <v>0.121</v>
      </c>
    </row>
    <row r="138">
      <c r="A138" s="107" t="n">
        <v>37042</v>
      </c>
      <c r="C138" t="n">
        <v>0.115</v>
      </c>
    </row>
    <row r="139">
      <c r="A139" s="107" t="n">
        <v>37072</v>
      </c>
      <c r="C139" t="n">
        <v>0.102</v>
      </c>
    </row>
    <row r="140">
      <c r="A140" s="107" t="n">
        <v>37103</v>
      </c>
      <c r="C140" t="n">
        <v>0.101</v>
      </c>
    </row>
    <row r="141">
      <c r="A141" s="107" t="n">
        <v>37134</v>
      </c>
      <c r="C141" t="n">
        <v>0.081</v>
      </c>
    </row>
    <row r="142">
      <c r="A142" s="107" t="n">
        <v>37164</v>
      </c>
      <c r="C142" t="n">
        <v>0.081</v>
      </c>
    </row>
    <row r="143">
      <c r="A143" s="107" t="n">
        <v>37195</v>
      </c>
      <c r="C143" t="n">
        <v>0.095</v>
      </c>
    </row>
    <row r="144">
      <c r="A144" s="107" t="n">
        <v>37225</v>
      </c>
      <c r="C144" t="n">
        <v>0.08799999999999999</v>
      </c>
    </row>
    <row r="145">
      <c r="A145" s="107" t="n">
        <v>37256</v>
      </c>
      <c r="C145" t="n">
        <v>0.079</v>
      </c>
    </row>
    <row r="146">
      <c r="A146" s="107" t="n">
        <v>37287</v>
      </c>
      <c r="C146" t="n">
        <v>0.08699999999999999</v>
      </c>
    </row>
    <row r="147">
      <c r="A147" s="107" t="n">
        <v>37315</v>
      </c>
      <c r="C147" t="n">
        <v>0.186</v>
      </c>
    </row>
    <row r="148">
      <c r="A148" s="107" t="n">
        <v>37346</v>
      </c>
      <c r="C148" t="n">
        <v>0.027</v>
      </c>
    </row>
    <row r="149">
      <c r="A149" s="107" t="n">
        <v>37376</v>
      </c>
      <c r="C149" t="n">
        <v>0.109</v>
      </c>
    </row>
    <row r="150">
      <c r="A150" s="107" t="n">
        <v>37407</v>
      </c>
      <c r="C150" t="n">
        <v>0.121</v>
      </c>
    </row>
    <row r="151">
      <c r="A151" s="107" t="n">
        <v>37437</v>
      </c>
      <c r="C151" t="n">
        <v>0.129</v>
      </c>
    </row>
    <row r="152">
      <c r="A152" s="107" t="n">
        <v>37468</v>
      </c>
      <c r="C152" t="n">
        <v>0.124</v>
      </c>
    </row>
    <row r="153">
      <c r="A153" s="107" t="n">
        <v>37499</v>
      </c>
      <c r="C153" t="n">
        <v>0.128</v>
      </c>
    </row>
    <row r="154">
      <c r="A154" s="107" t="n">
        <v>37529</v>
      </c>
      <c r="C154" t="n">
        <v>0.127</v>
      </c>
    </row>
    <row r="155">
      <c r="A155" s="107" t="n">
        <v>37560</v>
      </c>
      <c r="C155" t="n">
        <v>0.138</v>
      </c>
    </row>
    <row r="156">
      <c r="A156" s="107" t="n">
        <v>37590</v>
      </c>
      <c r="C156" t="n">
        <v>0.142</v>
      </c>
    </row>
    <row r="157">
      <c r="A157" s="107" t="n">
        <v>37621</v>
      </c>
      <c r="C157" t="n">
        <v>0.145</v>
      </c>
    </row>
    <row r="158">
      <c r="A158" s="107" t="n">
        <v>37652</v>
      </c>
      <c r="C158" t="n">
        <v>0.149</v>
      </c>
    </row>
    <row r="159">
      <c r="A159" s="107" t="n">
        <v>37680</v>
      </c>
      <c r="C159" t="n">
        <v>0.148</v>
      </c>
    </row>
    <row r="160">
      <c r="A160" s="107" t="n">
        <v>37711</v>
      </c>
      <c r="C160" t="n">
        <v>0.198</v>
      </c>
    </row>
    <row r="161">
      <c r="A161" s="107" t="n">
        <v>37741</v>
      </c>
      <c r="C161" t="n">
        <v>0.169</v>
      </c>
    </row>
    <row r="162">
      <c r="A162" s="107" t="n">
        <v>37772</v>
      </c>
      <c r="C162" t="n">
        <v>0.149</v>
      </c>
    </row>
    <row r="163">
      <c r="A163" s="107" t="n">
        <v>37802</v>
      </c>
      <c r="C163" t="n">
        <v>0.137</v>
      </c>
    </row>
    <row r="164">
      <c r="A164" s="107" t="n">
        <v>37833</v>
      </c>
      <c r="C164" t="n">
        <v>0.169</v>
      </c>
    </row>
    <row r="165">
      <c r="A165" s="107" t="n">
        <v>37864</v>
      </c>
      <c r="C165" t="n">
        <v>0.165</v>
      </c>
    </row>
    <row r="166">
      <c r="A166" s="107" t="n">
        <v>37894</v>
      </c>
      <c r="C166" t="n">
        <v>0.171</v>
      </c>
    </row>
    <row r="167">
      <c r="A167" s="107" t="n">
        <v>37925</v>
      </c>
      <c r="C167" t="n">
        <v>0.163</v>
      </c>
    </row>
    <row r="168">
      <c r="A168" s="107" t="n">
        <v>37955</v>
      </c>
      <c r="C168" t="n">
        <v>0.172</v>
      </c>
    </row>
    <row r="169">
      <c r="A169" s="107" t="n">
        <v>37986</v>
      </c>
      <c r="C169" t="n">
        <v>0.179</v>
      </c>
    </row>
    <row r="170">
      <c r="A170" s="107" t="n">
        <v>38017</v>
      </c>
      <c r="C170" t="n">
        <v>0.181</v>
      </c>
    </row>
    <row r="171">
      <c r="A171" s="107" t="n">
        <v>38046</v>
      </c>
      <c r="C171" t="n">
        <v>0.07199999999999999</v>
      </c>
    </row>
    <row r="172">
      <c r="A172" s="107" t="n">
        <v>38077</v>
      </c>
      <c r="C172" t="n">
        <v>0.232</v>
      </c>
    </row>
    <row r="173">
      <c r="A173" s="107" t="n">
        <v>38107</v>
      </c>
      <c r="C173" t="n">
        <v>0.194</v>
      </c>
    </row>
    <row r="174">
      <c r="A174" s="107" t="n">
        <v>38138</v>
      </c>
      <c r="C174" t="n">
        <v>0.191</v>
      </c>
    </row>
    <row r="175">
      <c r="A175" s="107" t="n">
        <v>38168</v>
      </c>
      <c r="C175" t="n">
        <v>0.175</v>
      </c>
    </row>
    <row r="176">
      <c r="A176" s="107" t="n">
        <v>38199</v>
      </c>
      <c r="C176" t="n">
        <v>0.162</v>
      </c>
    </row>
    <row r="177">
      <c r="A177" s="107" t="n">
        <v>38230</v>
      </c>
      <c r="C177" t="n">
        <v>0.155</v>
      </c>
    </row>
    <row r="178">
      <c r="A178" s="107" t="n">
        <v>38260</v>
      </c>
      <c r="C178" t="n">
        <v>0.159</v>
      </c>
    </row>
    <row r="179">
      <c r="A179" s="107" t="n">
        <v>38291</v>
      </c>
      <c r="C179" t="n">
        <v>0.161</v>
      </c>
    </row>
    <row r="180">
      <c r="A180" s="107" t="n">
        <v>38321</v>
      </c>
      <c r="C180" t="n">
        <v>0.157</v>
      </c>
    </row>
    <row r="181">
      <c r="A181" s="107" t="n">
        <v>38352</v>
      </c>
      <c r="C181" t="n">
        <v>0.148</v>
      </c>
    </row>
    <row r="182">
      <c r="A182" s="107" t="n">
        <v>38383</v>
      </c>
      <c r="B182" t="n">
        <v>52.1</v>
      </c>
      <c r="C182" t="n">
        <v>0.144</v>
      </c>
    </row>
    <row r="183">
      <c r="A183" s="107" t="n">
        <v>38411</v>
      </c>
      <c r="B183" t="n">
        <v>52.9</v>
      </c>
      <c r="C183" t="n">
        <v>0.209</v>
      </c>
    </row>
    <row r="184">
      <c r="A184" s="107" t="n">
        <v>38442</v>
      </c>
      <c r="B184" t="n">
        <v>55.2</v>
      </c>
      <c r="C184" t="n">
        <v>0.076</v>
      </c>
    </row>
    <row r="185">
      <c r="A185" s="107" t="n">
        <v>38472</v>
      </c>
      <c r="B185" t="n">
        <v>54.4</v>
      </c>
      <c r="C185" t="n">
        <v>0.151</v>
      </c>
    </row>
    <row r="186">
      <c r="A186" s="107" t="n">
        <v>38503</v>
      </c>
      <c r="B186" t="n">
        <v>53.3</v>
      </c>
      <c r="C186" t="n">
        <v>0.16</v>
      </c>
    </row>
    <row r="187">
      <c r="A187" s="107" t="n">
        <v>38533</v>
      </c>
      <c r="B187" t="n">
        <v>51</v>
      </c>
      <c r="C187" t="n">
        <v>0.166</v>
      </c>
    </row>
    <row r="188">
      <c r="A188" s="107" t="n">
        <v>38564</v>
      </c>
      <c r="B188" t="n">
        <v>51.5</v>
      </c>
      <c r="C188" t="n">
        <v>0.168</v>
      </c>
    </row>
    <row r="189">
      <c r="A189" s="107" t="n">
        <v>38595</v>
      </c>
      <c r="B189" t="n">
        <v>50.6</v>
      </c>
      <c r="C189" t="n">
        <v>0.161</v>
      </c>
    </row>
    <row r="190">
      <c r="A190" s="107" t="n">
        <v>38625</v>
      </c>
      <c r="B190" t="n">
        <v>50.9</v>
      </c>
      <c r="C190" t="n">
        <v>0.16</v>
      </c>
    </row>
    <row r="191">
      <c r="A191" s="107" t="n">
        <v>38656</v>
      </c>
      <c r="B191" t="n">
        <v>50.1</v>
      </c>
      <c r="C191" t="n">
        <v>0.165</v>
      </c>
    </row>
    <row r="192">
      <c r="A192" s="107" t="n">
        <v>38686</v>
      </c>
      <c r="B192" t="n">
        <v>49.8</v>
      </c>
      <c r="C192" t="n">
        <v>0.161</v>
      </c>
    </row>
    <row r="193">
      <c r="A193" s="107" t="n">
        <v>38717</v>
      </c>
      <c r="B193" t="n">
        <v>50.1</v>
      </c>
      <c r="C193" t="n">
        <v>0.166</v>
      </c>
    </row>
    <row r="194">
      <c r="A194" s="107" t="n">
        <v>38776</v>
      </c>
      <c r="B194" t="n">
        <v>50.7</v>
      </c>
      <c r="C194" t="n">
        <v>0.165</v>
      </c>
    </row>
    <row r="195">
      <c r="A195" s="107" t="n">
        <v>38807</v>
      </c>
      <c r="B195" t="n">
        <v>51</v>
      </c>
      <c r="C195" t="n">
        <v>0.201</v>
      </c>
    </row>
    <row r="196">
      <c r="A196" s="107" t="n">
        <v>38837</v>
      </c>
      <c r="B196" t="n">
        <v>52.7</v>
      </c>
      <c r="C196" t="n">
        <v>0.178</v>
      </c>
    </row>
    <row r="197">
      <c r="A197" s="107" t="n">
        <v>38868</v>
      </c>
      <c r="B197" t="n">
        <v>52.8</v>
      </c>
      <c r="C197" t="n">
        <v>0.166</v>
      </c>
    </row>
    <row r="198">
      <c r="A198" s="107" t="n">
        <v>38898</v>
      </c>
      <c r="B198" t="n">
        <v>52.9</v>
      </c>
      <c r="C198" t="n">
        <v>0.179</v>
      </c>
    </row>
    <row r="199">
      <c r="A199" s="107" t="n">
        <v>38929</v>
      </c>
      <c r="B199" t="n">
        <v>53</v>
      </c>
      <c r="C199" t="n">
        <v>0.195</v>
      </c>
    </row>
    <row r="200">
      <c r="A200" s="107" t="n">
        <v>38960</v>
      </c>
      <c r="B200" t="n">
        <v>52.6</v>
      </c>
      <c r="C200" t="n">
        <v>0.167</v>
      </c>
    </row>
    <row r="201">
      <c r="A201" s="107" t="n">
        <v>38990</v>
      </c>
      <c r="B201" t="n">
        <v>52.4</v>
      </c>
      <c r="C201" t="n">
        <v>0.157</v>
      </c>
    </row>
    <row r="202">
      <c r="A202" s="107" t="n">
        <v>39021</v>
      </c>
      <c r="B202" t="n">
        <v>52.1</v>
      </c>
      <c r="C202" t="n">
        <v>0.161</v>
      </c>
    </row>
    <row r="203">
      <c r="A203" s="107" t="n">
        <v>39051</v>
      </c>
      <c r="B203" t="n">
        <v>53</v>
      </c>
      <c r="C203" t="n">
        <v>0.147</v>
      </c>
    </row>
    <row r="204">
      <c r="A204" s="107" t="n">
        <v>39082</v>
      </c>
      <c r="B204" t="n">
        <v>52.4</v>
      </c>
      <c r="C204" t="n">
        <v>0.149</v>
      </c>
    </row>
    <row r="205">
      <c r="A205" s="107" t="n">
        <v>39141</v>
      </c>
      <c r="B205" t="n">
        <v>53</v>
      </c>
      <c r="C205" t="n">
        <v>0.147</v>
      </c>
    </row>
    <row r="206">
      <c r="A206" s="107" t="n">
        <v>39172</v>
      </c>
      <c r="B206" t="n">
        <v>52.3</v>
      </c>
      <c r="C206" t="n">
        <v>0.126</v>
      </c>
    </row>
    <row r="207">
      <c r="A207" s="107" t="n">
        <v>39202</v>
      </c>
      <c r="B207" t="n">
        <v>53.3</v>
      </c>
      <c r="C207" t="n">
        <v>0.176</v>
      </c>
    </row>
    <row r="208">
      <c r="A208" s="107" t="n">
        <v>39233</v>
      </c>
      <c r="B208" t="n">
        <v>54.1</v>
      </c>
      <c r="C208" t="n">
        <v>0.174</v>
      </c>
    </row>
    <row r="209">
      <c r="A209" s="107" t="n">
        <v>39263</v>
      </c>
      <c r="B209" t="n">
        <v>55</v>
      </c>
      <c r="C209" t="n">
        <v>0.181</v>
      </c>
    </row>
    <row r="210">
      <c r="A210" s="107" t="n">
        <v>39294</v>
      </c>
      <c r="B210" t="n">
        <v>53.2</v>
      </c>
      <c r="C210" t="n">
        <v>0.194</v>
      </c>
    </row>
    <row r="211">
      <c r="A211" s="107" t="n">
        <v>39325</v>
      </c>
      <c r="B211" t="n">
        <v>53.4</v>
      </c>
      <c r="C211" t="n">
        <v>0.18</v>
      </c>
    </row>
    <row r="212">
      <c r="A212" s="107" t="n">
        <v>39355</v>
      </c>
      <c r="B212" t="n">
        <v>55</v>
      </c>
      <c r="C212" t="n">
        <v>0.175</v>
      </c>
    </row>
    <row r="213">
      <c r="A213" s="107" t="n">
        <v>39386</v>
      </c>
      <c r="B213" t="n">
        <v>55.2</v>
      </c>
      <c r="C213" t="n">
        <v>0.189</v>
      </c>
    </row>
    <row r="214">
      <c r="A214" s="107" t="n">
        <v>39416</v>
      </c>
      <c r="B214" t="n">
        <v>52.8</v>
      </c>
      <c r="C214" t="n">
        <v>0.179</v>
      </c>
    </row>
    <row r="215">
      <c r="A215" s="107" t="n">
        <v>39447</v>
      </c>
      <c r="B215" t="n">
        <v>53.3</v>
      </c>
      <c r="C215" t="n">
        <v>0.173</v>
      </c>
    </row>
    <row r="216">
      <c r="A216" s="107" t="n">
        <v>39507</v>
      </c>
      <c r="B216" t="n">
        <v>52.8</v>
      </c>
      <c r="C216" t="n">
        <v>0.174</v>
      </c>
    </row>
    <row r="217">
      <c r="A217" s="107" t="n">
        <v>39538</v>
      </c>
      <c r="B217" t="n">
        <v>54.4</v>
      </c>
      <c r="C217" t="n">
        <v>0.154</v>
      </c>
    </row>
    <row r="218">
      <c r="A218" s="107" t="n">
        <v>39568</v>
      </c>
      <c r="B218" t="n">
        <v>55.4</v>
      </c>
      <c r="C218" t="n">
        <v>0.178</v>
      </c>
    </row>
    <row r="219">
      <c r="A219" s="107" t="n">
        <v>39599</v>
      </c>
      <c r="B219" t="n">
        <v>54.7</v>
      </c>
      <c r="C219" t="n">
        <v>0.157</v>
      </c>
    </row>
    <row r="220">
      <c r="A220" s="107" t="n">
        <v>39629</v>
      </c>
      <c r="B220" t="n">
        <v>53.3</v>
      </c>
      <c r="C220" t="n">
        <v>0.16</v>
      </c>
    </row>
    <row r="221">
      <c r="A221" s="107" t="n">
        <v>39660</v>
      </c>
      <c r="B221" t="n">
        <v>53.3</v>
      </c>
      <c r="C221" t="n">
        <v>0.16</v>
      </c>
    </row>
    <row r="222">
      <c r="A222" s="107" t="n">
        <v>39691</v>
      </c>
      <c r="B222" t="n">
        <v>49.2</v>
      </c>
      <c r="C222" t="n">
        <v>0.147</v>
      </c>
    </row>
    <row r="223">
      <c r="A223" s="107" t="n">
        <v>39721</v>
      </c>
      <c r="B223" t="n">
        <v>47.7</v>
      </c>
      <c r="C223" t="n">
        <v>0.128</v>
      </c>
    </row>
    <row r="224">
      <c r="A224" s="107" t="n">
        <v>39752</v>
      </c>
      <c r="B224" t="n">
        <v>45.2</v>
      </c>
      <c r="C224" t="n">
        <v>0.114</v>
      </c>
    </row>
    <row r="225">
      <c r="A225" s="107" t="n">
        <v>39782</v>
      </c>
      <c r="B225" t="n">
        <v>40.9</v>
      </c>
      <c r="C225" t="n">
        <v>0.082</v>
      </c>
    </row>
    <row r="226">
      <c r="A226" s="107" t="n">
        <v>39813</v>
      </c>
      <c r="B226" t="n">
        <v>41.2</v>
      </c>
      <c r="C226" t="n">
        <v>0.054</v>
      </c>
    </row>
    <row r="227">
      <c r="A227" s="107" t="n">
        <v>39872</v>
      </c>
      <c r="B227" t="n">
        <v>45.1</v>
      </c>
      <c r="C227" t="n">
        <v>0.057</v>
      </c>
    </row>
    <row r="228">
      <c r="A228" s="107" t="n">
        <v>39903</v>
      </c>
      <c r="B228" t="n">
        <v>44.8</v>
      </c>
      <c r="C228" t="n">
        <v>0.11</v>
      </c>
    </row>
    <row r="229">
      <c r="A229" s="107" t="n">
        <v>39933</v>
      </c>
      <c r="B229" t="n">
        <v>50.1</v>
      </c>
      <c r="C229" t="n">
        <v>0.083</v>
      </c>
    </row>
    <row r="230">
      <c r="A230" s="107" t="n">
        <v>39964</v>
      </c>
      <c r="B230" t="n">
        <v>51.2</v>
      </c>
      <c r="C230" t="n">
        <v>0.073</v>
      </c>
    </row>
    <row r="231">
      <c r="A231" s="107" t="n">
        <v>39994</v>
      </c>
      <c r="B231" t="n">
        <v>51.8</v>
      </c>
      <c r="C231" t="n">
        <v>0.089</v>
      </c>
    </row>
    <row r="232">
      <c r="A232" s="107" t="n">
        <v>40025</v>
      </c>
      <c r="B232" t="n">
        <v>52.8</v>
      </c>
      <c r="C232" t="n">
        <v>0.107</v>
      </c>
    </row>
    <row r="233">
      <c r="A233" s="107" t="n">
        <v>40056</v>
      </c>
      <c r="B233" t="n">
        <v>55.1</v>
      </c>
      <c r="C233" t="n">
        <v>0.108</v>
      </c>
    </row>
    <row r="234">
      <c r="A234" s="107" t="n">
        <v>40086</v>
      </c>
      <c r="B234" t="n">
        <v>55</v>
      </c>
      <c r="C234" t="n">
        <v>0.123</v>
      </c>
    </row>
    <row r="235">
      <c r="A235" s="107" t="n">
        <v>40117</v>
      </c>
      <c r="B235" t="n">
        <v>55.4</v>
      </c>
      <c r="C235" t="n">
        <v>0.139</v>
      </c>
    </row>
    <row r="236">
      <c r="A236" s="107" t="n">
        <v>40147</v>
      </c>
      <c r="B236" t="n">
        <v>55.7</v>
      </c>
      <c r="C236" t="n">
        <v>0.161</v>
      </c>
    </row>
    <row r="237">
      <c r="A237" s="107" t="n">
        <v>40178</v>
      </c>
      <c r="B237" t="n">
        <v>56.1</v>
      </c>
      <c r="C237" t="n">
        <v>0.192</v>
      </c>
    </row>
    <row r="238">
      <c r="A238" s="107" t="n">
        <v>40237</v>
      </c>
      <c r="B238" t="n">
        <v>55.8</v>
      </c>
      <c r="C238" t="n">
        <v>0.185</v>
      </c>
    </row>
    <row r="239">
      <c r="A239" s="107" t="n">
        <v>40268</v>
      </c>
      <c r="B239" t="n">
        <v>57</v>
      </c>
      <c r="C239" t="n">
        <v>0.128</v>
      </c>
    </row>
    <row r="240">
      <c r="A240" s="107" t="n">
        <v>40298</v>
      </c>
      <c r="B240" t="n">
        <v>55.4</v>
      </c>
      <c r="C240" t="n">
        <v>0.181</v>
      </c>
    </row>
    <row r="241">
      <c r="A241" s="107" t="n">
        <v>40329</v>
      </c>
      <c r="B241" t="n">
        <v>52.7</v>
      </c>
      <c r="C241" t="n">
        <v>0.178</v>
      </c>
    </row>
    <row r="242">
      <c r="A242" s="107" t="n">
        <v>40359</v>
      </c>
      <c r="B242" t="n">
        <v>50.4</v>
      </c>
      <c r="C242" t="n">
        <v>0.165</v>
      </c>
    </row>
    <row r="243">
      <c r="A243" s="107" t="n">
        <v>40390</v>
      </c>
      <c r="B243" t="n">
        <v>49.4</v>
      </c>
      <c r="C243" t="n">
        <v>0.137</v>
      </c>
    </row>
    <row r="244">
      <c r="A244" s="107" t="n">
        <v>40421</v>
      </c>
      <c r="B244" t="n">
        <v>51.9</v>
      </c>
      <c r="C244" t="n">
        <v>0.134</v>
      </c>
    </row>
    <row r="245">
      <c r="A245" s="107" t="n">
        <v>40451</v>
      </c>
      <c r="B245" t="n">
        <v>52.9</v>
      </c>
      <c r="C245" t="n">
        <v>0.139</v>
      </c>
    </row>
    <row r="246">
      <c r="A246" s="107" t="n">
        <v>40482</v>
      </c>
      <c r="B246" t="n">
        <v>54.8</v>
      </c>
      <c r="C246" t="n">
        <v>0.133</v>
      </c>
    </row>
    <row r="247">
      <c r="A247" s="107" t="n">
        <v>40512</v>
      </c>
      <c r="B247" t="n">
        <v>55.3</v>
      </c>
      <c r="C247" t="n">
        <v>0.131</v>
      </c>
    </row>
    <row r="248">
      <c r="A248" s="107" t="n">
        <v>40543</v>
      </c>
      <c r="B248" t="n">
        <v>54.4</v>
      </c>
      <c r="C248" t="n">
        <v>0.133</v>
      </c>
    </row>
    <row r="249">
      <c r="A249" s="107" t="n">
        <v>40602</v>
      </c>
      <c r="B249" t="n">
        <v>51.7</v>
      </c>
      <c r="C249" t="n">
        <v>0.135</v>
      </c>
    </row>
    <row r="250">
      <c r="A250" s="107" t="n">
        <v>40633</v>
      </c>
      <c r="B250" t="n">
        <v>51.8</v>
      </c>
      <c r="C250" t="n">
        <v>0.141</v>
      </c>
    </row>
    <row r="251">
      <c r="A251" s="107" t="n">
        <v>40663</v>
      </c>
      <c r="B251" t="n">
        <v>51.8</v>
      </c>
      <c r="C251" t="n">
        <v>0.148</v>
      </c>
    </row>
    <row r="252">
      <c r="A252" s="107" t="n">
        <v>40694</v>
      </c>
      <c r="B252" t="n">
        <v>51.6</v>
      </c>
      <c r="C252" t="n">
        <v>0.134</v>
      </c>
    </row>
    <row r="253">
      <c r="A253" s="107" t="n">
        <v>40724</v>
      </c>
      <c r="B253" t="n">
        <v>50.1</v>
      </c>
      <c r="C253" t="n">
        <v>0.133</v>
      </c>
    </row>
    <row r="254">
      <c r="A254" s="107" t="n">
        <v>40755</v>
      </c>
      <c r="B254" t="n">
        <v>49.3</v>
      </c>
      <c r="C254" t="n">
        <v>0.151</v>
      </c>
    </row>
    <row r="255">
      <c r="A255" s="107" t="n">
        <v>40786</v>
      </c>
      <c r="B255" t="n">
        <v>49.9</v>
      </c>
      <c r="C255" t="n">
        <v>0.14</v>
      </c>
    </row>
    <row r="256">
      <c r="A256" s="107" t="n">
        <v>40816</v>
      </c>
      <c r="B256" t="n">
        <v>49.9</v>
      </c>
      <c r="C256" t="n">
        <v>0.135</v>
      </c>
    </row>
    <row r="257">
      <c r="A257" s="107" t="n">
        <v>40847</v>
      </c>
      <c r="B257" t="n">
        <v>51</v>
      </c>
      <c r="C257" t="n">
        <v>0.138</v>
      </c>
    </row>
    <row r="258">
      <c r="A258" s="107" t="n">
        <v>40877</v>
      </c>
      <c r="B258" t="n">
        <v>47.7</v>
      </c>
      <c r="C258" t="n">
        <v>0.132</v>
      </c>
    </row>
    <row r="259">
      <c r="A259" s="107" t="n">
        <v>40908</v>
      </c>
      <c r="B259" t="n">
        <v>48.7</v>
      </c>
      <c r="C259" t="n">
        <v>0.124</v>
      </c>
    </row>
    <row r="260">
      <c r="A260" s="107" t="n">
        <v>40968</v>
      </c>
      <c r="B260" t="n">
        <v>49.6</v>
      </c>
      <c r="C260" t="n">
        <v>0.128</v>
      </c>
    </row>
    <row r="261">
      <c r="A261" s="107" t="n">
        <v>40999</v>
      </c>
      <c r="B261" t="n">
        <v>48.3</v>
      </c>
      <c r="C261" t="n">
        <v>0.114</v>
      </c>
    </row>
    <row r="262">
      <c r="A262" s="107" t="n">
        <v>41029</v>
      </c>
      <c r="B262" t="n">
        <v>49.3</v>
      </c>
      <c r="C262" t="n">
        <v>0.119</v>
      </c>
    </row>
    <row r="263">
      <c r="A263" s="107" t="n">
        <v>41060</v>
      </c>
      <c r="B263" t="n">
        <v>48.4</v>
      </c>
      <c r="C263" t="n">
        <v>0.093</v>
      </c>
    </row>
    <row r="264">
      <c r="A264" s="107" t="n">
        <v>41090</v>
      </c>
      <c r="B264" t="n">
        <v>48.2</v>
      </c>
      <c r="C264" t="n">
        <v>0.096</v>
      </c>
    </row>
    <row r="265">
      <c r="A265" s="107" t="n">
        <v>41121</v>
      </c>
      <c r="B265" t="n">
        <v>49.3</v>
      </c>
      <c r="C265" t="n">
        <v>0.095</v>
      </c>
    </row>
    <row r="266">
      <c r="A266" s="107" t="n">
        <v>41152</v>
      </c>
      <c r="B266" t="n">
        <v>47.7</v>
      </c>
      <c r="C266" t="n">
        <v>0.092</v>
      </c>
    </row>
    <row r="267">
      <c r="A267" s="107" t="n">
        <v>41182</v>
      </c>
      <c r="B267" t="n">
        <v>47.9</v>
      </c>
      <c r="C267" t="n">
        <v>0.089</v>
      </c>
    </row>
    <row r="268">
      <c r="A268" s="107" t="n">
        <v>41213</v>
      </c>
      <c r="B268" t="n">
        <v>49.5</v>
      </c>
      <c r="C268" t="n">
        <v>0.092</v>
      </c>
    </row>
    <row r="269">
      <c r="A269" s="107" t="n">
        <v>41243</v>
      </c>
      <c r="B269" t="n">
        <v>50.5</v>
      </c>
      <c r="C269" t="n">
        <v>0.096</v>
      </c>
    </row>
    <row r="270">
      <c r="A270" s="107" t="n">
        <v>41274</v>
      </c>
      <c r="B270" t="n">
        <v>51.5</v>
      </c>
      <c r="C270" t="n">
        <v>0.101</v>
      </c>
    </row>
    <row r="271">
      <c r="A271" s="107" t="n">
        <v>41333</v>
      </c>
      <c r="B271" t="n">
        <v>50.4</v>
      </c>
      <c r="C271" t="n">
        <v>0.103</v>
      </c>
    </row>
    <row r="272">
      <c r="A272" s="107" t="n">
        <v>41364</v>
      </c>
      <c r="B272" t="n">
        <v>51.6</v>
      </c>
      <c r="C272" t="n">
        <v>0.099</v>
      </c>
    </row>
    <row r="273">
      <c r="A273" s="107" t="n">
        <v>41394</v>
      </c>
      <c r="B273" t="n">
        <v>50.4</v>
      </c>
      <c r="C273" t="n">
        <v>0.089</v>
      </c>
    </row>
    <row r="274">
      <c r="A274" s="107" t="n">
        <v>41425</v>
      </c>
      <c r="B274" t="n">
        <v>49.2</v>
      </c>
      <c r="C274" t="n">
        <v>0.093</v>
      </c>
    </row>
    <row r="275">
      <c r="A275" s="107" t="n">
        <v>41455</v>
      </c>
      <c r="B275" t="n">
        <v>48.2</v>
      </c>
      <c r="C275" t="n">
        <v>0.092</v>
      </c>
    </row>
    <row r="276">
      <c r="A276" s="107" t="n">
        <v>41486</v>
      </c>
      <c r="B276" t="n">
        <v>47.7</v>
      </c>
      <c r="C276" t="n">
        <v>0.089</v>
      </c>
    </row>
    <row r="277">
      <c r="A277" s="107" t="n">
        <v>41517</v>
      </c>
      <c r="B277" t="n">
        <v>50.1</v>
      </c>
      <c r="C277" t="n">
        <v>0.097</v>
      </c>
    </row>
    <row r="278">
      <c r="A278" s="107" t="n">
        <v>41547</v>
      </c>
      <c r="B278" t="n">
        <v>50.2</v>
      </c>
      <c r="C278" t="n">
        <v>0.104</v>
      </c>
    </row>
    <row r="279">
      <c r="A279" s="107" t="n">
        <v>41578</v>
      </c>
      <c r="B279" t="n">
        <v>50.9</v>
      </c>
      <c r="C279" t="n">
        <v>0.102</v>
      </c>
    </row>
    <row r="280">
      <c r="A280" s="107" t="n">
        <v>41608</v>
      </c>
      <c r="B280" t="n">
        <v>50.8</v>
      </c>
      <c r="C280" t="n">
        <v>0.103</v>
      </c>
    </row>
    <row r="281">
      <c r="A281" s="107" t="n">
        <v>41639</v>
      </c>
      <c r="B281" t="n">
        <v>50.5</v>
      </c>
      <c r="C281" t="n">
        <v>0.1</v>
      </c>
    </row>
    <row r="282">
      <c r="A282" s="107" t="n">
        <v>41698</v>
      </c>
      <c r="B282" t="n">
        <v>48.5</v>
      </c>
      <c r="C282" t="n">
        <v>0.097</v>
      </c>
    </row>
    <row r="283">
      <c r="A283" s="107" t="n">
        <v>41729</v>
      </c>
      <c r="B283" t="n">
        <v>48</v>
      </c>
      <c r="C283" t="n">
        <v>0.08599999999999999</v>
      </c>
    </row>
    <row r="284">
      <c r="A284" s="107" t="n">
        <v>41759</v>
      </c>
      <c r="B284" t="n">
        <v>48.1</v>
      </c>
      <c r="C284" t="n">
        <v>0.08799999999999999</v>
      </c>
    </row>
    <row r="285">
      <c r="A285" s="107" t="n">
        <v>41790</v>
      </c>
      <c r="B285" t="n">
        <v>49.4</v>
      </c>
      <c r="C285" t="n">
        <v>0.08699999999999999</v>
      </c>
    </row>
    <row r="286">
      <c r="A286" s="107" t="n">
        <v>41820</v>
      </c>
      <c r="B286" t="n">
        <v>50.7</v>
      </c>
      <c r="C286" t="n">
        <v>0.08799999999999999</v>
      </c>
    </row>
    <row r="287">
      <c r="A287" s="107" t="n">
        <v>41851</v>
      </c>
      <c r="B287" t="n">
        <v>51.7</v>
      </c>
      <c r="C287" t="n">
        <v>0.092</v>
      </c>
    </row>
    <row r="288">
      <c r="A288" s="107" t="n">
        <v>41882</v>
      </c>
      <c r="B288" t="n">
        <v>50.2</v>
      </c>
      <c r="C288" t="n">
        <v>0.09</v>
      </c>
    </row>
    <row r="289">
      <c r="A289" s="107" t="n">
        <v>41912</v>
      </c>
      <c r="B289" t="n">
        <v>51.1</v>
      </c>
      <c r="C289" t="n">
        <v>0.06900000000000001</v>
      </c>
    </row>
    <row r="290">
      <c r="A290" s="107" t="n">
        <v>41943</v>
      </c>
      <c r="B290" t="n">
        <v>50.8</v>
      </c>
      <c r="C290" t="n">
        <v>0.08</v>
      </c>
    </row>
    <row r="291">
      <c r="A291" s="107" t="n">
        <v>41973</v>
      </c>
      <c r="B291" t="n">
        <v>50.3</v>
      </c>
      <c r="C291" t="n">
        <v>0.077</v>
      </c>
    </row>
    <row r="292">
      <c r="A292" s="107" t="n">
        <v>42004</v>
      </c>
      <c r="B292" t="n">
        <v>50.1</v>
      </c>
      <c r="C292" t="n">
        <v>0.07199999999999999</v>
      </c>
    </row>
    <row r="293">
      <c r="A293" s="107" t="n">
        <v>42063</v>
      </c>
      <c r="B293" t="n">
        <v>49.9</v>
      </c>
      <c r="C293" t="n">
        <v>0.079</v>
      </c>
    </row>
    <row r="294">
      <c r="A294" s="107" t="n">
        <v>42094</v>
      </c>
      <c r="B294" t="n">
        <v>50.1</v>
      </c>
      <c r="C294" t="n">
        <v>0.068</v>
      </c>
    </row>
    <row r="295">
      <c r="A295" s="107" t="n">
        <v>42124</v>
      </c>
      <c r="B295" t="n">
        <v>50.1</v>
      </c>
      <c r="C295" t="n">
        <v>0.056</v>
      </c>
    </row>
    <row r="296">
      <c r="A296" s="107" t="n">
        <v>42155</v>
      </c>
      <c r="B296" t="n">
        <v>50.2</v>
      </c>
      <c r="C296" t="n">
        <v>0.059</v>
      </c>
    </row>
    <row r="297">
      <c r="A297" s="107" t="n">
        <v>42185</v>
      </c>
      <c r="B297" t="n">
        <v>50.2</v>
      </c>
      <c r="C297" t="n">
        <v>0.061</v>
      </c>
    </row>
    <row r="298">
      <c r="A298" s="107" t="n">
        <v>42216</v>
      </c>
      <c r="B298" t="n">
        <v>50</v>
      </c>
      <c r="C298" t="n">
        <v>0.068</v>
      </c>
    </row>
    <row r="299">
      <c r="A299" s="107" t="n">
        <v>42247</v>
      </c>
      <c r="B299" t="n">
        <v>47.3</v>
      </c>
      <c r="C299" t="n">
        <v>0.06</v>
      </c>
    </row>
    <row r="300">
      <c r="A300" s="107" t="n">
        <v>42277</v>
      </c>
      <c r="B300" t="n">
        <v>47.2</v>
      </c>
      <c r="C300" t="n">
        <v>0.061</v>
      </c>
    </row>
    <row r="301">
      <c r="A301" s="107" t="n">
        <v>42308</v>
      </c>
      <c r="B301" t="n">
        <v>48.3</v>
      </c>
      <c r="C301" t="n">
        <v>0.057</v>
      </c>
    </row>
    <row r="302">
      <c r="A302" s="107" t="n">
        <v>42338</v>
      </c>
      <c r="B302" t="n">
        <v>48.6</v>
      </c>
      <c r="C302" t="n">
        <v>0.056</v>
      </c>
    </row>
    <row r="303">
      <c r="A303" s="107" t="n">
        <v>42369</v>
      </c>
      <c r="B303" t="n">
        <v>48.2</v>
      </c>
      <c r="C303" t="n">
        <v>0.062</v>
      </c>
    </row>
    <row r="304">
      <c r="A304" s="107" t="n">
        <v>42400</v>
      </c>
      <c r="B304" t="n">
        <v>48.4</v>
      </c>
      <c r="C304" t="n">
        <v>0.059</v>
      </c>
    </row>
    <row r="305">
      <c r="A305" s="107" t="n">
        <v>42460</v>
      </c>
      <c r="B305" t="n">
        <v>49.7</v>
      </c>
      <c r="C305" t="n">
        <v>0.054</v>
      </c>
    </row>
    <row r="306">
      <c r="A306" s="107" t="n">
        <v>42490</v>
      </c>
      <c r="B306" t="n">
        <v>49.4</v>
      </c>
      <c r="C306" t="n">
        <v>0.068</v>
      </c>
    </row>
    <row r="307">
      <c r="A307" s="107" t="n">
        <v>42521</v>
      </c>
      <c r="B307" t="n">
        <v>49.2</v>
      </c>
      <c r="C307" t="n">
        <v>0.06</v>
      </c>
    </row>
    <row r="308">
      <c r="A308" s="107" t="n">
        <v>42551</v>
      </c>
      <c r="B308" t="n">
        <v>48.6</v>
      </c>
      <c r="C308" t="n">
        <v>0.06</v>
      </c>
    </row>
    <row r="309">
      <c r="A309" s="107" t="n">
        <v>42582</v>
      </c>
      <c r="B309" t="n">
        <v>50.6</v>
      </c>
      <c r="C309" t="n">
        <v>0.062</v>
      </c>
    </row>
    <row r="310">
      <c r="A310" s="107" t="n">
        <v>42613</v>
      </c>
      <c r="B310" t="n">
        <v>50</v>
      </c>
      <c r="C310" t="n">
        <v>0.06</v>
      </c>
    </row>
    <row r="311">
      <c r="A311" s="107" t="n">
        <v>42643</v>
      </c>
      <c r="B311" t="n">
        <v>50.1</v>
      </c>
      <c r="C311" t="n">
        <v>0.063</v>
      </c>
    </row>
    <row r="312">
      <c r="A312" s="107" t="n">
        <v>42674</v>
      </c>
      <c r="B312" t="n">
        <v>51.2</v>
      </c>
      <c r="C312" t="n">
        <v>0.061</v>
      </c>
    </row>
    <row r="313">
      <c r="A313" s="107" t="n">
        <v>42704</v>
      </c>
      <c r="B313" t="n">
        <v>50.9</v>
      </c>
      <c r="C313" t="n">
        <v>0.061</v>
      </c>
    </row>
    <row r="314">
      <c r="A314" s="107" t="n">
        <v>42735</v>
      </c>
      <c r="B314" t="n">
        <v>51.9</v>
      </c>
      <c r="C314" t="n">
        <v>0.062</v>
      </c>
    </row>
    <row r="315">
      <c r="A315" s="107" t="n">
        <v>42766</v>
      </c>
      <c r="B315" t="n">
        <v>51</v>
      </c>
      <c r="C315" t="n">
        <v>0.06</v>
      </c>
    </row>
    <row r="316">
      <c r="A316" s="107" t="n">
        <v>42825</v>
      </c>
      <c r="B316" t="n">
        <v>51.2</v>
      </c>
      <c r="C316" t="n">
        <v>0.063</v>
      </c>
    </row>
    <row r="317">
      <c r="A317" s="107" t="n">
        <v>42855</v>
      </c>
      <c r="B317" t="n">
        <v>50.3</v>
      </c>
      <c r="C317" t="n">
        <v>0.076</v>
      </c>
    </row>
    <row r="318">
      <c r="A318" s="107" t="n">
        <v>42886</v>
      </c>
      <c r="B318" t="n">
        <v>49.6</v>
      </c>
      <c r="C318" t="n">
        <v>0.065</v>
      </c>
    </row>
    <row r="319">
      <c r="A319" s="107" t="n">
        <v>42916</v>
      </c>
      <c r="B319" t="n">
        <v>50.4</v>
      </c>
      <c r="C319" t="n">
        <v>0.065</v>
      </c>
    </row>
    <row r="320">
      <c r="A320" s="107" t="n">
        <v>42947</v>
      </c>
      <c r="B320" t="n">
        <v>51.1</v>
      </c>
      <c r="C320" t="n">
        <v>0.076</v>
      </c>
    </row>
    <row r="321">
      <c r="A321" s="107" t="n">
        <v>42978</v>
      </c>
      <c r="B321" t="n">
        <v>51.6</v>
      </c>
      <c r="C321" t="n">
        <v>0.064</v>
      </c>
    </row>
    <row r="322">
      <c r="A322" s="107" t="n">
        <v>43008</v>
      </c>
      <c r="B322" t="n">
        <v>51</v>
      </c>
      <c r="C322" t="n">
        <v>0.06</v>
      </c>
    </row>
    <row r="323">
      <c r="A323" s="107" t="n">
        <v>43039</v>
      </c>
      <c r="B323" t="n">
        <v>51</v>
      </c>
      <c r="C323" t="n">
        <v>0.066</v>
      </c>
    </row>
    <row r="324">
      <c r="A324" s="107" t="n">
        <v>43069</v>
      </c>
      <c r="B324" t="n">
        <v>50.8</v>
      </c>
      <c r="C324" t="n">
        <v>0.062</v>
      </c>
    </row>
    <row r="325">
      <c r="A325" s="107" t="n">
        <v>43100</v>
      </c>
      <c r="B325" t="n">
        <v>51.5</v>
      </c>
      <c r="C325" t="n">
        <v>0.061</v>
      </c>
    </row>
    <row r="326">
      <c r="A326" s="107" t="n">
        <v>43159</v>
      </c>
      <c r="B326" t="n">
        <v>51.5</v>
      </c>
      <c r="C326" t="n">
        <v>0.062</v>
      </c>
    </row>
    <row r="327">
      <c r="A327" s="107" t="n">
        <v>43190</v>
      </c>
      <c r="B327" t="n">
        <v>51</v>
      </c>
      <c r="C327" t="n">
        <v>0.07199999999999999</v>
      </c>
    </row>
    <row r="328">
      <c r="A328" s="107" t="n">
        <v>43220</v>
      </c>
      <c r="B328" t="n">
        <v>51.1</v>
      </c>
      <c r="C328" t="n">
        <v>0.06</v>
      </c>
    </row>
    <row r="329">
      <c r="A329" s="107" t="n">
        <v>43251</v>
      </c>
      <c r="B329" t="n">
        <v>51.1</v>
      </c>
      <c r="C329" t="n">
        <v>0.07000000000000001</v>
      </c>
    </row>
    <row r="330">
      <c r="A330" s="107" t="n">
        <v>43281</v>
      </c>
      <c r="B330" t="n">
        <v>51</v>
      </c>
      <c r="C330" t="n">
        <v>0.068</v>
      </c>
    </row>
    <row r="331">
      <c r="A331" s="107" t="n">
        <v>43312</v>
      </c>
      <c r="B331" t="n">
        <v>50.8</v>
      </c>
      <c r="C331" t="n">
        <v>0.06</v>
      </c>
    </row>
    <row r="332">
      <c r="A332" s="107" t="n">
        <v>43343</v>
      </c>
      <c r="B332" t="n">
        <v>50.6</v>
      </c>
      <c r="C332" t="n">
        <v>0.06</v>
      </c>
    </row>
    <row r="333">
      <c r="A333" s="107" t="n">
        <v>43373</v>
      </c>
      <c r="B333" t="n">
        <v>50</v>
      </c>
      <c r="C333" t="n">
        <v>0.061</v>
      </c>
    </row>
    <row r="334">
      <c r="A334" s="107" t="n">
        <v>43404</v>
      </c>
      <c r="B334" t="n">
        <v>50.1</v>
      </c>
      <c r="C334" t="n">
        <v>0.058</v>
      </c>
    </row>
    <row r="335">
      <c r="A335" s="107" t="n">
        <v>43434</v>
      </c>
      <c r="B335" t="n">
        <v>50.2</v>
      </c>
      <c r="C335" t="n">
        <v>0.059</v>
      </c>
    </row>
    <row r="336">
      <c r="A336" s="107" t="n">
        <v>43465</v>
      </c>
      <c r="B336" t="n">
        <v>49.7</v>
      </c>
      <c r="C336" t="n">
        <v>0.054</v>
      </c>
    </row>
    <row r="337">
      <c r="A337" s="107" t="n">
        <v>43496</v>
      </c>
      <c r="B337" t="n">
        <v>48.3</v>
      </c>
      <c r="C337" t="n">
        <v>0.057</v>
      </c>
    </row>
    <row r="338">
      <c r="A338" s="107" t="n">
        <v>43524</v>
      </c>
      <c r="B338" t="n">
        <v>49.9</v>
      </c>
      <c r="C338" t="n">
        <v>0.053</v>
      </c>
    </row>
    <row r="339">
      <c r="A339" s="107" t="n">
        <v>43555</v>
      </c>
      <c r="B339" t="n">
        <v>50.8</v>
      </c>
      <c r="C339" t="n">
        <v>0.08500000000000001</v>
      </c>
    </row>
    <row r="340">
      <c r="A340" s="107" t="n">
        <v>43585</v>
      </c>
      <c r="B340" t="n">
        <v>50.2</v>
      </c>
      <c r="C340" t="n">
        <v>0.054</v>
      </c>
    </row>
    <row r="341">
      <c r="A341" s="107" t="n">
        <v>43616</v>
      </c>
      <c r="B341" t="n">
        <v>50.2</v>
      </c>
      <c r="C341" t="n">
        <v>0.054</v>
      </c>
    </row>
    <row r="342">
      <c r="A342" s="107" t="n">
        <v>43646</v>
      </c>
      <c r="B342" t="n">
        <v>49.4</v>
      </c>
      <c r="C342" t="n">
        <v>0.05</v>
      </c>
    </row>
    <row r="343">
      <c r="A343" s="107" t="n">
        <v>43677</v>
      </c>
      <c r="B343" t="n">
        <v>49.9</v>
      </c>
      <c r="C343" t="n">
        <v>0.063</v>
      </c>
    </row>
    <row r="344">
      <c r="A344" s="107" t="n">
        <v>43708</v>
      </c>
      <c r="B344" t="n">
        <v>50.4</v>
      </c>
      <c r="C344" t="n">
        <v>0.048</v>
      </c>
    </row>
    <row r="345">
      <c r="A345" s="107" t="n">
        <v>43738</v>
      </c>
      <c r="B345" t="n">
        <v>51.4</v>
      </c>
      <c r="C345" t="n">
        <v>0.044</v>
      </c>
    </row>
    <row r="346">
      <c r="A346" s="107" t="n">
        <v>43769</v>
      </c>
      <c r="B346" t="n">
        <v>51.7</v>
      </c>
      <c r="C346" t="n">
        <v>0.058</v>
      </c>
    </row>
    <row r="347">
      <c r="A347" s="107" t="n">
        <v>43799</v>
      </c>
      <c r="B347" t="n">
        <v>51.8</v>
      </c>
      <c r="C347" t="n">
        <v>0.047</v>
      </c>
    </row>
    <row r="348">
      <c r="A348" s="107" t="n">
        <v>43830</v>
      </c>
      <c r="B348" t="n">
        <v>51.5</v>
      </c>
      <c r="C348" t="n">
        <v>0.062</v>
      </c>
    </row>
    <row r="349">
      <c r="A349" s="107" t="n">
        <v>43890</v>
      </c>
      <c r="B349" t="n">
        <v>51.1</v>
      </c>
      <c r="C349" t="n">
        <v>0.06900000000000001</v>
      </c>
    </row>
    <row r="350">
      <c r="A350" s="107" t="n">
        <v>43921</v>
      </c>
      <c r="B350" t="n">
        <v>40.3</v>
      </c>
      <c r="C350" t="n">
        <v>-0.135</v>
      </c>
    </row>
    <row r="351">
      <c r="A351" s="107" t="n">
        <v>43951</v>
      </c>
      <c r="B351" t="n">
        <v>50.1</v>
      </c>
      <c r="C351" t="n">
        <v>-0.011</v>
      </c>
    </row>
    <row r="352">
      <c r="A352" s="107" t="n">
        <v>43982</v>
      </c>
      <c r="B352" t="n">
        <v>49.4</v>
      </c>
      <c r="C352" t="n">
        <v>0.039</v>
      </c>
    </row>
    <row r="353">
      <c r="A353" s="107" t="n">
        <v>44012</v>
      </c>
      <c r="B353" t="n">
        <v>50.7</v>
      </c>
      <c r="C353" t="n">
        <v>0.044</v>
      </c>
    </row>
    <row r="354">
      <c r="A354" s="107" t="n">
        <v>44043</v>
      </c>
      <c r="B354" t="n">
        <v>51.2</v>
      </c>
      <c r="C354" t="n">
        <v>0.048</v>
      </c>
    </row>
    <row r="355">
      <c r="A355" s="107" t="n">
        <v>44074</v>
      </c>
      <c r="B355" t="n">
        <v>52.8</v>
      </c>
      <c r="C355" t="n">
        <v>0.048</v>
      </c>
    </row>
    <row r="356">
      <c r="A356" s="107" t="n">
        <v>44104</v>
      </c>
      <c r="B356" t="n">
        <v>53.1</v>
      </c>
      <c r="C356" t="n">
        <v>0.056</v>
      </c>
    </row>
    <row r="357" ht="16" customHeight="1" s="81">
      <c r="A357" s="107" t="n">
        <v>44135</v>
      </c>
      <c r="B357" t="n">
        <v>53</v>
      </c>
      <c r="C357" t="n">
        <v>0.06900000000000001</v>
      </c>
    </row>
    <row r="358" ht="16" customHeight="1" s="81">
      <c r="A358" s="107" t="n">
        <v>44165</v>
      </c>
      <c r="B358" t="n">
        <v>53.6</v>
      </c>
      <c r="C358" t="n">
        <v>0.06900000000000001</v>
      </c>
    </row>
    <row r="359" ht="16" customHeight="1" s="81">
      <c r="A359" s="107" t="n">
        <v>44196</v>
      </c>
      <c r="B359" t="n">
        <v>49.9</v>
      </c>
      <c r="C359" t="n">
        <v>0.07000000000000001</v>
      </c>
    </row>
    <row r="360" ht="16" customHeight="1" s="81">
      <c r="A360" s="107" t="n">
        <v>44227</v>
      </c>
      <c r="B360" t="n">
        <v>51.5</v>
      </c>
      <c r="C360" t="n">
        <v>0.038</v>
      </c>
    </row>
    <row r="361" ht="16" customHeight="1" s="81">
      <c r="A361" s="107" t="n">
        <v>44255</v>
      </c>
      <c r="B361" t="n">
        <v>50.9</v>
      </c>
      <c r="C361" t="n">
        <v>0.351</v>
      </c>
    </row>
    <row r="362" ht="16" customHeight="1" s="81">
      <c r="A362" s="107" t="n">
        <v>44286</v>
      </c>
      <c r="B362" t="n">
        <v>50.6</v>
      </c>
      <c r="C362" t="n">
        <v>0.141</v>
      </c>
    </row>
    <row r="363" ht="16" customHeight="1" s="81">
      <c r="A363" s="107" t="n">
        <v>44316</v>
      </c>
      <c r="B363" t="n">
        <v>51.9</v>
      </c>
      <c r="C363" t="n">
        <v>0.098</v>
      </c>
    </row>
    <row r="364" ht="16" customHeight="1" s="81">
      <c r="A364" s="107" t="n">
        <v>44347</v>
      </c>
      <c r="B364" t="n">
        <v>52</v>
      </c>
      <c r="C364" t="n">
        <v>0.08799999999999999</v>
      </c>
    </row>
    <row r="365" ht="16" customHeight="1" s="81">
      <c r="A365" s="107" t="n">
        <v>44377</v>
      </c>
      <c r="B365" t="n">
        <v>51.3</v>
      </c>
      <c r="C365" t="n">
        <v>0.083</v>
      </c>
    </row>
    <row r="366" ht="16" customHeight="1" s="81">
      <c r="A366" s="107" t="n">
        <v>44408</v>
      </c>
      <c r="B366" t="n">
        <v>50.3</v>
      </c>
      <c r="C366" t="n">
        <v>0.064</v>
      </c>
    </row>
    <row r="367" ht="16" customHeight="1" s="81">
      <c r="A367" s="107" t="n">
        <v>44439</v>
      </c>
      <c r="B367" t="n">
        <v>49.2</v>
      </c>
      <c r="C367" t="n">
        <v>0.053</v>
      </c>
    </row>
    <row r="368">
      <c r="A368" s="107" t="n">
        <v>44468</v>
      </c>
      <c r="B368" t="n">
        <v>50</v>
      </c>
    </row>
    <row r="369">
      <c r="A369" s="107" t="n">
        <v>44469</v>
      </c>
      <c r="B369" t="n">
        <v>50</v>
      </c>
      <c r="C369" t="n">
        <v>0.031</v>
      </c>
    </row>
    <row r="370">
      <c r="A370" s="107" t="n">
        <v>44500</v>
      </c>
      <c r="B370" t="n">
        <v>50.6</v>
      </c>
      <c r="C370" t="n">
        <v>0.035</v>
      </c>
    </row>
    <row r="371">
      <c r="A371" s="107" t="n">
        <v>44530</v>
      </c>
      <c r="B371" t="n">
        <v>49.9</v>
      </c>
      <c r="C371" t="n">
        <v>0.038</v>
      </c>
    </row>
    <row r="372">
      <c r="A372" s="107" t="n">
        <v>44561</v>
      </c>
      <c r="B372" t="n">
        <v>50.9</v>
      </c>
      <c r="C372" t="n">
        <v>0.043</v>
      </c>
    </row>
    <row r="373">
      <c r="A373" s="107" t="n">
        <v>44590</v>
      </c>
      <c r="B373" t="n">
        <v>49.1</v>
      </c>
      <c r="C373" t="n">
        <v>0.075</v>
      </c>
    </row>
    <row r="374">
      <c r="A374" s="107" t="n">
        <v>44620</v>
      </c>
      <c r="B374" t="n">
        <v>50.4</v>
      </c>
      <c r="C374" t="n">
        <v>0.075</v>
      </c>
    </row>
    <row r="375">
      <c r="A375" s="107" t="n">
        <v>44651</v>
      </c>
      <c r="B375" t="n">
        <v>48.1</v>
      </c>
      <c r="C375" t="n">
        <v>0.05</v>
      </c>
    </row>
    <row r="376">
      <c r="A376" s="107" t="n">
        <v>44679</v>
      </c>
    </row>
    <row r="377">
      <c r="A377" s="107" t="n">
        <v>44680</v>
      </c>
      <c r="B377" t="n">
        <v>46</v>
      </c>
      <c r="C377" t="n">
        <v>-0.029</v>
      </c>
    </row>
    <row r="378">
      <c r="A378" s="107" t="n">
        <v>44712</v>
      </c>
      <c r="B378" t="n">
        <v>48.1</v>
      </c>
      <c r="C378" t="n">
        <v>0.006999999999999999</v>
      </c>
    </row>
    <row r="379">
      <c r="A379" s="107" t="n">
        <v>44742</v>
      </c>
      <c r="B379" t="n">
        <v>51.7</v>
      </c>
      <c r="C379" t="n">
        <v>0.039</v>
      </c>
    </row>
    <row r="380">
      <c r="A380" s="107" t="n">
        <v>44773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zoomScale="150" zoomScaleNormal="150" workbookViewId="0">
      <selection activeCell="F26" sqref="C7:F26"/>
    </sheetView>
  </sheetViews>
  <sheetFormatPr baseColWidth="10" defaultColWidth="9.1640625" defaultRowHeight="15"/>
  <cols>
    <col width="9.1640625" customWidth="1" style="87" min="1" max="1"/>
    <col width="2.1640625" customWidth="1" style="87" min="2" max="2"/>
    <col width="27.33203125" customWidth="1" style="87" min="3" max="3"/>
    <col width="32.6640625" customWidth="1" style="103" min="4" max="6"/>
    <col width="9.1640625" customWidth="1" style="87" min="7" max="39"/>
    <col width="9.1640625" customWidth="1" style="87" min="40" max="16384"/>
  </cols>
  <sheetData>
    <row r="1">
      <c r="B1" s="102" t="inlineStr">
        <is>
          <t>https://www.theglobaleconomy.com/rankings/Capital_investment/</t>
        </is>
      </c>
    </row>
    <row r="2" ht="16" customHeight="1" s="81" thickBot="1">
      <c r="B2" s="94" t="n"/>
      <c r="C2" s="94" t="n"/>
      <c r="D2" s="94" t="n"/>
      <c r="E2" s="94" t="n"/>
      <c r="F2" s="94" t="n"/>
    </row>
    <row r="3" ht="16" customHeight="1" s="81" thickBot="1">
      <c r="B3" s="95" t="inlineStr">
        <is>
          <t>Global Industrial Production</t>
        </is>
      </c>
      <c r="C3" s="96" t="n"/>
      <c r="D3" s="96" t="n"/>
      <c r="E3" s="96" t="n"/>
      <c r="F3" s="97" t="n"/>
    </row>
    <row r="7" ht="20" customHeight="1" s="81">
      <c r="D7" s="66" t="inlineStr">
        <is>
          <t>% World GDP</t>
        </is>
      </c>
      <c r="E7" s="66" t="inlineStr">
        <is>
          <t>Investment as % of GDP</t>
        </is>
      </c>
      <c r="F7" s="66" t="inlineStr">
        <is>
          <t>Industrial Production yoy %</t>
        </is>
      </c>
    </row>
    <row r="8" ht="19" customHeight="1" s="81">
      <c r="C8" s="67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 s="81">
      <c r="C9" s="67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 s="81">
      <c r="C10" s="67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 s="81">
      <c r="C11" s="67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 s="81">
      <c r="C12" s="67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 s="81">
      <c r="C13" s="67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 s="81">
      <c r="C14" s="67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 s="81">
      <c r="C15" s="67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 s="81">
      <c r="C16" s="67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 s="81">
      <c r="C17" s="67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 s="81">
      <c r="C18" s="67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 s="81">
      <c r="C19" s="67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 s="81">
      <c r="C20" s="67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 s="81">
      <c r="C21" s="67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 s="81">
      <c r="C22" s="67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 s="81">
      <c r="C23" s="67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 s="81">
      <c r="C24" s="67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 s="81">
      <c r="C25" s="67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 s="81">
      <c r="C26" s="67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4" t="inlineStr">
        <is>
          <t>World GDP</t>
        </is>
      </c>
      <c r="D28" s="105">
        <f>SUM('Data World GDP'!B2:B178)</f>
        <v/>
      </c>
      <c r="E28" s="70" t="n"/>
      <c r="F28" s="70" t="n"/>
    </row>
    <row r="29">
      <c r="C29" s="64" t="inlineStr">
        <is>
          <t>Euro GDP</t>
        </is>
      </c>
      <c r="D29" s="87">
        <f>D28-VLOOKUP("Euro Area",'Data World GDP'!$A:$D,2,)</f>
        <v/>
      </c>
    </row>
    <row r="30">
      <c r="C30" s="104" t="n"/>
      <c r="D30" s="105" t="n"/>
      <c r="E30" s="103" t="n"/>
      <c r="F30" s="103" t="n"/>
      <c r="G30" s="87" t="n"/>
      <c r="H30" s="87" t="n"/>
      <c r="I30" s="87" t="n"/>
      <c r="J30" s="87" t="n"/>
      <c r="K30" s="87" t="n"/>
      <c r="L30" s="87" t="n"/>
      <c r="M30" s="87" t="n"/>
    </row>
    <row r="31"/>
    <row r="92">
      <c r="F92" s="71" t="n"/>
    </row>
    <row r="94">
      <c r="F94" s="72" t="n"/>
    </row>
    <row r="96">
      <c r="F96" s="72" t="n"/>
    </row>
    <row r="97">
      <c r="F97" s="72" t="n"/>
      <c r="G97" s="72" t="n"/>
      <c r="J97" s="72" t="n"/>
      <c r="K97" s="72" t="n"/>
      <c r="L97" s="72" t="n"/>
    </row>
    <row r="101">
      <c r="F101" s="71" t="n"/>
    </row>
    <row r="103">
      <c r="F103" s="72" t="n"/>
    </row>
    <row r="104">
      <c r="F104" s="72" t="n"/>
    </row>
    <row r="108">
      <c r="F108" s="72" t="n"/>
      <c r="G108" s="72" t="n"/>
    </row>
    <row r="111">
      <c r="F111" s="71" t="n"/>
    </row>
    <row r="112">
      <c r="F112" s="72" t="n"/>
    </row>
    <row r="113">
      <c r="F113" s="72" t="n"/>
    </row>
    <row r="120">
      <c r="F120" s="72" t="n"/>
    </row>
    <row r="123">
      <c r="F123" s="72" t="n"/>
      <c r="G123" s="72" t="n"/>
    </row>
    <row r="124">
      <c r="F124" s="72" t="n"/>
    </row>
    <row r="126">
      <c r="F126" s="71" t="n"/>
    </row>
    <row r="132">
      <c r="F132" s="72" t="n"/>
    </row>
    <row r="134">
      <c r="F134" s="72" t="n"/>
    </row>
    <row r="139">
      <c r="F139" s="72" t="n"/>
    </row>
    <row r="141">
      <c r="F141" s="72" t="n"/>
    </row>
    <row r="144">
      <c r="F144" s="72" t="n"/>
    </row>
    <row r="145">
      <c r="F145" s="71" t="n"/>
    </row>
    <row r="147">
      <c r="F147" s="71" t="n"/>
    </row>
    <row r="148">
      <c r="F148" s="72" t="n"/>
    </row>
    <row r="149">
      <c r="F149" s="72" t="n"/>
    </row>
    <row r="150">
      <c r="F150" s="72" t="n"/>
    </row>
    <row r="151">
      <c r="F151" s="72" t="n"/>
    </row>
    <row r="152">
      <c r="F152" s="72" t="n"/>
      <c r="K152" s="72" t="n"/>
    </row>
    <row r="153">
      <c r="F153" s="72" t="n"/>
    </row>
    <row r="155">
      <c r="F155" s="72" t="n"/>
    </row>
    <row r="156">
      <c r="F156" s="72" t="n"/>
    </row>
    <row r="157">
      <c r="F157" s="72" t="n"/>
    </row>
    <row r="159">
      <c r="F159" s="72" t="n"/>
      <c r="G159" s="72" t="n"/>
    </row>
    <row r="162">
      <c r="F162" s="72" t="n"/>
    </row>
    <row r="167">
      <c r="F167" s="72" t="n"/>
      <c r="G167" s="71" t="n"/>
    </row>
    <row r="169">
      <c r="F169" s="72" t="n"/>
    </row>
    <row r="170">
      <c r="F170" s="72" t="n"/>
    </row>
    <row r="176">
      <c r="F176" s="72" t="n"/>
    </row>
    <row r="177">
      <c r="F177" s="72" t="n"/>
    </row>
    <row r="178">
      <c r="F178" s="72" t="n"/>
    </row>
    <row r="179">
      <c r="F179" s="72" t="n"/>
    </row>
    <row r="181">
      <c r="E181" s="71" t="n"/>
      <c r="F181" s="72" t="n"/>
      <c r="J181" s="72" t="n"/>
      <c r="K181" s="72" t="n"/>
      <c r="L181" s="72" t="n"/>
    </row>
    <row r="182">
      <c r="F182" s="72" t="n"/>
    </row>
    <row r="183">
      <c r="F183" s="72" t="n"/>
    </row>
    <row r="184">
      <c r="F184" s="72" t="n"/>
      <c r="G184" s="72" t="n"/>
      <c r="K184" s="71" t="n"/>
    </row>
    <row r="185">
      <c r="F185" s="72" t="n"/>
    </row>
    <row r="186">
      <c r="F186" s="72" t="n"/>
    </row>
    <row r="187">
      <c r="F187" s="72" t="n"/>
      <c r="G187" s="72" t="n"/>
      <c r="H187" s="72" t="n"/>
      <c r="I187" s="72" t="n"/>
      <c r="J187" s="72" t="n"/>
      <c r="K187" s="72" t="n"/>
      <c r="L187" s="72" t="n"/>
    </row>
    <row r="188">
      <c r="F188" s="72" t="n"/>
      <c r="G188" s="72" t="n"/>
      <c r="I188" s="71" t="n"/>
      <c r="J188" s="72" t="n"/>
      <c r="K188" s="72" t="n"/>
      <c r="L188" s="72" t="n"/>
    </row>
    <row r="189">
      <c r="F189" s="72" t="n"/>
      <c r="G189" s="72" t="n"/>
    </row>
    <row r="190">
      <c r="F190" s="72" t="n"/>
      <c r="G190" s="72" t="n"/>
    </row>
    <row r="191">
      <c r="F191" s="72" t="n"/>
      <c r="J191" s="71" t="n"/>
      <c r="K191" s="71" t="n"/>
    </row>
    <row r="192">
      <c r="F192" s="72" t="n"/>
      <c r="G192" s="72" t="n"/>
    </row>
    <row r="193">
      <c r="F193" s="72" t="n"/>
      <c r="G193" s="72" t="n"/>
      <c r="I193" s="72" t="n"/>
      <c r="J193" s="72" t="n"/>
      <c r="K193" s="72" t="n"/>
      <c r="L193" s="72" t="n"/>
    </row>
    <row r="194">
      <c r="F194" s="72" t="n"/>
    </row>
    <row r="195">
      <c r="F195" s="72" t="n"/>
    </row>
    <row r="196">
      <c r="F196" s="72" t="n"/>
    </row>
    <row r="197">
      <c r="F197" s="72" t="n"/>
    </row>
    <row r="198">
      <c r="F198" s="72" t="n"/>
    </row>
    <row r="199">
      <c r="F199" s="72" t="n"/>
    </row>
    <row r="200">
      <c r="F200" s="72" t="n"/>
    </row>
    <row r="201">
      <c r="F201" s="72" t="n"/>
    </row>
    <row r="202">
      <c r="F202" s="72" t="n"/>
    </row>
    <row r="203">
      <c r="F203" s="71" t="n"/>
    </row>
    <row r="204">
      <c r="F204" s="72" t="n"/>
    </row>
    <row r="205">
      <c r="F205" s="72" t="n"/>
    </row>
    <row r="206">
      <c r="F206" s="72" t="n"/>
      <c r="G206" s="72" t="n"/>
      <c r="K206" s="72" t="n"/>
    </row>
    <row r="207">
      <c r="F207" s="72" t="n"/>
    </row>
    <row r="208">
      <c r="F208" s="72" t="n"/>
    </row>
    <row r="209">
      <c r="F209" s="72" t="n"/>
    </row>
    <row r="211">
      <c r="F211" s="72" t="n"/>
      <c r="G211" s="71" t="n"/>
      <c r="J211" s="72" t="n"/>
      <c r="K211" s="72" t="n"/>
      <c r="L211" s="72" t="n"/>
    </row>
    <row r="212">
      <c r="F212" s="72" t="n"/>
    </row>
    <row r="213">
      <c r="E213" s="70" t="n"/>
      <c r="F213" s="70" t="n"/>
    </row>
    <row r="214">
      <c r="E214" s="70" t="n"/>
      <c r="F214" s="70" t="n"/>
    </row>
    <row r="215">
      <c r="E215" s="70" t="n"/>
      <c r="F215" s="70" t="n"/>
    </row>
    <row r="216">
      <c r="E216" s="70" t="n"/>
      <c r="F216" s="70" t="n"/>
    </row>
    <row r="217">
      <c r="E217" s="70" t="n"/>
      <c r="F217" s="70" t="n"/>
    </row>
    <row r="218">
      <c r="E218" s="70" t="n"/>
      <c r="F218" s="70" t="n"/>
    </row>
    <row r="219">
      <c r="E219" s="70" t="n"/>
      <c r="F219" s="70" t="n"/>
    </row>
    <row r="220">
      <c r="E220" s="70" t="n"/>
      <c r="F220" s="70" t="n"/>
    </row>
    <row r="221">
      <c r="E221" s="70" t="n"/>
      <c r="F221" s="70" t="n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11"/>
  <sheetViews>
    <sheetView zoomScale="150" zoomScaleNormal="150" workbookViewId="0">
      <pane xSplit="2" ySplit="9" topLeftCell="C385" activePane="bottomRight" state="frozen"/>
      <selection pane="topRight" activeCell="C1" sqref="C1"/>
      <selection pane="bottomLeft" activeCell="A10" sqref="A10"/>
      <selection pane="bottomRight" activeCell="AC390" sqref="AC390"/>
    </sheetView>
  </sheetViews>
  <sheetFormatPr baseColWidth="10" defaultColWidth="8.83203125" defaultRowHeight="15"/>
  <cols>
    <col width="10.6640625" bestFit="1" customWidth="1" style="87" min="1" max="1"/>
    <col width="13.6640625" customWidth="1" style="81" min="2" max="2"/>
    <col width="7.1640625" customWidth="1" style="81" min="3" max="3"/>
    <col width="7" customWidth="1" style="81" min="4" max="4"/>
    <col width="6.1640625" customWidth="1" style="81" min="5" max="11"/>
    <col hidden="1" width="6.33203125" customWidth="1" style="81" min="12" max="13"/>
    <col hidden="1" width="6.1640625" customWidth="1" style="81" min="14" max="14"/>
    <col width="6.1640625" customWidth="1" style="81" min="15" max="20"/>
    <col width="6.6640625" customWidth="1" style="81" min="21" max="21"/>
    <col width="6.1640625" customWidth="1" style="81" min="22" max="22"/>
    <col width="6.1640625" customWidth="1" style="87" min="23" max="23"/>
    <col width="15.33203125" customWidth="1" style="87" min="24" max="25"/>
    <col width="10.6640625" bestFit="1" customWidth="1" style="87" min="26" max="26"/>
    <col width="9.1640625" customWidth="1" style="87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7" thickBot="1">
      <c r="Y2" s="87" t="inlineStr">
        <is>
          <t>Last month</t>
        </is>
      </c>
      <c r="Z2" s="14" t="n">
        <v>44652</v>
      </c>
    </row>
    <row r="3" ht="75.75" customHeight="1" s="8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6">
        <f>MAX(V382:V393)</f>
        <v/>
      </c>
      <c r="Z4" s="16">
        <f>EDATE(Z2,-12)</f>
        <v/>
      </c>
    </row>
    <row r="5">
      <c r="B5" s="55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6">
        <f>MIN(V382:V393)</f>
        <v/>
      </c>
    </row>
    <row r="6">
      <c r="B6" s="55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6">
        <f>AVERAGE(V382:V393)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7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8">
        <f>VLOOKUP($Z$2,$B:$V,MATCH(V3,$B$3:$V$3,),)-VLOOKUP($Z$4,$B:$V,MATCH(V3,$B$3:$V$3,),)</f>
        <v/>
      </c>
    </row>
    <row r="9" ht="16" customHeight="1" s="81" thickBot="1">
      <c r="B9" s="59" t="inlineStr">
        <is>
          <t>M/M</t>
        </is>
      </c>
      <c r="C9" s="60">
        <f>VLOOKUP($Z$2,$B:$V,MATCH(C3,$B$3:$V$3,),)-VLOOKUP($Z$3,$B:$V,MATCH(C3,$B$3:$V$3,),)</f>
        <v/>
      </c>
      <c r="D9" s="60">
        <f>VLOOKUP($Z$2,$B:$V,MATCH(D3,$B$3:$V$3,),)-VLOOKUP($Z$3,$B:$V,MATCH(D3,$B$3:$V$3,),)</f>
        <v/>
      </c>
      <c r="E9" s="60">
        <f>VLOOKUP($Z$2,$B:$V,MATCH(E3,$B$3:$V$3,),)-VLOOKUP($Z$3,$B:$V,MATCH(E3,$B$3:$V$3,),)</f>
        <v/>
      </c>
      <c r="F9" s="60">
        <f>VLOOKUP($Z$2,$B:$V,MATCH(F3,$B$3:$V$3,),)-VLOOKUP($Z$3,$B:$V,MATCH(F3,$B$3:$V$3,),)</f>
        <v/>
      </c>
      <c r="G9" s="60">
        <f>VLOOKUP($Z$2,$B:$V,MATCH(G3,$B$3:$V$3,),)-VLOOKUP($Z$3,$B:$V,MATCH(G3,$B$3:$V$3,),)</f>
        <v/>
      </c>
      <c r="H9" s="60">
        <f>VLOOKUP($Z$2,$B:$V,MATCH(H3,$B$3:$V$3,),)-VLOOKUP($Z$3,$B:$V,MATCH(H3,$B$3:$V$3,),)</f>
        <v/>
      </c>
      <c r="I9" s="60">
        <f>VLOOKUP($Z$2,$B:$V,MATCH(I3,$B$3:$V$3,),)-VLOOKUP($Z$3,$B:$V,MATCH(I3,$B$3:$V$3,),)</f>
        <v/>
      </c>
      <c r="J9" s="60">
        <f>VLOOKUP($Z$2,$B:$V,MATCH(J3,$B$3:$V$3,),)-VLOOKUP($Z$3,$B:$V,MATCH(J3,$B$3:$V$3,),)</f>
        <v/>
      </c>
      <c r="K9" s="60">
        <f>VLOOKUP($Z$2,$B:$V,MATCH(K3,$B$3:$V$3,),)-VLOOKUP($Z$3,$B:$V,MATCH(K3,$B$3:$V$3,),)</f>
        <v/>
      </c>
      <c r="L9" s="60">
        <f>VLOOKUP($Z$2,$B:$V,MATCH(L3,$B$3:$V$3,),)-VLOOKUP($Z$3,$B:$V,MATCH(L3,$B$3:$V$3,),)</f>
        <v/>
      </c>
      <c r="M9" s="60">
        <f>VLOOKUP($Z$2,$B:$V,MATCH(M3,$B$3:$V$3,),)-VLOOKUP($Z$3,$B:$V,MATCH(M3,$B$3:$V$3,),)</f>
        <v/>
      </c>
      <c r="N9" s="60">
        <f>VLOOKUP($Z$2,$B:$V,MATCH(N3,$B$3:$V$3,),)-VLOOKUP($Z$3,$B:$V,MATCH(N3,$B$3:$V$3,),)</f>
        <v/>
      </c>
      <c r="O9" s="60">
        <f>VLOOKUP($Z$2,$B:$V,MATCH(O3,$B$3:$V$3,),)-VLOOKUP($Z$3,$B:$V,MATCH(O3,$B$3:$V$3,),)</f>
        <v/>
      </c>
      <c r="P9" s="60">
        <f>VLOOKUP($Z$2,$B:$V,MATCH(P3,$B$3:$V$3,),)-VLOOKUP($Z$3,$B:$V,MATCH(P3,$B$3:$V$3,),)</f>
        <v/>
      </c>
      <c r="Q9" s="60">
        <f>VLOOKUP($Z$2,$B:$V,MATCH(Q3,$B$3:$V$3,),)-VLOOKUP($Z$3,$B:$V,MATCH(Q3,$B$3:$V$3,),)</f>
        <v/>
      </c>
      <c r="R9" s="60">
        <f>VLOOKUP($Z$2,$B:$V,MATCH(R3,$B$3:$V$3,),)-VLOOKUP($Z$3,$B:$V,MATCH(R3,$B$3:$V$3,),)</f>
        <v/>
      </c>
      <c r="S9" s="60">
        <f>VLOOKUP($Z$2,$B:$V,MATCH(S3,$B$3:$V$3,),)-VLOOKUP($Z$3,$B:$V,MATCH(S3,$B$3:$V$3,),)</f>
        <v/>
      </c>
      <c r="T9" s="60">
        <f>VLOOKUP($Z$2,$B:$V,MATCH(T3,$B$3:$V$3,),)-VLOOKUP($Z$3,$B:$V,MATCH(T3,$B$3:$V$3,),)</f>
        <v/>
      </c>
      <c r="U9" s="60">
        <f>VLOOKUP($Z$2,$B:$V,MATCH(U3,$B$3:$V$3,),)-VLOOKUP($Z$3,$B:$V,MATCH(U3,$B$3:$V$3,),)</f>
        <v/>
      </c>
      <c r="V9" s="61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7">
      <c r="A24" s="43" t="n"/>
      <c r="B24" s="76" t="n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7">
      <c r="A25" s="43" t="n"/>
      <c r="B25" s="76" t="n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7">
      <c r="A26" s="43" t="n"/>
      <c r="B26" s="76" t="n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7">
      <c r="A27" s="43" t="n"/>
      <c r="B27" s="76" t="n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7">
      <c r="A28" s="43" t="n"/>
      <c r="B28" s="76" t="n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7">
      <c r="A29" s="43" t="n"/>
      <c r="B29" s="76" t="n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7">
      <c r="A30" s="43" t="n"/>
      <c r="B30" s="76" t="n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7">
      <c r="A31" s="43" t="n"/>
      <c r="B31" s="76" t="n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7">
      <c r="A32" s="43" t="n"/>
      <c r="B32" s="76" t="n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7">
      <c r="A33" s="43" t="n"/>
      <c r="B33" s="76" t="n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7">
      <c r="A34" s="43" t="n"/>
      <c r="B34" s="76" t="n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7">
      <c r="A35" s="43" t="n"/>
      <c r="B35" s="76" t="n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7">
      <c r="A36" s="43" t="n"/>
      <c r="B36" s="76" t="n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7">
      <c r="A37" s="43" t="n"/>
      <c r="B37" s="76" t="n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7">
      <c r="A38" s="43" t="n"/>
      <c r="B38" s="76" t="n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7">
      <c r="A39" s="43" t="n"/>
      <c r="B39" s="76" t="n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7">
      <c r="A40" s="43" t="n"/>
      <c r="B40" s="76" t="n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7">
      <c r="A41" s="43" t="n"/>
      <c r="B41" s="76" t="n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7">
      <c r="A42" s="43" t="n"/>
      <c r="B42" s="76" t="n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7">
      <c r="A43" s="43" t="n"/>
      <c r="B43" s="76" t="n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7">
      <c r="A44" s="43" t="n"/>
      <c r="B44" s="76" t="n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7">
      <c r="A45" s="43" t="n"/>
      <c r="B45" s="76" t="n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7">
      <c r="A46" s="43" t="n"/>
      <c r="B46" s="76" t="n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7">
      <c r="A47" s="43" t="n"/>
      <c r="B47" s="76" t="n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7">
      <c r="A48" s="43" t="n"/>
      <c r="B48" s="76" t="n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7">
      <c r="A49" s="43" t="n"/>
      <c r="B49" s="76" t="n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7">
      <c r="A50" s="43" t="n"/>
      <c r="B50" s="76" t="n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7">
      <c r="A51" s="43" t="n"/>
      <c r="B51" s="76" t="n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7">
      <c r="A52" s="43" t="n"/>
      <c r="B52" s="76" t="n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7">
      <c r="A53" s="43" t="n"/>
      <c r="B53" s="76" t="n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7">
      <c r="A54" s="43" t="n"/>
      <c r="B54" s="76" t="n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7">
      <c r="A55" s="43" t="n"/>
      <c r="B55" s="76" t="n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7">
      <c r="A56" s="43" t="n"/>
      <c r="B56" s="76" t="n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7">
      <c r="A57" s="43" t="n"/>
      <c r="B57" s="76" t="n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7">
      <c r="A58" s="43" t="n"/>
      <c r="B58" s="76" t="n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7">
      <c r="A59" s="43" t="n"/>
      <c r="B59" s="76" t="n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7">
      <c r="A60" s="43" t="n"/>
      <c r="B60" s="76" t="n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7">
      <c r="A61" s="43" t="n"/>
      <c r="B61" s="76" t="n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7">
      <c r="A62" s="43" t="n"/>
      <c r="B62" s="76" t="n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7">
      <c r="A63" s="43" t="n"/>
      <c r="B63" s="76" t="n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7">
      <c r="A64" s="43" t="n"/>
      <c r="B64" s="76" t="n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7">
      <c r="A65" s="43" t="n"/>
      <c r="B65" s="76" t="n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7">
      <c r="A66" s="43" t="n"/>
      <c r="B66" s="76" t="n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7">
      <c r="A67" s="43" t="n"/>
      <c r="B67" s="76" t="n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7">
      <c r="A68" s="43" t="n"/>
      <c r="B68" s="76" t="n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7">
      <c r="A69" s="43" t="n"/>
      <c r="B69" s="76" t="n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7">
      <c r="A70" s="43" t="n"/>
      <c r="B70" s="76" t="n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7">
      <c r="A71" s="43" t="n"/>
      <c r="B71" s="76" t="n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7">
      <c r="A72" s="43" t="n"/>
      <c r="B72" s="76" t="n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7">
      <c r="A73" s="43" t="n"/>
      <c r="B73" s="76" t="n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7">
      <c r="A74" s="43" t="n"/>
      <c r="B74" s="76" t="n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7">
      <c r="A75" s="43" t="n"/>
      <c r="B75" s="76" t="n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7">
      <c r="A76" s="43" t="n"/>
      <c r="B76" s="76" t="n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7">
      <c r="A77" s="43" t="n"/>
      <c r="B77" s="76" t="n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7">
      <c r="A78" s="43" t="n"/>
      <c r="B78" s="76" t="n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7">
      <c r="A79" s="43" t="n"/>
      <c r="B79" s="76" t="n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7">
      <c r="A80" s="43" t="n"/>
      <c r="B80" s="76" t="n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7">
      <c r="A81" s="43" t="n"/>
      <c r="B81" s="76" t="n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7">
      <c r="A82" s="43" t="n"/>
      <c r="B82" s="76" t="n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7">
      <c r="A83" s="43" t="n"/>
      <c r="B83" s="76" t="n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7">
      <c r="A84" s="43" t="n"/>
      <c r="B84" s="76" t="n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7">
      <c r="A85" s="43" t="n"/>
      <c r="B85" s="76" t="n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7">
      <c r="A86" s="43" t="n"/>
      <c r="B86" s="76" t="n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7">
      <c r="A87" s="43" t="n"/>
      <c r="B87" s="76" t="n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7">
      <c r="A88" s="43" t="n"/>
      <c r="B88" s="76" t="n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7">
      <c r="A89" s="43" t="n"/>
      <c r="B89" s="76" t="n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7">
      <c r="A90" s="43" t="n"/>
      <c r="B90" s="76" t="n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7">
      <c r="A91" s="43" t="n"/>
      <c r="B91" s="76" t="n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7">
      <c r="A92" s="43" t="n"/>
      <c r="B92" s="76" t="n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7">
      <c r="A93" s="43" t="n"/>
      <c r="B93" s="76" t="n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7">
      <c r="A94" s="43" t="n"/>
      <c r="B94" s="76" t="n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7">
      <c r="A95" s="43" t="n"/>
      <c r="B95" s="76" t="n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7">
      <c r="A96" s="43" t="n"/>
      <c r="B96" s="76" t="n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7">
      <c r="A97" s="43" t="n"/>
      <c r="B97" s="76" t="n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7">
      <c r="A98" s="43" t="n"/>
      <c r="B98" s="76" t="n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7">
      <c r="A99" s="43" t="n"/>
      <c r="B99" s="76" t="n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7">
      <c r="A100" s="43" t="n"/>
      <c r="B100" s="76" t="n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7">
      <c r="A101" s="43" t="n"/>
      <c r="B101" s="76" t="n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7">
      <c r="A102" s="43" t="n"/>
      <c r="B102" s="76" t="n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7">
      <c r="A103" s="43" t="n"/>
      <c r="B103" s="76" t="n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7">
      <c r="A104" s="43" t="n"/>
      <c r="B104" s="76" t="n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7">
      <c r="A105" s="43" t="n"/>
      <c r="B105" s="76" t="n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7">
      <c r="A106" s="43" t="n"/>
      <c r="B106" s="76" t="n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7">
      <c r="A107" s="43" t="n"/>
      <c r="B107" s="76" t="n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7">
      <c r="A108" s="43" t="n"/>
      <c r="B108" s="76" t="n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7">
      <c r="A109" s="43" t="n"/>
      <c r="B109" s="76" t="n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7">
      <c r="A110" s="43" t="n"/>
      <c r="B110" s="76" t="n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7">
      <c r="A111" s="43" t="n"/>
      <c r="B111" s="76" t="n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7">
      <c r="A112" s="43" t="n"/>
      <c r="B112" s="76" t="n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7">
      <c r="A113" s="43" t="n"/>
      <c r="B113" s="76" t="n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7">
      <c r="A114" s="43" t="n"/>
      <c r="B114" s="76" t="n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7">
      <c r="A115" s="43" t="n"/>
      <c r="B115" s="76" t="n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7">
      <c r="A116" s="43" t="n"/>
      <c r="B116" s="76" t="n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7">
      <c r="A117" s="43" t="n"/>
      <c r="B117" s="76" t="n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7">
      <c r="A118" s="43" t="n"/>
      <c r="B118" s="76" t="n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7">
      <c r="A119" s="43" t="n"/>
      <c r="B119" s="76" t="n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7">
      <c r="A120" s="43" t="n"/>
      <c r="B120" s="76" t="n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7">
      <c r="A121" s="43" t="n"/>
      <c r="B121" s="76" t="n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7">
      <c r="A122" s="43" t="n"/>
      <c r="B122" s="76" t="n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7">
      <c r="A123" s="43" t="n"/>
      <c r="B123" s="76" t="n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7">
      <c r="A124" s="43" t="n"/>
      <c r="B124" s="76" t="n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7">
      <c r="A125" s="43" t="n"/>
      <c r="B125" s="76" t="n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7">
      <c r="A126" s="43" t="n"/>
      <c r="B126" s="76" t="n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7">
      <c r="A127" s="43" t="n"/>
      <c r="B127" s="76" t="n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7">
      <c r="A128" s="43" t="n"/>
      <c r="B128" s="76" t="n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7">
      <c r="A129" s="43" t="n"/>
      <c r="B129" s="76" t="n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7">
      <c r="A130" s="43" t="n"/>
      <c r="B130" s="76" t="n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7">
      <c r="A131" s="43" t="n"/>
      <c r="B131" s="76" t="n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7">
      <c r="A132" s="43" t="n"/>
      <c r="B132" s="76" t="n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7">
      <c r="A133" s="43" t="n"/>
      <c r="B133" s="76" t="n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7">
      <c r="A134" s="43" t="n"/>
      <c r="B134" s="76" t="n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7">
      <c r="A135" s="43" t="n"/>
      <c r="B135" s="76" t="n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7">
      <c r="A136" s="43" t="n"/>
      <c r="B136" s="76" t="n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7">
      <c r="A137" s="43" t="n"/>
      <c r="B137" s="76" t="n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7">
      <c r="A138" s="43" t="n"/>
      <c r="B138" s="76" t="n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7">
      <c r="A139" s="43" t="n"/>
      <c r="B139" s="76" t="n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7">
      <c r="A140" s="43" t="n"/>
      <c r="B140" s="76" t="n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7">
      <c r="A141" s="43" t="n"/>
      <c r="B141" s="76" t="n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7">
      <c r="A142" s="43" t="n"/>
      <c r="B142" s="76" t="n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7">
      <c r="A143" s="43" t="n"/>
      <c r="B143" s="76" t="n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7">
      <c r="A144" s="43" t="n"/>
      <c r="B144" s="76" t="n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7">
      <c r="A145" s="43" t="n"/>
      <c r="B145" s="76" t="n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7">
      <c r="A146" s="43" t="n"/>
      <c r="B146" s="76" t="n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7">
      <c r="A147" s="43" t="n"/>
      <c r="B147" s="76" t="n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7">
      <c r="A148" s="43" t="n"/>
      <c r="B148" s="76" t="n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7">
      <c r="A149" s="43" t="n"/>
      <c r="B149" s="76" t="n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7">
      <c r="A150" s="43" t="n"/>
      <c r="B150" s="76" t="n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7">
      <c r="A151" s="43" t="n"/>
      <c r="B151" s="76" t="n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7">
      <c r="A152" s="43" t="n"/>
      <c r="B152" s="76" t="n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7">
      <c r="A153" s="43" t="n"/>
      <c r="B153" s="76" t="n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7">
      <c r="A154" s="43" t="n"/>
      <c r="B154" s="76" t="n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7">
      <c r="A155" s="43" t="n"/>
      <c r="B155" s="76" t="n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7">
      <c r="A156" s="43" t="n"/>
      <c r="B156" s="76" t="n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7">
      <c r="A157" s="43" t="n"/>
      <c r="B157" s="76" t="n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7">
      <c r="A158" s="43" t="n"/>
      <c r="B158" s="76" t="n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7">
      <c r="A159" s="43" t="n"/>
      <c r="B159" s="76" t="n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7">
      <c r="A160" s="43" t="n"/>
      <c r="B160" s="76" t="n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7">
      <c r="A161" s="43" t="n"/>
      <c r="B161" s="76" t="n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7">
      <c r="A162" s="43" t="n"/>
      <c r="B162" s="76" t="n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7">
      <c r="A163" s="43" t="n"/>
      <c r="B163" s="76" t="n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7">
      <c r="A164" s="43" t="n"/>
      <c r="B164" s="76" t="n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7">
      <c r="A165" s="43" t="n"/>
      <c r="B165" s="76" t="n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7">
      <c r="A166" s="43" t="n"/>
      <c r="B166" s="76" t="n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7">
      <c r="A167" s="43" t="n"/>
      <c r="B167" s="76" t="n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7">
      <c r="A168" s="43" t="n"/>
      <c r="B168" s="76" t="n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7">
      <c r="A169" s="43" t="n"/>
      <c r="B169" s="76" t="n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7">
      <c r="A170" s="43" t="n"/>
      <c r="B170" s="76" t="n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7">
      <c r="A171" s="43" t="n"/>
      <c r="B171" s="76" t="n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7">
      <c r="A172" s="43" t="n"/>
      <c r="B172" s="76" t="n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7">
      <c r="A173" s="43" t="n"/>
      <c r="B173" s="76" t="n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7">
      <c r="A174" s="43" t="n"/>
      <c r="B174" s="76" t="n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7">
      <c r="A175" s="43" t="n"/>
      <c r="B175" s="76" t="n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7">
      <c r="A176" s="43" t="n"/>
      <c r="B176" s="76" t="n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7">
      <c r="A177" s="43" t="n"/>
      <c r="B177" s="76" t="n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7">
      <c r="A178" s="43" t="n"/>
      <c r="B178" s="76" t="n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7">
      <c r="A179" s="43" t="n"/>
      <c r="B179" s="76" t="n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7">
      <c r="A180" s="43" t="n"/>
      <c r="B180" s="76" t="n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7">
      <c r="A181" s="43" t="n"/>
      <c r="B181" s="76" t="n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7">
      <c r="A182" s="43" t="n"/>
      <c r="B182" s="76" t="n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7">
      <c r="A183" s="43" t="n"/>
      <c r="B183" s="76" t="n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7">
      <c r="A184" s="43" t="n"/>
      <c r="B184" s="76" t="n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7">
      <c r="A185" s="43" t="n"/>
      <c r="B185" s="76" t="n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7">
      <c r="A186" s="43" t="n"/>
      <c r="B186" s="76" t="n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7">
      <c r="A187" s="43" t="n"/>
      <c r="B187" s="76" t="n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7">
      <c r="A188" s="43" t="n"/>
      <c r="B188" s="76" t="n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7">
      <c r="A189" s="43" t="n"/>
      <c r="B189" s="76" t="n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7">
      <c r="A190" s="43" t="n"/>
      <c r="B190" s="76" t="n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7">
      <c r="A191" s="43" t="n"/>
      <c r="B191" s="76" t="n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7">
      <c r="A192" s="43" t="n"/>
      <c r="B192" s="76" t="n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7">
      <c r="A193" s="43" t="n"/>
      <c r="B193" s="76" t="n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7">
      <c r="A194" s="43" t="n"/>
      <c r="B194" s="76" t="n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7">
      <c r="A195" s="43" t="n"/>
      <c r="B195" s="76" t="n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7">
      <c r="A196" s="43" t="n"/>
      <c r="B196" s="76" t="n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7">
      <c r="A197" s="43" t="n"/>
      <c r="B197" s="76" t="n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7">
      <c r="A198" s="43" t="n"/>
      <c r="B198" s="76" t="n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7">
      <c r="A199" s="43" t="n"/>
      <c r="B199" s="76" t="n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7">
      <c r="A200" s="43" t="n"/>
      <c r="B200" s="76" t="n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7">
      <c r="A201" s="43" t="n"/>
      <c r="B201" s="76" t="n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7">
      <c r="A202" s="43" t="n"/>
      <c r="B202" s="76" t="n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7">
      <c r="A203" s="43" t="n"/>
      <c r="B203" s="76" t="n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7">
      <c r="A204" s="43" t="n"/>
      <c r="B204" s="76" t="n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7">
      <c r="A205" s="43" t="n"/>
      <c r="B205" s="76" t="n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7">
      <c r="A206" s="43" t="n"/>
      <c r="B206" s="76" t="n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7">
      <c r="A207" s="43" t="n"/>
      <c r="B207" s="76" t="n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7">
      <c r="A208" s="43" t="n"/>
      <c r="B208" s="76" t="n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7">
      <c r="A209" s="43" t="n"/>
      <c r="B209" s="76" t="n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7">
      <c r="A210" s="43" t="n"/>
      <c r="B210" s="76" t="n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7">
      <c r="A211" s="43" t="n"/>
      <c r="B211" s="76" t="n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7">
      <c r="A212" s="43" t="n"/>
      <c r="B212" s="76" t="n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7">
      <c r="A213" s="43" t="n"/>
      <c r="B213" s="76" t="n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7">
      <c r="A214" s="43" t="n"/>
      <c r="B214" s="76" t="n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7">
      <c r="A215" s="43" t="n"/>
      <c r="B215" s="76" t="n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7">
      <c r="A216" s="43" t="n"/>
      <c r="B216" s="76" t="n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7">
      <c r="A217" s="43" t="n"/>
      <c r="B217" s="76" t="n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7">
      <c r="A218" s="43" t="n"/>
      <c r="B218" s="76" t="n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7">
      <c r="A219" s="43" t="n"/>
      <c r="B219" s="76" t="n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7">
      <c r="A220" s="43" t="n"/>
      <c r="B220" s="76" t="n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7">
      <c r="A221" s="43" t="n"/>
      <c r="B221" s="76" t="n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7">
      <c r="A222" s="43" t="n"/>
      <c r="B222" s="76" t="n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7">
      <c r="A223" s="43" t="n"/>
      <c r="B223" s="76" t="n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7">
      <c r="A224" s="43" t="n"/>
      <c r="B224" s="76" t="n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7">
      <c r="A225" s="43" t="n"/>
      <c r="B225" s="76" t="n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7">
      <c r="A226" s="43" t="n"/>
      <c r="B226" s="76" t="n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7">
      <c r="A227" s="43" t="n"/>
      <c r="B227" s="76" t="n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7">
      <c r="A228" s="43" t="n"/>
      <c r="B228" s="76" t="n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7">
      <c r="A229" s="43" t="n"/>
      <c r="B229" s="76" t="n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7">
      <c r="A230" s="43" t="n"/>
      <c r="B230" s="76" t="n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7">
      <c r="A231" s="43" t="n"/>
      <c r="B231" s="76" t="n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7">
      <c r="A232" s="43" t="n"/>
      <c r="B232" s="76" t="n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7">
      <c r="A233" s="43" t="n"/>
      <c r="B233" s="76" t="n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7">
      <c r="A234" s="43" t="n"/>
      <c r="B234" s="76" t="n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7">
      <c r="A235" s="43" t="n"/>
      <c r="B235" s="76" t="n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7">
      <c r="A236" s="43" t="n"/>
      <c r="B236" s="76" t="n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7">
      <c r="A237" s="43" t="n"/>
      <c r="B237" s="76" t="n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7">
      <c r="A238" s="43" t="n"/>
      <c r="B238" s="76" t="n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7">
      <c r="A239" s="43" t="n"/>
      <c r="B239" s="76" t="n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7">
      <c r="A240" s="43" t="n"/>
      <c r="B240" s="76" t="n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7">
      <c r="A241" s="43" t="n"/>
      <c r="B241" s="76" t="n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7">
      <c r="A242" s="43" t="n"/>
      <c r="B242" s="76" t="n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7">
      <c r="A243" s="43" t="n"/>
      <c r="B243" s="76" t="n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7">
      <c r="A244" s="43" t="n"/>
      <c r="B244" s="76" t="n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7">
      <c r="A245" s="43" t="n"/>
      <c r="B245" s="76" t="n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7">
      <c r="A246" s="43" t="n"/>
      <c r="B246" s="76" t="n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7">
      <c r="A247" s="43" t="n"/>
      <c r="B247" s="76" t="n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7">
      <c r="A248" s="43" t="n"/>
      <c r="B248" s="76" t="n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7">
      <c r="A249" s="43" t="n"/>
      <c r="B249" s="76" t="n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7">
      <c r="A250" s="43" t="n"/>
      <c r="B250" s="76" t="n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7">
      <c r="A251" s="43" t="n"/>
      <c r="B251" s="76" t="n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7">
      <c r="A252" s="43" t="n"/>
      <c r="B252" s="76" t="n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7">
      <c r="A253" s="43" t="n"/>
      <c r="B253" s="76" t="n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7">
      <c r="A254" s="43" t="n"/>
      <c r="B254" s="76" t="n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7">
      <c r="A255" s="43" t="n"/>
      <c r="B255" s="76" t="n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7">
      <c r="A256" s="43" t="n"/>
      <c r="B256" s="76" t="n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7">
      <c r="A257" s="43" t="n"/>
      <c r="B257" s="76" t="n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7">
      <c r="A258" s="43" t="n"/>
      <c r="B258" s="76" t="n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7">
      <c r="A259" s="43" t="n"/>
      <c r="B259" s="76" t="n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7">
      <c r="A260" s="43" t="n"/>
      <c r="B260" s="76" t="n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7">
      <c r="A261" s="43" t="n"/>
      <c r="B261" s="76" t="n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7">
      <c r="A262" s="43" t="n"/>
      <c r="B262" s="76" t="n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7">
      <c r="A263" s="43" t="n"/>
      <c r="B263" s="76" t="n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7">
      <c r="A264" s="43" t="n"/>
      <c r="B264" s="76" t="n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7">
      <c r="A265" s="43" t="n"/>
      <c r="B265" s="76" t="n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7">
      <c r="A266" s="43" t="n"/>
      <c r="B266" s="76" t="n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7">
      <c r="A267" s="43" t="n"/>
      <c r="B267" s="76" t="n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7">
      <c r="A268" s="43" t="n"/>
      <c r="B268" s="76" t="n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7">
      <c r="A269" s="43" t="n"/>
      <c r="B269" s="76" t="n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7">
      <c r="A270" s="43" t="n"/>
      <c r="B270" s="76" t="n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7">
      <c r="A271" s="43" t="n"/>
      <c r="B271" s="76" t="n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7">
      <c r="A272" s="43" t="n"/>
      <c r="B272" s="76" t="n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7">
      <c r="A273" s="43" t="n"/>
      <c r="B273" s="76" t="n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7">
      <c r="A274" s="43" t="n"/>
      <c r="B274" s="76" t="n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7">
      <c r="A275" s="43" t="n"/>
      <c r="B275" s="76" t="n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7">
      <c r="A276" s="43" t="n"/>
      <c r="B276" s="76" t="n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7">
      <c r="A277" s="43" t="n"/>
      <c r="B277" s="76" t="n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7">
      <c r="A278" s="43" t="n"/>
      <c r="B278" s="76" t="n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7">
      <c r="A279" s="43" t="n"/>
      <c r="B279" s="76" t="n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7">
      <c r="A280" s="43" t="n"/>
      <c r="B280" s="76" t="n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7">
      <c r="A281" s="43" t="n"/>
      <c r="B281" s="76" t="n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7">
      <c r="A282" s="43" t="n"/>
      <c r="B282" s="76" t="n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7">
      <c r="A283" s="43" t="n"/>
      <c r="B283" s="76" t="n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7">
      <c r="A284" s="43" t="n"/>
      <c r="B284" s="76" t="n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7">
      <c r="A285" s="43" t="n"/>
      <c r="B285" s="76" t="n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7">
      <c r="A286" s="43" t="n"/>
      <c r="B286" s="76" t="n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7">
      <c r="A287" s="43" t="n"/>
      <c r="B287" s="76" t="n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7">
      <c r="A288" s="43" t="n"/>
      <c r="B288" s="76" t="n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7">
      <c r="A289" s="43" t="n"/>
      <c r="B289" s="76" t="n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7">
      <c r="A290" s="43" t="n"/>
      <c r="B290" s="76" t="n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7">
      <c r="A291" s="43" t="n"/>
      <c r="B291" s="76" t="n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7">
      <c r="A292" s="43" t="n"/>
      <c r="B292" s="76" t="n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7">
      <c r="A293" s="43" t="n"/>
      <c r="B293" s="76" t="n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7">
      <c r="A294" s="43" t="n"/>
      <c r="B294" s="76" t="n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7">
      <c r="A295" s="43" t="n"/>
      <c r="B295" s="76" t="n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7">
      <c r="A296" s="43" t="n"/>
      <c r="B296" s="76" t="n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7">
      <c r="A297" s="43" t="n"/>
      <c r="B297" s="76" t="n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7">
      <c r="A298" s="43" t="n"/>
      <c r="B298" s="76" t="n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7">
      <c r="A299" s="43" t="n"/>
      <c r="B299" s="76" t="n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7">
      <c r="A300" s="43" t="n"/>
      <c r="B300" s="76" t="n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7">
      <c r="A301" s="43" t="n"/>
      <c r="B301" s="76" t="n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7">
      <c r="A302" s="43" t="n"/>
      <c r="B302" s="76" t="n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7">
      <c r="A303" s="43" t="n"/>
      <c r="B303" s="76" t="n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7">
      <c r="A304" s="43" t="n"/>
      <c r="B304" s="76" t="n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7">
      <c r="A305" s="43" t="n"/>
      <c r="B305" s="76" t="n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7">
      <c r="A306" s="43" t="n"/>
      <c r="B306" s="76" t="n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7">
      <c r="A307" s="43" t="n"/>
      <c r="B307" s="76" t="n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7">
      <c r="A308" s="43" t="n"/>
      <c r="B308" s="76" t="n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7">
      <c r="A309" s="43" t="n"/>
      <c r="B309" s="76" t="n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7">
      <c r="A310" s="43" t="n"/>
      <c r="B310" s="76" t="n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7">
      <c r="A311" s="43" t="n"/>
      <c r="B311" s="76" t="n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7">
      <c r="A312" s="43" t="n"/>
      <c r="B312" s="76" t="n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7">
      <c r="A313" s="43" t="n"/>
      <c r="B313" s="76" t="n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7">
      <c r="A314" s="43" t="n"/>
      <c r="B314" s="76" t="n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7">
      <c r="A315" s="43" t="n"/>
      <c r="B315" s="76" t="n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7">
      <c r="A316" s="43" t="n"/>
      <c r="B316" s="76" t="n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7">
      <c r="A317" s="43" t="n"/>
      <c r="B317" s="76" t="n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7">
      <c r="A318" s="43" t="n"/>
      <c r="B318" s="76" t="n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7">
      <c r="A319" s="43" t="n"/>
      <c r="B319" s="76" t="n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7">
      <c r="A320" s="43" t="n"/>
      <c r="B320" s="76" t="n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7">
      <c r="A321" s="43" t="n"/>
      <c r="B321" s="76" t="n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7">
      <c r="A322" s="43" t="n"/>
      <c r="B322" s="76" t="n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7">
      <c r="A323" s="43" t="n"/>
      <c r="B323" s="76" t="n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7">
      <c r="A324" s="43" t="n"/>
      <c r="B324" s="76" t="n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7">
      <c r="A325" s="43" t="n"/>
      <c r="B325" s="76" t="n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7">
      <c r="A326" s="43" t="n"/>
      <c r="B326" s="76" t="n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7">
      <c r="A327" s="43" t="n"/>
      <c r="B327" s="76" t="n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7">
      <c r="A328" s="43" t="n"/>
      <c r="B328" s="76" t="n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7">
      <c r="A329" s="43" t="n"/>
      <c r="B329" s="76" t="n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7">
      <c r="A330" s="43" t="n"/>
      <c r="B330" s="76" t="n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7">
      <c r="A331" s="43" t="n"/>
      <c r="B331" s="76" t="n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7">
      <c r="A332" s="43" t="n"/>
      <c r="B332" s="76" t="n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7">
      <c r="A333" s="43" t="n"/>
      <c r="B333" s="76" t="n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7">
      <c r="A334" s="43" t="n"/>
      <c r="B334" s="76" t="n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7">
      <c r="A335" s="43" t="n"/>
      <c r="B335" s="76" t="n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7">
      <c r="A336" s="43" t="n"/>
      <c r="B336" s="76" t="n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7">
      <c r="A337" s="43" t="n"/>
      <c r="B337" s="76" t="n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7">
      <c r="A338" s="43" t="n"/>
      <c r="B338" s="76" t="n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7">
      <c r="A339" s="43" t="n"/>
      <c r="B339" s="76" t="n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7">
      <c r="A340" s="43" t="n"/>
      <c r="B340" s="76" t="n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7">
      <c r="A341" s="43" t="n"/>
      <c r="B341" s="76" t="n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7">
      <c r="A342" s="43" t="n"/>
      <c r="B342" s="76" t="n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7">
      <c r="A343" s="43" t="n"/>
      <c r="B343" s="76" t="n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7">
      <c r="A344" s="43" t="n"/>
      <c r="B344" s="76" t="n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7">
      <c r="A345" s="43" t="n"/>
      <c r="B345" s="76" t="n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7">
      <c r="A346" s="43" t="n"/>
      <c r="B346" s="76" t="n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7">
      <c r="A347" s="43" t="n"/>
      <c r="B347" s="76" t="n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7">
      <c r="A348" s="43" t="n"/>
      <c r="B348" s="76" t="n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7">
      <c r="A349" s="43" t="n"/>
      <c r="B349" s="76" t="n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7">
      <c r="A350" s="43" t="n"/>
      <c r="B350" s="76" t="n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7">
      <c r="A351" s="43" t="n"/>
      <c r="B351" s="76" t="n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7">
      <c r="A352" s="43" t="n"/>
      <c r="B352" s="76" t="n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7">
      <c r="A353" s="43" t="n"/>
      <c r="B353" s="76" t="n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7">
      <c r="A354" s="43" t="n"/>
      <c r="B354" s="76" t="n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7">
      <c r="A355" s="43" t="n"/>
      <c r="B355" s="76" t="n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7">
      <c r="A356" s="43" t="n"/>
      <c r="B356" s="76" t="n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7">
      <c r="A357" s="43" t="n"/>
      <c r="B357" s="76" t="n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7">
      <c r="A358" s="43" t="n"/>
      <c r="B358" s="76" t="n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7">
      <c r="A359" s="43" t="n"/>
      <c r="B359" s="76" t="n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7">
      <c r="A360" s="43" t="n"/>
      <c r="B360" s="76" t="n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7">
      <c r="A361" s="43" t="n"/>
      <c r="B361" s="76" t="n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7">
      <c r="A362" s="43" t="n"/>
      <c r="B362" s="76" t="n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7">
      <c r="A363" s="43" t="n"/>
      <c r="B363" s="76" t="n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7">
      <c r="A364" s="43" t="n"/>
      <c r="B364" s="76" t="n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7">
      <c r="A365" s="43" t="n"/>
      <c r="B365" s="76" t="n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7">
      <c r="A366" s="43" t="n"/>
      <c r="B366" s="76" t="n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7">
      <c r="A367" s="43" t="n"/>
      <c r="B367" s="76" t="n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7">
      <c r="A368" s="43" t="n"/>
      <c r="B368" s="76" t="n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7">
      <c r="B369" s="76" t="n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7">
      <c r="B370" s="76" t="n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7">
      <c r="B371" s="76" t="n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7">
      <c r="B372" s="76" t="n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7">
      <c r="B373" s="76" t="n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7">
      <c r="B374" s="76" t="n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7">
      <c r="B375" s="76" t="n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7">
      <c r="B376" s="76" t="n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7">
      <c r="B377" s="76" t="n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7">
      <c r="B378" s="76" t="n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7">
      <c r="B379" s="76" t="n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7">
      <c r="B380" s="76" t="n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7">
      <c r="B381" s="76" t="n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7">
      <c r="B382" s="76" t="n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7">
      <c r="B383" s="76" t="n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7">
      <c r="B384" s="76" t="n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7">
      <c r="B385" s="76" t="n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7">
      <c r="B386" s="76" t="n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7">
      <c r="B387" s="76" t="n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7">
      <c r="B388" s="76" t="n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7">
      <c r="B389" s="76" t="n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7">
      <c r="B390" s="76" t="n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7">
      <c r="B391" s="76" t="n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7">
      <c r="B392" s="76" t="n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7">
      <c r="B393" s="76" t="n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7">
      <c r="B394" s="76" t="n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7">
      <c r="B395" s="76" t="n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7">
      <c r="B396" s="76" t="n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7">
      <c r="B397" s="76" t="n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7">
      <c r="B398" s="76" t="n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7">
      <c r="B399" s="76" t="n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7">
      <c r="B400" s="76" t="n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7">
      <c r="B401" s="76" t="n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7">
      <c r="B402" s="76" t="n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7">
      <c r="B403" s="76" t="n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7">
      <c r="B404" s="76" t="n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7">
      <c r="B405" s="76" t="n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7">
      <c r="B406" s="76" t="n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7">
      <c r="B407" s="76" t="n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7">
      <c r="B408" s="76" t="n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7">
      <c r="B409" s="76" t="n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/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/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/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/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/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/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/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/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/>
      </c>
      <c r="L409" s="13" t="n"/>
      <c r="M409" s="13" t="n"/>
      <c r="N409" s="13" t="n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/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/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/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/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/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/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/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/>
      </c>
    </row>
    <row r="410" customFormat="1" s="87">
      <c r="B410" s="76" t="n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/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/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/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/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/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/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/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/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/>
      </c>
      <c r="L410" s="13" t="n"/>
      <c r="M410" s="13" t="n"/>
      <c r="N410" s="13" t="n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/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/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/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/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/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/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/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/>
      </c>
    </row>
    <row r="411" customFormat="1" s="87">
      <c r="B411" s="76" t="n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/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/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/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/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/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/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/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/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/>
      </c>
      <c r="L411" s="13" t="n"/>
      <c r="M411" s="13" t="n"/>
      <c r="N411" s="13" t="n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/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/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/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/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/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/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/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/>
      </c>
    </row>
    <row r="412" customFormat="1" s="87"/>
    <row r="413" customFormat="1" s="87"/>
    <row r="414" customFormat="1" s="87"/>
    <row r="415" customFormat="1" s="87"/>
    <row r="416" customFormat="1" s="87"/>
    <row r="417" customFormat="1" s="87"/>
    <row r="418" customFormat="1" s="87"/>
    <row r="419" customFormat="1" s="87"/>
    <row r="420" customFormat="1" s="87"/>
    <row r="421" customFormat="1" s="87"/>
    <row r="422" customFormat="1" s="87"/>
    <row r="423" customFormat="1" s="87"/>
    <row r="424" customFormat="1" s="87"/>
    <row r="425" customFormat="1" s="87"/>
    <row r="426" customFormat="1" s="87"/>
    <row r="427" customFormat="1" s="87"/>
    <row r="428" customFormat="1" s="87"/>
    <row r="429" customFormat="1" s="87"/>
    <row r="430" customFormat="1" s="87"/>
    <row r="431" customFormat="1" s="87"/>
    <row r="432" customFormat="1" s="87"/>
    <row r="433" customFormat="1" s="87"/>
    <row r="434" customFormat="1" s="87"/>
    <row r="435" customFormat="1" s="87"/>
    <row r="436" customFormat="1" s="87"/>
    <row r="437" customFormat="1" s="87"/>
    <row r="438" customFormat="1" s="87"/>
    <row r="439" customFormat="1" s="87"/>
    <row r="440" customFormat="1" s="87"/>
    <row r="441" customFormat="1" s="87"/>
    <row r="442" customFormat="1" s="87"/>
    <row r="443" customFormat="1" s="87"/>
    <row r="444" customFormat="1" s="87"/>
    <row r="445" customFormat="1" s="87"/>
    <row r="446" customFormat="1" s="87"/>
    <row r="447" customFormat="1" s="87"/>
    <row r="448" customFormat="1" s="87"/>
    <row r="449" customFormat="1" s="87"/>
    <row r="450" customFormat="1" s="87"/>
    <row r="451" customFormat="1" s="87"/>
    <row r="452" customFormat="1" s="87"/>
    <row r="453" customFormat="1" s="87"/>
    <row r="454" customFormat="1" s="87"/>
    <row r="455" customFormat="1" s="87"/>
    <row r="456" customFormat="1" s="87"/>
    <row r="457" customFormat="1" s="87"/>
    <row r="458" customFormat="1" s="87"/>
    <row r="459" customFormat="1" s="87"/>
    <row r="460" customFormat="1" s="87"/>
    <row r="461" customFormat="1" s="87"/>
    <row r="462" customFormat="1" s="87"/>
    <row r="463" customFormat="1" s="87"/>
    <row r="464" customFormat="1" s="87"/>
    <row r="465" customFormat="1" s="87"/>
    <row r="466" customFormat="1" s="87"/>
    <row r="467" customFormat="1" s="87"/>
    <row r="468" customFormat="1" s="87"/>
    <row r="469" customFormat="1" s="87"/>
    <row r="470" customFormat="1" s="87"/>
    <row r="471" customFormat="1" s="87"/>
    <row r="472" customFormat="1" s="87"/>
    <row r="473" customFormat="1" s="87"/>
    <row r="474" customFormat="1" s="87"/>
    <row r="475" customFormat="1" s="87"/>
    <row r="476" customFormat="1" s="87"/>
    <row r="477" customFormat="1" s="87"/>
    <row r="478" customFormat="1" s="87"/>
    <row r="479" customFormat="1" s="87"/>
    <row r="480" customFormat="1" s="87"/>
    <row r="481" customFormat="1" s="87"/>
    <row r="482" customFormat="1" s="87"/>
    <row r="483" customFormat="1" s="87"/>
    <row r="484" customFormat="1" s="87"/>
    <row r="485" customFormat="1" s="87"/>
    <row r="486" customFormat="1" s="87"/>
    <row r="487" customFormat="1" s="87"/>
    <row r="488" customFormat="1" s="87"/>
    <row r="489" customFormat="1" s="87"/>
    <row r="490" customFormat="1" s="87"/>
    <row r="491" customFormat="1" s="87"/>
    <row r="492" customFormat="1" s="87"/>
    <row r="493" customFormat="1" s="87"/>
    <row r="494" customFormat="1" s="87"/>
    <row r="495" customFormat="1" s="87"/>
    <row r="496" customFormat="1" s="87"/>
    <row r="497" customFormat="1" s="87"/>
    <row r="498" customFormat="1" s="87"/>
    <row r="499" customFormat="1" s="87"/>
    <row r="500" customFormat="1" s="87"/>
    <row r="501" customFormat="1" s="87"/>
    <row r="502" customFormat="1" s="87"/>
    <row r="503" customFormat="1" s="87"/>
    <row r="504" customFormat="1" s="87"/>
    <row r="505" customFormat="1" s="87"/>
    <row r="506" customFormat="1" s="87"/>
    <row r="507" customFormat="1" s="87"/>
    <row r="508" customFormat="1" s="87"/>
    <row r="509" customFormat="1" s="87"/>
    <row r="510" customFormat="1" s="87"/>
    <row r="511" customFormat="1" s="87"/>
    <row r="512" customFormat="1" s="87"/>
    <row r="513" customFormat="1" s="87"/>
    <row r="514" customFormat="1" s="87"/>
    <row r="515" customFormat="1" s="87"/>
    <row r="516" customFormat="1" s="87"/>
    <row r="517" customFormat="1" s="87"/>
    <row r="518" customFormat="1" s="87"/>
    <row r="519" customFormat="1" s="87"/>
    <row r="520" customFormat="1" s="87"/>
    <row r="521" customFormat="1" s="87"/>
    <row r="522" customFormat="1" s="87"/>
    <row r="523" customFormat="1" s="87"/>
    <row r="524" customFormat="1" s="87"/>
    <row r="525" customFormat="1" s="87"/>
    <row r="526" customFormat="1" s="87"/>
    <row r="527" customFormat="1" s="87"/>
    <row r="528" customFormat="1" s="87"/>
    <row r="529" customFormat="1" s="87"/>
    <row r="530" customFormat="1" s="87"/>
    <row r="531" customFormat="1" s="87"/>
    <row r="532" customFormat="1" s="87"/>
    <row r="533" customFormat="1" s="87"/>
    <row r="534" customFormat="1" s="87"/>
    <row r="535" customFormat="1" s="87"/>
    <row r="536" customFormat="1" s="87"/>
    <row r="537" customFormat="1" s="87"/>
    <row r="538" customFormat="1" s="87"/>
    <row r="539" customFormat="1" s="87"/>
    <row r="540" customFormat="1" s="87"/>
    <row r="541" customFormat="1" s="87"/>
    <row r="542" customFormat="1" s="87"/>
    <row r="543" customFormat="1" s="87"/>
    <row r="544" customFormat="1" s="87"/>
    <row r="545" customFormat="1" s="87"/>
    <row r="546" customFormat="1" s="87"/>
    <row r="547" customFormat="1" s="87"/>
    <row r="548" customFormat="1" s="87"/>
    <row r="549" customFormat="1" s="87"/>
    <row r="550" customFormat="1" s="87"/>
    <row r="551" customFormat="1" s="87"/>
    <row r="552" customFormat="1" s="87"/>
    <row r="553" customFormat="1" s="87"/>
    <row r="554" customFormat="1" s="87"/>
    <row r="555" customFormat="1" s="87"/>
    <row r="556" customFormat="1" s="87"/>
    <row r="557" customFormat="1" s="87"/>
    <row r="558" customFormat="1" s="87"/>
    <row r="559" customFormat="1" s="87"/>
    <row r="560" customFormat="1" s="87"/>
    <row r="561" customFormat="1" s="87"/>
    <row r="562" customFormat="1" s="87"/>
    <row r="563" customFormat="1" s="87"/>
    <row r="564" customFormat="1" s="87"/>
    <row r="565" customFormat="1" s="87"/>
    <row r="566" customFormat="1" s="87"/>
    <row r="567" customFormat="1" s="87"/>
    <row r="568" customFormat="1" s="87"/>
    <row r="569" customFormat="1" s="87"/>
    <row r="570" customFormat="1" s="87"/>
    <row r="571" customFormat="1" s="87"/>
    <row r="572" customFormat="1" s="87"/>
    <row r="573" customFormat="1" s="87"/>
    <row r="574" customFormat="1" s="87"/>
    <row r="575" customFormat="1" s="87"/>
    <row r="576" customFormat="1" s="87"/>
    <row r="577" customFormat="1" s="87"/>
    <row r="578" customFormat="1" s="87"/>
    <row r="579" customFormat="1" s="87"/>
    <row r="580" customFormat="1" s="87"/>
    <row r="581" customFormat="1" s="87"/>
    <row r="582" customFormat="1" s="87"/>
    <row r="583" customFormat="1" s="87"/>
    <row r="584" customFormat="1" s="87"/>
    <row r="585" customFormat="1" s="87"/>
    <row r="586" customFormat="1" s="87"/>
    <row r="587" customFormat="1" s="87"/>
    <row r="588" customFormat="1" s="87"/>
    <row r="589" customFormat="1" s="87"/>
    <row r="590" customFormat="1" s="87"/>
    <row r="591" customFormat="1" s="87"/>
    <row r="592" customFormat="1" s="87"/>
    <row r="593" customFormat="1" s="87"/>
    <row r="594" customFormat="1" s="87"/>
    <row r="595" customFormat="1" s="87"/>
    <row r="596" customFormat="1" s="87"/>
    <row r="597" customFormat="1" s="87"/>
    <row r="598" customFormat="1" s="87"/>
    <row r="599" customFormat="1" s="87"/>
    <row r="600" customFormat="1" s="87"/>
    <row r="601" customFormat="1" s="87"/>
    <row r="602" customFormat="1" s="87"/>
    <row r="603" customFormat="1" s="87"/>
    <row r="604" customFormat="1" s="87"/>
    <row r="605" customFormat="1" s="87"/>
    <row r="606" customFormat="1" s="87"/>
    <row r="607" customFormat="1" s="87"/>
    <row r="608" customFormat="1" s="87"/>
    <row r="609" customFormat="1" s="87"/>
    <row r="610" customFormat="1" s="87"/>
    <row r="611" customFormat="1" s="87"/>
    <row r="612" customFormat="1" s="87"/>
    <row r="613" customFormat="1" s="87"/>
    <row r="614" customFormat="1" s="87"/>
    <row r="615" customFormat="1" s="87"/>
    <row r="616" customFormat="1" s="87"/>
    <row r="617" customFormat="1" s="87"/>
    <row r="618" customFormat="1" s="87"/>
    <row r="619" customFormat="1" s="87"/>
    <row r="620" customFormat="1" s="87"/>
    <row r="621" customFormat="1" s="87"/>
    <row r="622" customFormat="1" s="87"/>
    <row r="623" customFormat="1" s="87"/>
    <row r="624" customFormat="1" s="87"/>
    <row r="625" customFormat="1" s="87"/>
    <row r="626" customFormat="1" s="87"/>
    <row r="627" customFormat="1" s="87"/>
    <row r="628" customFormat="1" s="87"/>
    <row r="629" customFormat="1" s="87"/>
    <row r="630" customFormat="1" s="87"/>
    <row r="631" customFormat="1" s="87"/>
    <row r="632" customFormat="1" s="87"/>
    <row r="633" customFormat="1" s="87"/>
    <row r="634" customFormat="1" s="87"/>
    <row r="635" customFormat="1" s="87"/>
    <row r="636" customFormat="1" s="87"/>
    <row r="637" customFormat="1" s="87"/>
    <row r="638" customFormat="1" s="87"/>
    <row r="639" customFormat="1" s="87"/>
    <row r="640" customFormat="1" s="87"/>
    <row r="641" customFormat="1" s="87"/>
    <row r="642" customFormat="1" s="87"/>
    <row r="643" customFormat="1" s="87"/>
    <row r="644" customFormat="1" s="87"/>
    <row r="645" customFormat="1" s="87"/>
    <row r="646" customFormat="1" s="87"/>
    <row r="647" customFormat="1" s="87"/>
    <row r="648" customFormat="1" s="87"/>
    <row r="649" customFormat="1" s="87"/>
    <row r="650" customFormat="1" s="87"/>
    <row r="651" customFormat="1" s="87"/>
    <row r="652" customFormat="1" s="87"/>
    <row r="653" customFormat="1" s="87"/>
    <row r="654" customFormat="1" s="87"/>
    <row r="655" customFormat="1" s="87"/>
    <row r="656" customFormat="1" s="87"/>
    <row r="657" customFormat="1" s="87"/>
    <row r="658" customFormat="1" s="87"/>
    <row r="659" customFormat="1" s="87"/>
    <row r="660" customFormat="1" s="87"/>
    <row r="661" customFormat="1" s="87"/>
    <row r="662" customFormat="1" s="87"/>
    <row r="663" customFormat="1" s="87"/>
    <row r="664" customFormat="1" s="87"/>
    <row r="665" customFormat="1" s="87"/>
    <row r="666" customFormat="1" s="87"/>
    <row r="667" customFormat="1" s="87"/>
    <row r="668" customFormat="1" s="87"/>
    <row r="669" customFormat="1" s="87"/>
    <row r="670" customFormat="1" s="87"/>
    <row r="671" customFormat="1" s="87"/>
    <row r="672" customFormat="1" s="87"/>
    <row r="673" customFormat="1" s="87"/>
    <row r="674" customFormat="1" s="87"/>
    <row r="675" customFormat="1" s="87"/>
    <row r="676" customFormat="1" s="87"/>
    <row r="677" customFormat="1" s="87"/>
    <row r="678" customFormat="1" s="87"/>
    <row r="679" customFormat="1" s="87"/>
    <row r="680" customFormat="1" s="87"/>
    <row r="681" customFormat="1" s="87"/>
    <row r="682" customFormat="1" s="87"/>
    <row r="683" customFormat="1" s="87"/>
    <row r="684" customFormat="1" s="87"/>
    <row r="685" customFormat="1" s="87"/>
    <row r="686" customFormat="1" s="87"/>
    <row r="687" customFormat="1" s="87"/>
    <row r="688" customFormat="1" s="87"/>
    <row r="689" customFormat="1" s="87"/>
    <row r="690" customFormat="1" s="87"/>
    <row r="691" customFormat="1" s="87"/>
    <row r="692" customFormat="1" s="87"/>
    <row r="693" customFormat="1" s="87"/>
    <row r="694" customFormat="1" s="87"/>
    <row r="695" customFormat="1" s="87"/>
    <row r="696" customFormat="1" s="87"/>
    <row r="697" customFormat="1" s="87"/>
    <row r="698" customFormat="1" s="87"/>
    <row r="699" customFormat="1" s="87"/>
    <row r="700" customFormat="1" s="87"/>
    <row r="701" customFormat="1" s="87"/>
    <row r="702" customFormat="1" s="87"/>
    <row r="703" customFormat="1" s="87"/>
    <row r="704" customFormat="1" s="87"/>
    <row r="705" customFormat="1" s="87"/>
    <row r="706" customFormat="1" s="87"/>
    <row r="707" customFormat="1" s="87"/>
    <row r="708" customFormat="1" s="87"/>
    <row r="709" customFormat="1" s="87"/>
    <row r="710" customFormat="1" s="87"/>
    <row r="711" customFormat="1" s="87"/>
    <row r="712" customFormat="1" s="87"/>
    <row r="713" customFormat="1" s="87"/>
    <row r="714" customFormat="1" s="87"/>
    <row r="715" customFormat="1" s="87"/>
    <row r="716" customFormat="1" s="87"/>
    <row r="717" customFormat="1" s="87"/>
    <row r="718" customFormat="1" s="87"/>
    <row r="719" customFormat="1" s="87"/>
    <row r="720" customFormat="1" s="87"/>
    <row r="721" customFormat="1" s="87"/>
    <row r="722" customFormat="1" s="87"/>
    <row r="723" customFormat="1" s="87"/>
    <row r="724" customFormat="1" s="87"/>
    <row r="725" customFormat="1" s="87"/>
    <row r="726" customFormat="1" s="87"/>
    <row r="727" customFormat="1" s="87"/>
    <row r="728" customFormat="1" s="87"/>
    <row r="729" customFormat="1" s="87"/>
    <row r="730" customFormat="1" s="87"/>
    <row r="731" customFormat="1" s="87"/>
    <row r="732" customFormat="1" s="87"/>
    <row r="733" customFormat="1" s="87"/>
    <row r="734" customFormat="1" s="87"/>
    <row r="735" customFormat="1" s="87"/>
    <row r="736" customFormat="1" s="87"/>
    <row r="737" customFormat="1" s="87"/>
    <row r="738" customFormat="1" s="87"/>
    <row r="739" customFormat="1" s="87"/>
    <row r="740" customFormat="1" s="87"/>
    <row r="741" customFormat="1" s="87"/>
    <row r="742" customFormat="1" s="87"/>
    <row r="743" customFormat="1" s="87"/>
    <row r="744" customFormat="1" s="87"/>
    <row r="745" customFormat="1" s="87"/>
    <row r="746" customFormat="1" s="87"/>
    <row r="747" customFormat="1" s="87"/>
    <row r="748" customFormat="1" s="87"/>
    <row r="749" customFormat="1" s="87"/>
    <row r="750" customFormat="1" s="87"/>
    <row r="751" customFormat="1" s="87"/>
    <row r="752" customFormat="1" s="87"/>
    <row r="753" customFormat="1" s="87"/>
    <row r="754" customFormat="1" s="87"/>
    <row r="755" customFormat="1" s="87"/>
    <row r="756" customFormat="1" s="87"/>
    <row r="757" customFormat="1" s="87"/>
    <row r="758" customFormat="1" s="87"/>
    <row r="759" customFormat="1" s="87"/>
    <row r="760" customFormat="1" s="87"/>
    <row r="761" customFormat="1" s="87"/>
    <row r="762" customFormat="1" s="87"/>
    <row r="763" customFormat="1" s="87"/>
    <row r="764" customFormat="1" s="87"/>
    <row r="765" customFormat="1" s="87"/>
    <row r="766" customFormat="1" s="87"/>
    <row r="767" customFormat="1" s="87"/>
    <row r="768" customFormat="1" s="87"/>
    <row r="769" customFormat="1" s="87"/>
    <row r="770" customFormat="1" s="87"/>
    <row r="771" customFormat="1" s="87"/>
    <row r="772" customFormat="1" s="87"/>
    <row r="773" customFormat="1" s="87"/>
    <row r="774" customFormat="1" s="87"/>
    <row r="775" customFormat="1" s="87"/>
    <row r="776" customFormat="1" s="87"/>
    <row r="777" customFormat="1" s="87"/>
    <row r="778" customFormat="1" s="87"/>
    <row r="779" customFormat="1" s="87"/>
    <row r="780" customFormat="1" s="87"/>
    <row r="781" customFormat="1" s="87"/>
    <row r="782" customFormat="1" s="87"/>
    <row r="783" customFormat="1" s="87"/>
    <row r="784" customFormat="1" s="87"/>
    <row r="785" customFormat="1" s="87"/>
    <row r="786" customFormat="1" s="87"/>
    <row r="787" customFormat="1" s="87"/>
    <row r="788" customFormat="1" s="87"/>
    <row r="789" customFormat="1" s="87"/>
    <row r="790" customFormat="1" s="87"/>
    <row r="791" customFormat="1" s="87"/>
    <row r="792" customFormat="1" s="87"/>
    <row r="793" customFormat="1" s="87"/>
    <row r="794" customFormat="1" s="87"/>
    <row r="795" customFormat="1" s="87"/>
    <row r="796" customFormat="1" s="87"/>
    <row r="797" customFormat="1" s="87"/>
    <row r="798" customFormat="1" s="87"/>
    <row r="799" customFormat="1" s="87"/>
    <row r="800" customFormat="1" s="87"/>
    <row r="801" customFormat="1" s="87"/>
    <row r="802" customFormat="1" s="87"/>
    <row r="803" customFormat="1" s="87"/>
    <row r="804" customFormat="1" s="87"/>
    <row r="805" customFormat="1" s="87"/>
    <row r="806" customFormat="1" s="87"/>
    <row r="807" customFormat="1" s="87"/>
    <row r="808" customFormat="1" s="87"/>
    <row r="809" customFormat="1" s="87"/>
    <row r="810" customFormat="1" s="87"/>
    <row r="811" customFormat="1" s="87"/>
    <row r="812" customFormat="1" s="87"/>
    <row r="813" customFormat="1" s="87"/>
    <row r="814" customFormat="1" s="87"/>
    <row r="815" customFormat="1" s="87"/>
    <row r="816" customFormat="1" s="87"/>
    <row r="817" customFormat="1" s="87"/>
    <row r="818" customFormat="1" s="87"/>
    <row r="819" customFormat="1" s="87"/>
    <row r="820" customFormat="1" s="87"/>
    <row r="821" customFormat="1" s="87"/>
    <row r="822" customFormat="1" s="87"/>
    <row r="823" customFormat="1" s="87"/>
    <row r="824" customFormat="1" s="87"/>
    <row r="825" customFormat="1" s="87"/>
  </sheetData>
  <conditionalFormatting sqref="D264:D41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6"/>
  <sheetViews>
    <sheetView zoomScale="120" zoomScaleNormal="120" workbookViewId="0">
      <pane ySplit="1" topLeftCell="A335" activePane="bottomLeft" state="frozen"/>
      <selection pane="bottomLeft" activeCell="AJ379" sqref="AJ379"/>
    </sheetView>
  </sheetViews>
  <sheetFormatPr baseColWidth="10" defaultColWidth="8.83203125" defaultRowHeight="15"/>
  <cols>
    <col width="9.1640625" customWidth="1" style="1" min="1" max="1"/>
    <col width="12.6640625" bestFit="1" customWidth="1" style="81" min="2" max="2"/>
    <col width="11.6640625" customWidth="1" style="7" min="3" max="3"/>
    <col width="11.6640625" customWidth="1" style="6" min="4" max="4"/>
    <col width="12.83203125" customWidth="1" style="81" min="18" max="18"/>
    <col width="10.6640625" bestFit="1" customWidth="1" style="81" min="19" max="19"/>
    <col width="14.6640625" customWidth="1" style="81" min="20" max="20"/>
    <col width="31.33203125" customWidth="1" style="8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7">
      <c r="A2" s="21" t="n">
        <v>32874</v>
      </c>
      <c r="B2" s="77">
        <f>IF(VLOOKUP(A2,Database!$A:$AS,MATCH($B$1,Database!$A$1:$AS$1,0),FALSE)=0,#N/A,VLOOKUP(A2,Database!$A:$AS,MATCH($B$1,Database!$A$1:$AS$1,0),FALSE))</f>
        <v/>
      </c>
      <c r="C2" s="77">
        <f>IF(VLOOKUP(A2,Database!$A:$AS,MATCH($C$1,Database!$A$1:$AS$1,0),FALSE)=0,#N/A,VLOOKUP(A2,Database!$A:$AS,MATCH($C$1,Database!$A$1:$AS$1,0),FALSE))</f>
        <v/>
      </c>
      <c r="D2" s="77">
        <f>IF(VLOOKUP(A2,Database!$A:$AS,MATCH($D$1,Database!$A$1:$AS$1,0),FALSE)=0,#N/A,VLOOKUP(A2,Database!$A:$AS,MATCH($D$1,Database!$A$1:$AS$1,0),FALSE))</f>
        <v/>
      </c>
      <c r="E2" s="77">
        <f>IF(VLOOKUP(A2,Database!$A:$AS,MATCH($E$1,Database!$A$1:$AS$1,0),FALSE)=0,#N/A,VLOOKUP(A2,Database!$A:$AS,MATCH($E$1,Database!$A$1:$AS$1,0),FALSE))</f>
        <v/>
      </c>
      <c r="F2" s="77">
        <f>IF(VLOOKUP(A2,Database!$A:$AS,MATCH($F$1,Database!$A$1:$AS$1,0),FALSE)=0,#N/A,VLOOKUP(A2,Database!$A:$AS,MATCH($F$1,Database!$A$1:$AS$1,0),FALSE))</f>
        <v/>
      </c>
      <c r="G2" s="77">
        <f>IF(VLOOKUP(A2,Database!$A:$AS,MATCH($G$1,Database!$A$1:$AS$1,0),FALSE)=0,#N/A,VLOOKUP(A2,Database!$A:$AS,MATCH($G$1,Database!$A$1:$AS$1,0),FALSE))</f>
        <v/>
      </c>
      <c r="H2" s="77">
        <f>(((Table134567891011121314151617343[[#This Row],[ITA]]-VLOOKUP($U$1,A:B,2,))/VLOOKUP($U$1,A:B,2,))*100)+100</f>
        <v/>
      </c>
      <c r="I2" s="77">
        <f>(((Table134567891011121314151617343[[#This Row],[FRA]]-VLOOKUP($U$1,A:C,3,))/VLOOKUP($U$1,A:C,3,))*100)+100</f>
        <v/>
      </c>
      <c r="J2" s="77">
        <f>(((Table134567891011121314151617343[[#This Row],[DEU]]-VLOOKUP($U$1,A:D,4,))/VLOOKUP($U$1,A:D,4,))*100)+100</f>
        <v/>
      </c>
      <c r="K2" s="77">
        <f>(((Table134567891011121314151617343[[#This Row],[ESP]]-VLOOKUP($U$1,A:E,5,))/VLOOKUP($U$1,A:E,5,))*100)+100</f>
        <v/>
      </c>
      <c r="L2" s="77">
        <f>(((Table134567891011121314151617343[[#This Row],[EA19]]-VLOOKUP($U$1,A:F,6,))/VLOOKUP($U$1,A:F,6,))*100)+100</f>
        <v/>
      </c>
      <c r="M2" s="77">
        <f>(((Table134567891011121314151617343[[#This Row],[GBR]]-VLOOKUP($U$1,A:G,7,))/VLOOKUP($U$1,A:G,7,))*100)+100</f>
        <v/>
      </c>
      <c r="N2" s="77">
        <f>IF(VLOOKUP(A2,Database!$A:$AU,MATCH($N$1,Database!$A$1:$AU$1,0),FALSE)=0,#N/A,VLOOKUP(A2,Database!$A:$AU,MATCH($N$1,Database!$A$1:$AU$1,0),FALSE))</f>
        <v/>
      </c>
      <c r="O2" s="77">
        <f>(((Table134567891011121314151617343[[#This Row],[USA]]-VLOOKUP($U$1,A:N,14,))/VLOOKUP($U$1,A:N,14,))*100)+100</f>
        <v/>
      </c>
      <c r="P2" s="77">
        <f>IF(VLOOKUP(A2,Database!$A:$AS,MATCH($P$1,Database!$A$1:$AS$1,0),FALSE)=0,#N/A,VLOOKUP(A2,Database!$A:$AS,MATCH($P$1,Database!$A$1:$AS$1,0),FALSE))</f>
        <v/>
      </c>
      <c r="Q2" s="77">
        <f>(((Table134567891011121314151617343[[#This Row],[JPN]]-VLOOKUP($U$1,A:Q,16,))/VLOOKUP($U$1,A:Q,16,))*100)+100</f>
        <v/>
      </c>
      <c r="W2" s="87" t="inlineStr">
        <is>
          <t>AUT</t>
        </is>
      </c>
    </row>
    <row r="3" customFormat="1" s="87">
      <c r="A3" s="21" t="n">
        <v>32905</v>
      </c>
      <c r="B3" s="77">
        <f>IF(VLOOKUP(A3,Database!$A:$AS,MATCH($B$1,Database!$A$1:$AS$1,0),FALSE)=0,#N/A,VLOOKUP(A3,Database!$A:$AS,MATCH($B$1,Database!$A$1:$AS$1,0),FALSE))</f>
        <v/>
      </c>
      <c r="C3" s="77">
        <f>IF(VLOOKUP(A3,Database!$A:$AS,MATCH($C$1,Database!$A$1:$AS$1,0),FALSE)=0,#N/A,VLOOKUP(A3,Database!$A:$AS,MATCH($C$1,Database!$A$1:$AS$1,0),FALSE))</f>
        <v/>
      </c>
      <c r="D3" s="77">
        <f>IF(VLOOKUP(A3,Database!$A:$AS,MATCH($D$1,Database!$A$1:$AS$1,0),FALSE)=0,#N/A,VLOOKUP(A3,Database!$A:$AS,MATCH($D$1,Database!$A$1:$AS$1,0),FALSE))</f>
        <v/>
      </c>
      <c r="E3" s="77">
        <f>IF(VLOOKUP(A3,Database!$A:$AS,MATCH($E$1,Database!$A$1:$AS$1,0),FALSE)=0,#N/A,VLOOKUP(A3,Database!$A:$AS,MATCH($E$1,Database!$A$1:$AS$1,0),FALSE))</f>
        <v/>
      </c>
      <c r="F3" s="77">
        <f>IF(VLOOKUP(A3,Database!$A:$AS,MATCH($F$1,Database!$A$1:$AS$1,0),FALSE)=0,#N/A,VLOOKUP(A3,Database!$A:$AS,MATCH($F$1,Database!$A$1:$AS$1,0),FALSE))</f>
        <v/>
      </c>
      <c r="G3" s="77">
        <f>IF(VLOOKUP(A3,Database!$A:$AS,MATCH($G$1,Database!$A$1:$AS$1,0),FALSE)=0,#N/A,VLOOKUP(A3,Database!$A:$AS,MATCH($G$1,Database!$A$1:$AS$1,0),FALSE))</f>
        <v/>
      </c>
      <c r="H3" s="77">
        <f>(((Table134567891011121314151617343[[#This Row],[ITA]]-VLOOKUP($U$1,A:B,2,))/VLOOKUP($U$1,A:B,2,))*100)+100</f>
        <v/>
      </c>
      <c r="I3" s="77">
        <f>(((Table134567891011121314151617343[[#This Row],[FRA]]-VLOOKUP($U$1,A:C,3,))/VLOOKUP($U$1,A:C,3,))*100)+100</f>
        <v/>
      </c>
      <c r="J3" s="77">
        <f>(((Table134567891011121314151617343[[#This Row],[DEU]]-VLOOKUP($U$1,A:D,4,))/VLOOKUP($U$1,A:D,4,))*100)+100</f>
        <v/>
      </c>
      <c r="K3" s="77">
        <f>(((Table134567891011121314151617343[[#This Row],[ESP]]-VLOOKUP($U$1,A:E,5,))/VLOOKUP($U$1,A:E,5,))*100)+100</f>
        <v/>
      </c>
      <c r="L3" s="77">
        <f>(((Table134567891011121314151617343[[#This Row],[EA19]]-VLOOKUP($U$1,A:F,6,))/VLOOKUP($U$1,A:F,6,))*100)+100</f>
        <v/>
      </c>
      <c r="M3" s="77">
        <f>(((Table134567891011121314151617343[[#This Row],[GBR]]-VLOOKUP($U$1,A:G,7,))/VLOOKUP($U$1,A:G,7,))*100)+100</f>
        <v/>
      </c>
      <c r="N3" s="77">
        <f>IF(VLOOKUP(A3,Database!$A:$AU,MATCH($N$1,Database!$A$1:$AU$1,0),FALSE)=0,#N/A,VLOOKUP(A3,Database!$A:$AU,MATCH($N$1,Database!$A$1:$AU$1,0),FALSE))</f>
        <v/>
      </c>
      <c r="O3" s="77">
        <f>(((Table134567891011121314151617343[[#This Row],[USA]]-VLOOKUP($U$1,A:N,14,))/VLOOKUP($U$1,A:N,14,))*100)+100</f>
        <v/>
      </c>
      <c r="P3" s="77">
        <f>IF(VLOOKUP(A3,Database!$A:$AS,MATCH($P$1,Database!$A$1:$AS$1,0),FALSE)=0,#N/A,VLOOKUP(A3,Database!$A:$AS,MATCH($P$1,Database!$A$1:$AS$1,0),FALSE))</f>
        <v/>
      </c>
      <c r="Q3" s="77">
        <f>(((Table134567891011121314151617343[[#This Row],[JPN]]-VLOOKUP($U$1,A:Q,16,))/VLOOKUP($U$1,A:Q,16,))*100)+100</f>
        <v/>
      </c>
      <c r="W3" s="87" t="inlineStr">
        <is>
          <t>BEL</t>
        </is>
      </c>
    </row>
    <row r="4" customFormat="1" s="87">
      <c r="A4" s="21" t="n">
        <v>32933</v>
      </c>
      <c r="B4" s="77">
        <f>IF(VLOOKUP(A4,Database!$A:$AS,MATCH($B$1,Database!$A$1:$AS$1,0),FALSE)=0,#N/A,VLOOKUP(A4,Database!$A:$AS,MATCH($B$1,Database!$A$1:$AS$1,0),FALSE))</f>
        <v/>
      </c>
      <c r="C4" s="77">
        <f>IF(VLOOKUP(A4,Database!$A:$AS,MATCH($C$1,Database!$A$1:$AS$1,0),FALSE)=0,#N/A,VLOOKUP(A4,Database!$A:$AS,MATCH($C$1,Database!$A$1:$AS$1,0),FALSE))</f>
        <v/>
      </c>
      <c r="D4" s="77">
        <f>IF(VLOOKUP(A4,Database!$A:$AS,MATCH($D$1,Database!$A$1:$AS$1,0),FALSE)=0,#N/A,VLOOKUP(A4,Database!$A:$AS,MATCH($D$1,Database!$A$1:$AS$1,0),FALSE))</f>
        <v/>
      </c>
      <c r="E4" s="77">
        <f>IF(VLOOKUP(A4,Database!$A:$AS,MATCH($E$1,Database!$A$1:$AS$1,0),FALSE)=0,#N/A,VLOOKUP(A4,Database!$A:$AS,MATCH($E$1,Database!$A$1:$AS$1,0),FALSE))</f>
        <v/>
      </c>
      <c r="F4" s="77">
        <f>IF(VLOOKUP(A4,Database!$A:$AS,MATCH($F$1,Database!$A$1:$AS$1,0),FALSE)=0,#N/A,VLOOKUP(A4,Database!$A:$AS,MATCH($F$1,Database!$A$1:$AS$1,0),FALSE))</f>
        <v/>
      </c>
      <c r="G4" s="77">
        <f>IF(VLOOKUP(A4,Database!$A:$AS,MATCH($G$1,Database!$A$1:$AS$1,0),FALSE)=0,#N/A,VLOOKUP(A4,Database!$A:$AS,MATCH($G$1,Database!$A$1:$AS$1,0),FALSE))</f>
        <v/>
      </c>
      <c r="H4" s="77">
        <f>(((Table134567891011121314151617343[[#This Row],[ITA]]-VLOOKUP($U$1,A:B,2,))/VLOOKUP($U$1,A:B,2,))*100)+100</f>
        <v/>
      </c>
      <c r="I4" s="77">
        <f>(((Table134567891011121314151617343[[#This Row],[FRA]]-VLOOKUP($U$1,A:C,3,))/VLOOKUP($U$1,A:C,3,))*100)+100</f>
        <v/>
      </c>
      <c r="J4" s="77">
        <f>(((Table134567891011121314151617343[[#This Row],[DEU]]-VLOOKUP($U$1,A:D,4,))/VLOOKUP($U$1,A:D,4,))*100)+100</f>
        <v/>
      </c>
      <c r="K4" s="77">
        <f>(((Table134567891011121314151617343[[#This Row],[ESP]]-VLOOKUP($U$1,A:E,5,))/VLOOKUP($U$1,A:E,5,))*100)+100</f>
        <v/>
      </c>
      <c r="L4" s="77">
        <f>(((Table134567891011121314151617343[[#This Row],[EA19]]-VLOOKUP($U$1,A:F,6,))/VLOOKUP($U$1,A:F,6,))*100)+100</f>
        <v/>
      </c>
      <c r="M4" s="77">
        <f>(((Table134567891011121314151617343[[#This Row],[GBR]]-VLOOKUP($U$1,A:G,7,))/VLOOKUP($U$1,A:G,7,))*100)+100</f>
        <v/>
      </c>
      <c r="N4" s="77">
        <f>IF(VLOOKUP(A4,Database!$A:$AU,MATCH($N$1,Database!$A$1:$AU$1,0),FALSE)=0,#N/A,VLOOKUP(A4,Database!$A:$AU,MATCH($N$1,Database!$A$1:$AU$1,0),FALSE))</f>
        <v/>
      </c>
      <c r="O4" s="77">
        <f>(((Table134567891011121314151617343[[#This Row],[USA]]-VLOOKUP($U$1,A:N,14,))/VLOOKUP($U$1,A:N,14,))*100)+100</f>
        <v/>
      </c>
      <c r="P4" s="77">
        <f>IF(VLOOKUP(A4,Database!$A:$AS,MATCH($P$1,Database!$A$1:$AS$1,0),FALSE)=0,#N/A,VLOOKUP(A4,Database!$A:$AS,MATCH($P$1,Database!$A$1:$AS$1,0),FALSE))</f>
        <v/>
      </c>
      <c r="Q4" s="77">
        <f>(((Table134567891011121314151617343[[#This Row],[JPN]]-VLOOKUP($U$1,A:Q,16,))/VLOOKUP($U$1,A:Q,16,))*100)+100</f>
        <v/>
      </c>
      <c r="W4" s="87" t="inlineStr">
        <is>
          <t>CAN</t>
        </is>
      </c>
    </row>
    <row r="5" customFormat="1" s="87">
      <c r="A5" s="21" t="n">
        <v>32964</v>
      </c>
      <c r="B5" s="77">
        <f>IF(VLOOKUP(A5,Database!$A:$AS,MATCH($B$1,Database!$A$1:$AS$1,0),FALSE)=0,#N/A,VLOOKUP(A5,Database!$A:$AS,MATCH($B$1,Database!$A$1:$AS$1,0),FALSE))</f>
        <v/>
      </c>
      <c r="C5" s="77">
        <f>IF(VLOOKUP(A5,Database!$A:$AS,MATCH($C$1,Database!$A$1:$AS$1,0),FALSE)=0,#N/A,VLOOKUP(A5,Database!$A:$AS,MATCH($C$1,Database!$A$1:$AS$1,0),FALSE))</f>
        <v/>
      </c>
      <c r="D5" s="77">
        <f>IF(VLOOKUP(A5,Database!$A:$AS,MATCH($D$1,Database!$A$1:$AS$1,0),FALSE)=0,#N/A,VLOOKUP(A5,Database!$A:$AS,MATCH($D$1,Database!$A$1:$AS$1,0),FALSE))</f>
        <v/>
      </c>
      <c r="E5" s="77">
        <f>IF(VLOOKUP(A5,Database!$A:$AS,MATCH($E$1,Database!$A$1:$AS$1,0),FALSE)=0,#N/A,VLOOKUP(A5,Database!$A:$AS,MATCH($E$1,Database!$A$1:$AS$1,0),FALSE))</f>
        <v/>
      </c>
      <c r="F5" s="77">
        <f>IF(VLOOKUP(A5,Database!$A:$AS,MATCH($F$1,Database!$A$1:$AS$1,0),FALSE)=0,#N/A,VLOOKUP(A5,Database!$A:$AS,MATCH($F$1,Database!$A$1:$AS$1,0),FALSE))</f>
        <v/>
      </c>
      <c r="G5" s="77">
        <f>IF(VLOOKUP(A5,Database!$A:$AS,MATCH($G$1,Database!$A$1:$AS$1,0),FALSE)=0,#N/A,VLOOKUP(A5,Database!$A:$AS,MATCH($G$1,Database!$A$1:$AS$1,0),FALSE))</f>
        <v/>
      </c>
      <c r="H5" s="77">
        <f>(((Table134567891011121314151617343[[#This Row],[ITA]]-VLOOKUP($U$1,A:B,2,))/VLOOKUP($U$1,A:B,2,))*100)+100</f>
        <v/>
      </c>
      <c r="I5" s="77">
        <f>(((Table134567891011121314151617343[[#This Row],[FRA]]-VLOOKUP($U$1,A:C,3,))/VLOOKUP($U$1,A:C,3,))*100)+100</f>
        <v/>
      </c>
      <c r="J5" s="77">
        <f>(((Table134567891011121314151617343[[#This Row],[DEU]]-VLOOKUP($U$1,A:D,4,))/VLOOKUP($U$1,A:D,4,))*100)+100</f>
        <v/>
      </c>
      <c r="K5" s="77">
        <f>(((Table134567891011121314151617343[[#This Row],[ESP]]-VLOOKUP($U$1,A:E,5,))/VLOOKUP($U$1,A:E,5,))*100)+100</f>
        <v/>
      </c>
      <c r="L5" s="77">
        <f>(((Table134567891011121314151617343[[#This Row],[EA19]]-VLOOKUP($U$1,A:F,6,))/VLOOKUP($U$1,A:F,6,))*100)+100</f>
        <v/>
      </c>
      <c r="M5" s="77">
        <f>(((Table134567891011121314151617343[[#This Row],[GBR]]-VLOOKUP($U$1,A:G,7,))/VLOOKUP($U$1,A:G,7,))*100)+100</f>
        <v/>
      </c>
      <c r="N5" s="77">
        <f>IF(VLOOKUP(A5,Database!$A:$AU,MATCH($N$1,Database!$A$1:$AU$1,0),FALSE)=0,#N/A,VLOOKUP(A5,Database!$A:$AU,MATCH($N$1,Database!$A$1:$AU$1,0),FALSE))</f>
        <v/>
      </c>
      <c r="O5" s="77">
        <f>(((Table134567891011121314151617343[[#This Row],[USA]]-VLOOKUP($U$1,A:N,14,))/VLOOKUP($U$1,A:N,14,))*100)+100</f>
        <v/>
      </c>
      <c r="P5" s="77">
        <f>IF(VLOOKUP(A5,Database!$A:$AS,MATCH($P$1,Database!$A$1:$AS$1,0),FALSE)=0,#N/A,VLOOKUP(A5,Database!$A:$AS,MATCH($P$1,Database!$A$1:$AS$1,0),FALSE))</f>
        <v/>
      </c>
      <c r="Q5" s="77">
        <f>(((Table134567891011121314151617343[[#This Row],[JPN]]-VLOOKUP($U$1,A:Q,16,))/VLOOKUP($U$1,A:Q,16,))*100)+100</f>
        <v/>
      </c>
      <c r="W5" s="87" t="inlineStr">
        <is>
          <t>CHL</t>
        </is>
      </c>
    </row>
    <row r="6" customFormat="1" s="87">
      <c r="A6" s="21" t="n">
        <v>32994</v>
      </c>
      <c r="B6" s="77">
        <f>IF(VLOOKUP(A6,Database!$A:$AS,MATCH($B$1,Database!$A$1:$AS$1,0),FALSE)=0,#N/A,VLOOKUP(A6,Database!$A:$AS,MATCH($B$1,Database!$A$1:$AS$1,0),FALSE))</f>
        <v/>
      </c>
      <c r="C6" s="77">
        <f>IF(VLOOKUP(A6,Database!$A:$AS,MATCH($C$1,Database!$A$1:$AS$1,0),FALSE)=0,#N/A,VLOOKUP(A6,Database!$A:$AS,MATCH($C$1,Database!$A$1:$AS$1,0),FALSE))</f>
        <v/>
      </c>
      <c r="D6" s="77">
        <f>IF(VLOOKUP(A6,Database!$A:$AS,MATCH($D$1,Database!$A$1:$AS$1,0),FALSE)=0,#N/A,VLOOKUP(A6,Database!$A:$AS,MATCH($D$1,Database!$A$1:$AS$1,0),FALSE))</f>
        <v/>
      </c>
      <c r="E6" s="77">
        <f>IF(VLOOKUP(A6,Database!$A:$AS,MATCH($E$1,Database!$A$1:$AS$1,0),FALSE)=0,#N/A,VLOOKUP(A6,Database!$A:$AS,MATCH($E$1,Database!$A$1:$AS$1,0),FALSE))</f>
        <v/>
      </c>
      <c r="F6" s="77">
        <f>IF(VLOOKUP(A6,Database!$A:$AS,MATCH($F$1,Database!$A$1:$AS$1,0),FALSE)=0,#N/A,VLOOKUP(A6,Database!$A:$AS,MATCH($F$1,Database!$A$1:$AS$1,0),FALSE))</f>
        <v/>
      </c>
      <c r="G6" s="77">
        <f>IF(VLOOKUP(A6,Database!$A:$AS,MATCH($G$1,Database!$A$1:$AS$1,0),FALSE)=0,#N/A,VLOOKUP(A6,Database!$A:$AS,MATCH($G$1,Database!$A$1:$AS$1,0),FALSE))</f>
        <v/>
      </c>
      <c r="H6" s="77">
        <f>(((Table134567891011121314151617343[[#This Row],[ITA]]-VLOOKUP($U$1,A:B,2,))/VLOOKUP($U$1,A:B,2,))*100)+100</f>
        <v/>
      </c>
      <c r="I6" s="77">
        <f>(((Table134567891011121314151617343[[#This Row],[FRA]]-VLOOKUP($U$1,A:C,3,))/VLOOKUP($U$1,A:C,3,))*100)+100</f>
        <v/>
      </c>
      <c r="J6" s="77">
        <f>(((Table134567891011121314151617343[[#This Row],[DEU]]-VLOOKUP($U$1,A:D,4,))/VLOOKUP($U$1,A:D,4,))*100)+100</f>
        <v/>
      </c>
      <c r="K6" s="77">
        <f>(((Table134567891011121314151617343[[#This Row],[ESP]]-VLOOKUP($U$1,A:E,5,))/VLOOKUP($U$1,A:E,5,))*100)+100</f>
        <v/>
      </c>
      <c r="L6" s="77">
        <f>(((Table134567891011121314151617343[[#This Row],[EA19]]-VLOOKUP($U$1,A:F,6,))/VLOOKUP($U$1,A:F,6,))*100)+100</f>
        <v/>
      </c>
      <c r="M6" s="77">
        <f>(((Table134567891011121314151617343[[#This Row],[GBR]]-VLOOKUP($U$1,A:G,7,))/VLOOKUP($U$1,A:G,7,))*100)+100</f>
        <v/>
      </c>
      <c r="N6" s="77">
        <f>IF(VLOOKUP(A6,Database!$A:$AU,MATCH($N$1,Database!$A$1:$AU$1,0),FALSE)=0,#N/A,VLOOKUP(A6,Database!$A:$AU,MATCH($N$1,Database!$A$1:$AU$1,0),FALSE))</f>
        <v/>
      </c>
      <c r="O6" s="77">
        <f>(((Table134567891011121314151617343[[#This Row],[USA]]-VLOOKUP($U$1,A:N,14,))/VLOOKUP($U$1,A:N,14,))*100)+100</f>
        <v/>
      </c>
      <c r="P6" s="77">
        <f>IF(VLOOKUP(A6,Database!$A:$AS,MATCH($P$1,Database!$A$1:$AS$1,0),FALSE)=0,#N/A,VLOOKUP(A6,Database!$A:$AS,MATCH($P$1,Database!$A$1:$AS$1,0),FALSE))</f>
        <v/>
      </c>
      <c r="Q6" s="77">
        <f>(((Table134567891011121314151617343[[#This Row],[JPN]]-VLOOKUP($U$1,A:Q,16,))/VLOOKUP($U$1,A:Q,16,))*100)+100</f>
        <v/>
      </c>
      <c r="W6" s="87" t="inlineStr">
        <is>
          <t>CZE</t>
        </is>
      </c>
    </row>
    <row r="7" customFormat="1" s="87">
      <c r="A7" s="21" t="n">
        <v>33025</v>
      </c>
      <c r="B7" s="77">
        <f>IF(VLOOKUP(A7,Database!$A:$AS,MATCH($B$1,Database!$A$1:$AS$1,0),FALSE)=0,#N/A,VLOOKUP(A7,Database!$A:$AS,MATCH($B$1,Database!$A$1:$AS$1,0),FALSE))</f>
        <v/>
      </c>
      <c r="C7" s="77">
        <f>IF(VLOOKUP(A7,Database!$A:$AS,MATCH($C$1,Database!$A$1:$AS$1,0),FALSE)=0,#N/A,VLOOKUP(A7,Database!$A:$AS,MATCH($C$1,Database!$A$1:$AS$1,0),FALSE))</f>
        <v/>
      </c>
      <c r="D7" s="77">
        <f>IF(VLOOKUP(A7,Database!$A:$AS,MATCH($D$1,Database!$A$1:$AS$1,0),FALSE)=0,#N/A,VLOOKUP(A7,Database!$A:$AS,MATCH($D$1,Database!$A$1:$AS$1,0),FALSE))</f>
        <v/>
      </c>
      <c r="E7" s="77">
        <f>IF(VLOOKUP(A7,Database!$A:$AS,MATCH($E$1,Database!$A$1:$AS$1,0),FALSE)=0,#N/A,VLOOKUP(A7,Database!$A:$AS,MATCH($E$1,Database!$A$1:$AS$1,0),FALSE))</f>
        <v/>
      </c>
      <c r="F7" s="77">
        <f>IF(VLOOKUP(A7,Database!$A:$AS,MATCH($F$1,Database!$A$1:$AS$1,0),FALSE)=0,#N/A,VLOOKUP(A7,Database!$A:$AS,MATCH($F$1,Database!$A$1:$AS$1,0),FALSE))</f>
        <v/>
      </c>
      <c r="G7" s="77">
        <f>IF(VLOOKUP(A7,Database!$A:$AS,MATCH($G$1,Database!$A$1:$AS$1,0),FALSE)=0,#N/A,VLOOKUP(A7,Database!$A:$AS,MATCH($G$1,Database!$A$1:$AS$1,0),FALSE))</f>
        <v/>
      </c>
      <c r="H7" s="77">
        <f>(((Table134567891011121314151617343[[#This Row],[ITA]]-VLOOKUP($U$1,A:B,2,))/VLOOKUP($U$1,A:B,2,))*100)+100</f>
        <v/>
      </c>
      <c r="I7" s="77">
        <f>(((Table134567891011121314151617343[[#This Row],[FRA]]-VLOOKUP($U$1,A:C,3,))/VLOOKUP($U$1,A:C,3,))*100)+100</f>
        <v/>
      </c>
      <c r="J7" s="77">
        <f>(((Table134567891011121314151617343[[#This Row],[DEU]]-VLOOKUP($U$1,A:D,4,))/VLOOKUP($U$1,A:D,4,))*100)+100</f>
        <v/>
      </c>
      <c r="K7" s="77">
        <f>(((Table134567891011121314151617343[[#This Row],[ESP]]-VLOOKUP($U$1,A:E,5,))/VLOOKUP($U$1,A:E,5,))*100)+100</f>
        <v/>
      </c>
      <c r="L7" s="77">
        <f>(((Table134567891011121314151617343[[#This Row],[EA19]]-VLOOKUP($U$1,A:F,6,))/VLOOKUP($U$1,A:F,6,))*100)+100</f>
        <v/>
      </c>
      <c r="M7" s="77">
        <f>(((Table134567891011121314151617343[[#This Row],[GBR]]-VLOOKUP($U$1,A:G,7,))/VLOOKUP($U$1,A:G,7,))*100)+100</f>
        <v/>
      </c>
      <c r="N7" s="77">
        <f>IF(VLOOKUP(A7,Database!$A:$AU,MATCH($N$1,Database!$A$1:$AU$1,0),FALSE)=0,#N/A,VLOOKUP(A7,Database!$A:$AU,MATCH($N$1,Database!$A$1:$AU$1,0),FALSE))</f>
        <v/>
      </c>
      <c r="O7" s="77">
        <f>(((Table134567891011121314151617343[[#This Row],[USA]]-VLOOKUP($U$1,A:N,14,))/VLOOKUP($U$1,A:N,14,))*100)+100</f>
        <v/>
      </c>
      <c r="P7" s="77">
        <f>IF(VLOOKUP(A7,Database!$A:$AS,MATCH($P$1,Database!$A$1:$AS$1,0),FALSE)=0,#N/A,VLOOKUP(A7,Database!$A:$AS,MATCH($P$1,Database!$A$1:$AS$1,0),FALSE))</f>
        <v/>
      </c>
      <c r="Q7" s="77">
        <f>(((Table134567891011121314151617343[[#This Row],[JPN]]-VLOOKUP($U$1,A:Q,16,))/VLOOKUP($U$1,A:Q,16,))*100)+100</f>
        <v/>
      </c>
      <c r="W7" s="87" t="inlineStr">
        <is>
          <t>DEU</t>
        </is>
      </c>
    </row>
    <row r="8" customFormat="1" s="87">
      <c r="A8" s="21" t="n">
        <v>33055</v>
      </c>
      <c r="B8" s="77">
        <f>IF(VLOOKUP(A8,Database!$A:$AS,MATCH($B$1,Database!$A$1:$AS$1,0),FALSE)=0,#N/A,VLOOKUP(A8,Database!$A:$AS,MATCH($B$1,Database!$A$1:$AS$1,0),FALSE))</f>
        <v/>
      </c>
      <c r="C8" s="77">
        <f>IF(VLOOKUP(A8,Database!$A:$AS,MATCH($C$1,Database!$A$1:$AS$1,0),FALSE)=0,#N/A,VLOOKUP(A8,Database!$A:$AS,MATCH($C$1,Database!$A$1:$AS$1,0),FALSE))</f>
        <v/>
      </c>
      <c r="D8" s="77">
        <f>IF(VLOOKUP(A8,Database!$A:$AS,MATCH($D$1,Database!$A$1:$AS$1,0),FALSE)=0,#N/A,VLOOKUP(A8,Database!$A:$AS,MATCH($D$1,Database!$A$1:$AS$1,0),FALSE))</f>
        <v/>
      </c>
      <c r="E8" s="77">
        <f>IF(VLOOKUP(A8,Database!$A:$AS,MATCH($E$1,Database!$A$1:$AS$1,0),FALSE)=0,#N/A,VLOOKUP(A8,Database!$A:$AS,MATCH($E$1,Database!$A$1:$AS$1,0),FALSE))</f>
        <v/>
      </c>
      <c r="F8" s="77">
        <f>IF(VLOOKUP(A8,Database!$A:$AS,MATCH($F$1,Database!$A$1:$AS$1,0),FALSE)=0,#N/A,VLOOKUP(A8,Database!$A:$AS,MATCH($F$1,Database!$A$1:$AS$1,0),FALSE))</f>
        <v/>
      </c>
      <c r="G8" s="77">
        <f>IF(VLOOKUP(A8,Database!$A:$AS,MATCH($G$1,Database!$A$1:$AS$1,0),FALSE)=0,#N/A,VLOOKUP(A8,Database!$A:$AS,MATCH($G$1,Database!$A$1:$AS$1,0),FALSE))</f>
        <v/>
      </c>
      <c r="H8" s="77">
        <f>(((Table134567891011121314151617343[[#This Row],[ITA]]-VLOOKUP($U$1,A:B,2,))/VLOOKUP($U$1,A:B,2,))*100)+100</f>
        <v/>
      </c>
      <c r="I8" s="77">
        <f>(((Table134567891011121314151617343[[#This Row],[FRA]]-VLOOKUP($U$1,A:C,3,))/VLOOKUP($U$1,A:C,3,))*100)+100</f>
        <v/>
      </c>
      <c r="J8" s="77">
        <f>(((Table134567891011121314151617343[[#This Row],[DEU]]-VLOOKUP($U$1,A:D,4,))/VLOOKUP($U$1,A:D,4,))*100)+100</f>
        <v/>
      </c>
      <c r="K8" s="77">
        <f>(((Table134567891011121314151617343[[#This Row],[ESP]]-VLOOKUP($U$1,A:E,5,))/VLOOKUP($U$1,A:E,5,))*100)+100</f>
        <v/>
      </c>
      <c r="L8" s="77">
        <f>(((Table134567891011121314151617343[[#This Row],[EA19]]-VLOOKUP($U$1,A:F,6,))/VLOOKUP($U$1,A:F,6,))*100)+100</f>
        <v/>
      </c>
      <c r="M8" s="77">
        <f>(((Table134567891011121314151617343[[#This Row],[GBR]]-VLOOKUP($U$1,A:G,7,))/VLOOKUP($U$1,A:G,7,))*100)+100</f>
        <v/>
      </c>
      <c r="N8" s="77">
        <f>IF(VLOOKUP(A8,Database!$A:$AU,MATCH($N$1,Database!$A$1:$AU$1,0),FALSE)=0,#N/A,VLOOKUP(A8,Database!$A:$AU,MATCH($N$1,Database!$A$1:$AU$1,0),FALSE))</f>
        <v/>
      </c>
      <c r="O8" s="77">
        <f>(((Table134567891011121314151617343[[#This Row],[USA]]-VLOOKUP($U$1,A:N,14,))/VLOOKUP($U$1,A:N,14,))*100)+100</f>
        <v/>
      </c>
      <c r="P8" s="77">
        <f>IF(VLOOKUP(A8,Database!$A:$AS,MATCH($P$1,Database!$A$1:$AS$1,0),FALSE)=0,#N/A,VLOOKUP(A8,Database!$A:$AS,MATCH($P$1,Database!$A$1:$AS$1,0),FALSE))</f>
        <v/>
      </c>
      <c r="Q8" s="77">
        <f>(((Table134567891011121314151617343[[#This Row],[JPN]]-VLOOKUP($U$1,A:Q,16,))/VLOOKUP($U$1,A:Q,16,))*100)+100</f>
        <v/>
      </c>
      <c r="W8" s="87" t="inlineStr">
        <is>
          <t>DNK</t>
        </is>
      </c>
    </row>
    <row r="9" customFormat="1" s="87">
      <c r="A9" s="21" t="n">
        <v>33086</v>
      </c>
      <c r="B9" s="77">
        <f>IF(VLOOKUP(A9,Database!$A:$AS,MATCH($B$1,Database!$A$1:$AS$1,0),FALSE)=0,#N/A,VLOOKUP(A9,Database!$A:$AS,MATCH($B$1,Database!$A$1:$AS$1,0),FALSE))</f>
        <v/>
      </c>
      <c r="C9" s="77">
        <f>IF(VLOOKUP(A9,Database!$A:$AS,MATCH($C$1,Database!$A$1:$AS$1,0),FALSE)=0,#N/A,VLOOKUP(A9,Database!$A:$AS,MATCH($C$1,Database!$A$1:$AS$1,0),FALSE))</f>
        <v/>
      </c>
      <c r="D9" s="77">
        <f>IF(VLOOKUP(A9,Database!$A:$AS,MATCH($D$1,Database!$A$1:$AS$1,0),FALSE)=0,#N/A,VLOOKUP(A9,Database!$A:$AS,MATCH($D$1,Database!$A$1:$AS$1,0),FALSE))</f>
        <v/>
      </c>
      <c r="E9" s="77">
        <f>IF(VLOOKUP(A9,Database!$A:$AS,MATCH($E$1,Database!$A$1:$AS$1,0),FALSE)=0,#N/A,VLOOKUP(A9,Database!$A:$AS,MATCH($E$1,Database!$A$1:$AS$1,0),FALSE))</f>
        <v/>
      </c>
      <c r="F9" s="77">
        <f>IF(VLOOKUP(A9,Database!$A:$AS,MATCH($F$1,Database!$A$1:$AS$1,0),FALSE)=0,#N/A,VLOOKUP(A9,Database!$A:$AS,MATCH($F$1,Database!$A$1:$AS$1,0),FALSE))</f>
        <v/>
      </c>
      <c r="G9" s="77">
        <f>IF(VLOOKUP(A9,Database!$A:$AS,MATCH($G$1,Database!$A$1:$AS$1,0),FALSE)=0,#N/A,VLOOKUP(A9,Database!$A:$AS,MATCH($G$1,Database!$A$1:$AS$1,0),FALSE))</f>
        <v/>
      </c>
      <c r="H9" s="77">
        <f>(((Table134567891011121314151617343[[#This Row],[ITA]]-VLOOKUP($U$1,A:B,2,))/VLOOKUP($U$1,A:B,2,))*100)+100</f>
        <v/>
      </c>
      <c r="I9" s="77">
        <f>(((Table134567891011121314151617343[[#This Row],[FRA]]-VLOOKUP($U$1,A:C,3,))/VLOOKUP($U$1,A:C,3,))*100)+100</f>
        <v/>
      </c>
      <c r="J9" s="77">
        <f>(((Table134567891011121314151617343[[#This Row],[DEU]]-VLOOKUP($U$1,A:D,4,))/VLOOKUP($U$1,A:D,4,))*100)+100</f>
        <v/>
      </c>
      <c r="K9" s="77">
        <f>(((Table134567891011121314151617343[[#This Row],[ESP]]-VLOOKUP($U$1,A:E,5,))/VLOOKUP($U$1,A:E,5,))*100)+100</f>
        <v/>
      </c>
      <c r="L9" s="77">
        <f>(((Table134567891011121314151617343[[#This Row],[EA19]]-VLOOKUP($U$1,A:F,6,))/VLOOKUP($U$1,A:F,6,))*100)+100</f>
        <v/>
      </c>
      <c r="M9" s="77">
        <f>(((Table134567891011121314151617343[[#This Row],[GBR]]-VLOOKUP($U$1,A:G,7,))/VLOOKUP($U$1,A:G,7,))*100)+100</f>
        <v/>
      </c>
      <c r="N9" s="77">
        <f>IF(VLOOKUP(A9,Database!$A:$AU,MATCH($N$1,Database!$A$1:$AU$1,0),FALSE)=0,#N/A,VLOOKUP(A9,Database!$A:$AU,MATCH($N$1,Database!$A$1:$AU$1,0),FALSE))</f>
        <v/>
      </c>
      <c r="O9" s="77">
        <f>(((Table134567891011121314151617343[[#This Row],[USA]]-VLOOKUP($U$1,A:N,14,))/VLOOKUP($U$1,A:N,14,))*100)+100</f>
        <v/>
      </c>
      <c r="P9" s="77">
        <f>IF(VLOOKUP(A9,Database!$A:$AS,MATCH($P$1,Database!$A$1:$AS$1,0),FALSE)=0,#N/A,VLOOKUP(A9,Database!$A:$AS,MATCH($P$1,Database!$A$1:$AS$1,0),FALSE))</f>
        <v/>
      </c>
      <c r="Q9" s="77">
        <f>(((Table134567891011121314151617343[[#This Row],[JPN]]-VLOOKUP($U$1,A:Q,16,))/VLOOKUP($U$1,A:Q,16,))*100)+100</f>
        <v/>
      </c>
      <c r="W9" s="87" t="inlineStr">
        <is>
          <t>ESP</t>
        </is>
      </c>
    </row>
    <row r="10" customFormat="1" s="87">
      <c r="A10" s="21" t="n">
        <v>33117</v>
      </c>
      <c r="B10" s="77">
        <f>IF(VLOOKUP(A10,Database!$A:$AS,MATCH($B$1,Database!$A$1:$AS$1,0),FALSE)=0,#N/A,VLOOKUP(A10,Database!$A:$AS,MATCH($B$1,Database!$A$1:$AS$1,0),FALSE))</f>
        <v/>
      </c>
      <c r="C10" s="77">
        <f>IF(VLOOKUP(A10,Database!$A:$AS,MATCH($C$1,Database!$A$1:$AS$1,0),FALSE)=0,#N/A,VLOOKUP(A10,Database!$A:$AS,MATCH($C$1,Database!$A$1:$AS$1,0),FALSE))</f>
        <v/>
      </c>
      <c r="D10" s="77">
        <f>IF(VLOOKUP(A10,Database!$A:$AS,MATCH($D$1,Database!$A$1:$AS$1,0),FALSE)=0,#N/A,VLOOKUP(A10,Database!$A:$AS,MATCH($D$1,Database!$A$1:$AS$1,0),FALSE))</f>
        <v/>
      </c>
      <c r="E10" s="77">
        <f>IF(VLOOKUP(A10,Database!$A:$AS,MATCH($E$1,Database!$A$1:$AS$1,0),FALSE)=0,#N/A,VLOOKUP(A10,Database!$A:$AS,MATCH($E$1,Database!$A$1:$AS$1,0),FALSE))</f>
        <v/>
      </c>
      <c r="F10" s="77">
        <f>IF(VLOOKUP(A10,Database!$A:$AS,MATCH($F$1,Database!$A$1:$AS$1,0),FALSE)=0,#N/A,VLOOKUP(A10,Database!$A:$AS,MATCH($F$1,Database!$A$1:$AS$1,0),FALSE))</f>
        <v/>
      </c>
      <c r="G10" s="77">
        <f>IF(VLOOKUP(A10,Database!$A:$AS,MATCH($G$1,Database!$A$1:$AS$1,0),FALSE)=0,#N/A,VLOOKUP(A10,Database!$A:$AS,MATCH($G$1,Database!$A$1:$AS$1,0),FALSE))</f>
        <v/>
      </c>
      <c r="H10" s="77">
        <f>(((Table134567891011121314151617343[[#This Row],[ITA]]-VLOOKUP($U$1,A:B,2,))/VLOOKUP($U$1,A:B,2,))*100)+100</f>
        <v/>
      </c>
      <c r="I10" s="77">
        <f>(((Table134567891011121314151617343[[#This Row],[FRA]]-VLOOKUP($U$1,A:C,3,))/VLOOKUP($U$1,A:C,3,))*100)+100</f>
        <v/>
      </c>
      <c r="J10" s="77">
        <f>(((Table134567891011121314151617343[[#This Row],[DEU]]-VLOOKUP($U$1,A:D,4,))/VLOOKUP($U$1,A:D,4,))*100)+100</f>
        <v/>
      </c>
      <c r="K10" s="77">
        <f>(((Table134567891011121314151617343[[#This Row],[ESP]]-VLOOKUP($U$1,A:E,5,))/VLOOKUP($U$1,A:E,5,))*100)+100</f>
        <v/>
      </c>
      <c r="L10" s="77">
        <f>(((Table134567891011121314151617343[[#This Row],[EA19]]-VLOOKUP($U$1,A:F,6,))/VLOOKUP($U$1,A:F,6,))*100)+100</f>
        <v/>
      </c>
      <c r="M10" s="77">
        <f>(((Table134567891011121314151617343[[#This Row],[GBR]]-VLOOKUP($U$1,A:G,7,))/VLOOKUP($U$1,A:G,7,))*100)+100</f>
        <v/>
      </c>
      <c r="N10" s="77">
        <f>IF(VLOOKUP(A10,Database!$A:$AU,MATCH($N$1,Database!$A$1:$AU$1,0),FALSE)=0,#N/A,VLOOKUP(A10,Database!$A:$AU,MATCH($N$1,Database!$A$1:$AU$1,0),FALSE))</f>
        <v/>
      </c>
      <c r="O10" s="77">
        <f>(((Table134567891011121314151617343[[#This Row],[USA]]-VLOOKUP($U$1,A:N,14,))/VLOOKUP($U$1,A:N,14,))*100)+100</f>
        <v/>
      </c>
      <c r="P10" s="77">
        <f>IF(VLOOKUP(A10,Database!$A:$AS,MATCH($P$1,Database!$A$1:$AS$1,0),FALSE)=0,#N/A,VLOOKUP(A10,Database!$A:$AS,MATCH($P$1,Database!$A$1:$AS$1,0),FALSE))</f>
        <v/>
      </c>
      <c r="Q10" s="77">
        <f>(((Table134567891011121314151617343[[#This Row],[JPN]]-VLOOKUP($U$1,A:Q,16,))/VLOOKUP($U$1,A:Q,16,))*100)+100</f>
        <v/>
      </c>
      <c r="W10" s="87" t="inlineStr">
        <is>
          <t>EST</t>
        </is>
      </c>
    </row>
    <row r="11" customFormat="1" s="87">
      <c r="A11" s="21" t="n">
        <v>33147</v>
      </c>
      <c r="B11" s="77">
        <f>IF(VLOOKUP(A11,Database!$A:$AS,MATCH($B$1,Database!$A$1:$AS$1,0),FALSE)=0,#N/A,VLOOKUP(A11,Database!$A:$AS,MATCH($B$1,Database!$A$1:$AS$1,0),FALSE))</f>
        <v/>
      </c>
      <c r="C11" s="77">
        <f>IF(VLOOKUP(A11,Database!$A:$AS,MATCH($C$1,Database!$A$1:$AS$1,0),FALSE)=0,#N/A,VLOOKUP(A11,Database!$A:$AS,MATCH($C$1,Database!$A$1:$AS$1,0),FALSE))</f>
        <v/>
      </c>
      <c r="D11" s="77">
        <f>IF(VLOOKUP(A11,Database!$A:$AS,MATCH($D$1,Database!$A$1:$AS$1,0),FALSE)=0,#N/A,VLOOKUP(A11,Database!$A:$AS,MATCH($D$1,Database!$A$1:$AS$1,0),FALSE))</f>
        <v/>
      </c>
      <c r="E11" s="77">
        <f>IF(VLOOKUP(A11,Database!$A:$AS,MATCH($E$1,Database!$A$1:$AS$1,0),FALSE)=0,#N/A,VLOOKUP(A11,Database!$A:$AS,MATCH($E$1,Database!$A$1:$AS$1,0),FALSE))</f>
        <v/>
      </c>
      <c r="F11" s="77">
        <f>IF(VLOOKUP(A11,Database!$A:$AS,MATCH($F$1,Database!$A$1:$AS$1,0),FALSE)=0,#N/A,VLOOKUP(A11,Database!$A:$AS,MATCH($F$1,Database!$A$1:$AS$1,0),FALSE))</f>
        <v/>
      </c>
      <c r="G11" s="77">
        <f>IF(VLOOKUP(A11,Database!$A:$AS,MATCH($G$1,Database!$A$1:$AS$1,0),FALSE)=0,#N/A,VLOOKUP(A11,Database!$A:$AS,MATCH($G$1,Database!$A$1:$AS$1,0),FALSE))</f>
        <v/>
      </c>
      <c r="H11" s="77">
        <f>(((Table134567891011121314151617343[[#This Row],[ITA]]-VLOOKUP($U$1,A:B,2,))/VLOOKUP($U$1,A:B,2,))*100)+100</f>
        <v/>
      </c>
      <c r="I11" s="77">
        <f>(((Table134567891011121314151617343[[#This Row],[FRA]]-VLOOKUP($U$1,A:C,3,))/VLOOKUP($U$1,A:C,3,))*100)+100</f>
        <v/>
      </c>
      <c r="J11" s="77">
        <f>(((Table134567891011121314151617343[[#This Row],[DEU]]-VLOOKUP($U$1,A:D,4,))/VLOOKUP($U$1,A:D,4,))*100)+100</f>
        <v/>
      </c>
      <c r="K11" s="77">
        <f>(((Table134567891011121314151617343[[#This Row],[ESP]]-VLOOKUP($U$1,A:E,5,))/VLOOKUP($U$1,A:E,5,))*100)+100</f>
        <v/>
      </c>
      <c r="L11" s="77">
        <f>(((Table134567891011121314151617343[[#This Row],[EA19]]-VLOOKUP($U$1,A:F,6,))/VLOOKUP($U$1,A:F,6,))*100)+100</f>
        <v/>
      </c>
      <c r="M11" s="77">
        <f>(((Table134567891011121314151617343[[#This Row],[GBR]]-VLOOKUP($U$1,A:G,7,))/VLOOKUP($U$1,A:G,7,))*100)+100</f>
        <v/>
      </c>
      <c r="N11" s="77">
        <f>IF(VLOOKUP(A11,Database!$A:$AU,MATCH($N$1,Database!$A$1:$AU$1,0),FALSE)=0,#N/A,VLOOKUP(A11,Database!$A:$AU,MATCH($N$1,Database!$A$1:$AU$1,0),FALSE))</f>
        <v/>
      </c>
      <c r="O11" s="77">
        <f>(((Table134567891011121314151617343[[#This Row],[USA]]-VLOOKUP($U$1,A:N,14,))/VLOOKUP($U$1,A:N,14,))*100)+100</f>
        <v/>
      </c>
      <c r="P11" s="77">
        <f>IF(VLOOKUP(A11,Database!$A:$AS,MATCH($P$1,Database!$A$1:$AS$1,0),FALSE)=0,#N/A,VLOOKUP(A11,Database!$A:$AS,MATCH($P$1,Database!$A$1:$AS$1,0),FALSE))</f>
        <v/>
      </c>
      <c r="Q11" s="77">
        <f>(((Table134567891011121314151617343[[#This Row],[JPN]]-VLOOKUP($U$1,A:Q,16,))/VLOOKUP($U$1,A:Q,16,))*100)+100</f>
        <v/>
      </c>
      <c r="W11" s="87" t="inlineStr">
        <is>
          <t>FIN</t>
        </is>
      </c>
    </row>
    <row r="12" customFormat="1" s="87">
      <c r="A12" s="21" t="n">
        <v>33178</v>
      </c>
      <c r="B12" s="77">
        <f>IF(VLOOKUP(A12,Database!$A:$AS,MATCH($B$1,Database!$A$1:$AS$1,0),FALSE)=0,#N/A,VLOOKUP(A12,Database!$A:$AS,MATCH($B$1,Database!$A$1:$AS$1,0),FALSE))</f>
        <v/>
      </c>
      <c r="C12" s="77">
        <f>IF(VLOOKUP(A12,Database!$A:$AS,MATCH($C$1,Database!$A$1:$AS$1,0),FALSE)=0,#N/A,VLOOKUP(A12,Database!$A:$AS,MATCH($C$1,Database!$A$1:$AS$1,0),FALSE))</f>
        <v/>
      </c>
      <c r="D12" s="77">
        <f>IF(VLOOKUP(A12,Database!$A:$AS,MATCH($D$1,Database!$A$1:$AS$1,0),FALSE)=0,#N/A,VLOOKUP(A12,Database!$A:$AS,MATCH($D$1,Database!$A$1:$AS$1,0),FALSE))</f>
        <v/>
      </c>
      <c r="E12" s="77">
        <f>IF(VLOOKUP(A12,Database!$A:$AS,MATCH($E$1,Database!$A$1:$AS$1,0),FALSE)=0,#N/A,VLOOKUP(A12,Database!$A:$AS,MATCH($E$1,Database!$A$1:$AS$1,0),FALSE))</f>
        <v/>
      </c>
      <c r="F12" s="77">
        <f>IF(VLOOKUP(A12,Database!$A:$AS,MATCH($F$1,Database!$A$1:$AS$1,0),FALSE)=0,#N/A,VLOOKUP(A12,Database!$A:$AS,MATCH($F$1,Database!$A$1:$AS$1,0),FALSE))</f>
        <v/>
      </c>
      <c r="G12" s="77">
        <f>IF(VLOOKUP(A12,Database!$A:$AS,MATCH($G$1,Database!$A$1:$AS$1,0),FALSE)=0,#N/A,VLOOKUP(A12,Database!$A:$AS,MATCH($G$1,Database!$A$1:$AS$1,0),FALSE))</f>
        <v/>
      </c>
      <c r="H12" s="77">
        <f>(((Table134567891011121314151617343[[#This Row],[ITA]]-VLOOKUP($U$1,A:B,2,))/VLOOKUP($U$1,A:B,2,))*100)+100</f>
        <v/>
      </c>
      <c r="I12" s="77">
        <f>(((Table134567891011121314151617343[[#This Row],[FRA]]-VLOOKUP($U$1,A:C,3,))/VLOOKUP($U$1,A:C,3,))*100)+100</f>
        <v/>
      </c>
      <c r="J12" s="77">
        <f>(((Table134567891011121314151617343[[#This Row],[DEU]]-VLOOKUP($U$1,A:D,4,))/VLOOKUP($U$1,A:D,4,))*100)+100</f>
        <v/>
      </c>
      <c r="K12" s="77">
        <f>(((Table134567891011121314151617343[[#This Row],[ESP]]-VLOOKUP($U$1,A:E,5,))/VLOOKUP($U$1,A:E,5,))*100)+100</f>
        <v/>
      </c>
      <c r="L12" s="77">
        <f>(((Table134567891011121314151617343[[#This Row],[EA19]]-VLOOKUP($U$1,A:F,6,))/VLOOKUP($U$1,A:F,6,))*100)+100</f>
        <v/>
      </c>
      <c r="M12" s="77">
        <f>(((Table134567891011121314151617343[[#This Row],[GBR]]-VLOOKUP($U$1,A:G,7,))/VLOOKUP($U$1,A:G,7,))*100)+100</f>
        <v/>
      </c>
      <c r="N12" s="77">
        <f>IF(VLOOKUP(A12,Database!$A:$AU,MATCH($N$1,Database!$A$1:$AU$1,0),FALSE)=0,#N/A,VLOOKUP(A12,Database!$A:$AU,MATCH($N$1,Database!$A$1:$AU$1,0),FALSE))</f>
        <v/>
      </c>
      <c r="O12" s="77">
        <f>(((Table134567891011121314151617343[[#This Row],[USA]]-VLOOKUP($U$1,A:N,14,))/VLOOKUP($U$1,A:N,14,))*100)+100</f>
        <v/>
      </c>
      <c r="P12" s="77">
        <f>IF(VLOOKUP(A12,Database!$A:$AS,MATCH($P$1,Database!$A$1:$AS$1,0),FALSE)=0,#N/A,VLOOKUP(A12,Database!$A:$AS,MATCH($P$1,Database!$A$1:$AS$1,0),FALSE))</f>
        <v/>
      </c>
      <c r="Q12" s="77">
        <f>(((Table134567891011121314151617343[[#This Row],[JPN]]-VLOOKUP($U$1,A:Q,16,))/VLOOKUP($U$1,A:Q,16,))*100)+100</f>
        <v/>
      </c>
      <c r="W12" s="87" t="inlineStr">
        <is>
          <t>FRA</t>
        </is>
      </c>
    </row>
    <row r="13" customFormat="1" s="87">
      <c r="A13" s="21" t="n">
        <v>33208</v>
      </c>
      <c r="B13" s="77">
        <f>IF(VLOOKUP(A13,Database!$A:$AS,MATCH($B$1,Database!$A$1:$AS$1,0),FALSE)=0,#N/A,VLOOKUP(A13,Database!$A:$AS,MATCH($B$1,Database!$A$1:$AS$1,0),FALSE))</f>
        <v/>
      </c>
      <c r="C13" s="77">
        <f>IF(VLOOKUP(A13,Database!$A:$AS,MATCH($C$1,Database!$A$1:$AS$1,0),FALSE)=0,#N/A,VLOOKUP(A13,Database!$A:$AS,MATCH($C$1,Database!$A$1:$AS$1,0),FALSE))</f>
        <v/>
      </c>
      <c r="D13" s="77">
        <f>IF(VLOOKUP(A13,Database!$A:$AS,MATCH($D$1,Database!$A$1:$AS$1,0),FALSE)=0,#N/A,VLOOKUP(A13,Database!$A:$AS,MATCH($D$1,Database!$A$1:$AS$1,0),FALSE))</f>
        <v/>
      </c>
      <c r="E13" s="77">
        <f>IF(VLOOKUP(A13,Database!$A:$AS,MATCH($E$1,Database!$A$1:$AS$1,0),FALSE)=0,#N/A,VLOOKUP(A13,Database!$A:$AS,MATCH($E$1,Database!$A$1:$AS$1,0),FALSE))</f>
        <v/>
      </c>
      <c r="F13" s="77">
        <f>IF(VLOOKUP(A13,Database!$A:$AS,MATCH($F$1,Database!$A$1:$AS$1,0),FALSE)=0,#N/A,VLOOKUP(A13,Database!$A:$AS,MATCH($F$1,Database!$A$1:$AS$1,0),FALSE))</f>
        <v/>
      </c>
      <c r="G13" s="77">
        <f>IF(VLOOKUP(A13,Database!$A:$AS,MATCH($G$1,Database!$A$1:$AS$1,0),FALSE)=0,#N/A,VLOOKUP(A13,Database!$A:$AS,MATCH($G$1,Database!$A$1:$AS$1,0),FALSE))</f>
        <v/>
      </c>
      <c r="H13" s="77">
        <f>(((Table134567891011121314151617343[[#This Row],[ITA]]-VLOOKUP($U$1,A:B,2,))/VLOOKUP($U$1,A:B,2,))*100)+100</f>
        <v/>
      </c>
      <c r="I13" s="77">
        <f>(((Table134567891011121314151617343[[#This Row],[FRA]]-VLOOKUP($U$1,A:C,3,))/VLOOKUP($U$1,A:C,3,))*100)+100</f>
        <v/>
      </c>
      <c r="J13" s="77">
        <f>(((Table134567891011121314151617343[[#This Row],[DEU]]-VLOOKUP($U$1,A:D,4,))/VLOOKUP($U$1,A:D,4,))*100)+100</f>
        <v/>
      </c>
      <c r="K13" s="77">
        <f>(((Table134567891011121314151617343[[#This Row],[ESP]]-VLOOKUP($U$1,A:E,5,))/VLOOKUP($U$1,A:E,5,))*100)+100</f>
        <v/>
      </c>
      <c r="L13" s="77">
        <f>(((Table134567891011121314151617343[[#This Row],[EA19]]-VLOOKUP($U$1,A:F,6,))/VLOOKUP($U$1,A:F,6,))*100)+100</f>
        <v/>
      </c>
      <c r="M13" s="77">
        <f>(((Table134567891011121314151617343[[#This Row],[GBR]]-VLOOKUP($U$1,A:G,7,))/VLOOKUP($U$1,A:G,7,))*100)+100</f>
        <v/>
      </c>
      <c r="N13" s="77">
        <f>IF(VLOOKUP(A13,Database!$A:$AU,MATCH($N$1,Database!$A$1:$AU$1,0),FALSE)=0,#N/A,VLOOKUP(A13,Database!$A:$AU,MATCH($N$1,Database!$A$1:$AU$1,0),FALSE))</f>
        <v/>
      </c>
      <c r="O13" s="77">
        <f>(((Table134567891011121314151617343[[#This Row],[USA]]-VLOOKUP($U$1,A:N,14,))/VLOOKUP($U$1,A:N,14,))*100)+100</f>
        <v/>
      </c>
      <c r="P13" s="77">
        <f>IF(VLOOKUP(A13,Database!$A:$AS,MATCH($P$1,Database!$A$1:$AS$1,0),FALSE)=0,#N/A,VLOOKUP(A13,Database!$A:$AS,MATCH($P$1,Database!$A$1:$AS$1,0),FALSE))</f>
        <v/>
      </c>
      <c r="Q13" s="77">
        <f>(((Table134567891011121314151617343[[#This Row],[JPN]]-VLOOKUP($U$1,A:Q,16,))/VLOOKUP($U$1,A:Q,16,))*100)+100</f>
        <v/>
      </c>
      <c r="W13" s="87" t="inlineStr">
        <is>
          <t>GBR</t>
        </is>
      </c>
    </row>
    <row r="14" customFormat="1" s="87">
      <c r="A14" s="21" t="n">
        <v>33239</v>
      </c>
      <c r="B14" s="77">
        <f>IF(VLOOKUP(A14,Database!$A:$AS,MATCH($B$1,Database!$A$1:$AS$1,0),FALSE)=0,#N/A,VLOOKUP(A14,Database!$A:$AS,MATCH($B$1,Database!$A$1:$AS$1,0),FALSE))</f>
        <v/>
      </c>
      <c r="C14" s="77">
        <f>IF(VLOOKUP(A14,Database!$A:$AS,MATCH($C$1,Database!$A$1:$AS$1,0),FALSE)=0,#N/A,VLOOKUP(A14,Database!$A:$AS,MATCH($C$1,Database!$A$1:$AS$1,0),FALSE))</f>
        <v/>
      </c>
      <c r="D14" s="77">
        <f>IF(VLOOKUP(A14,Database!$A:$AS,MATCH($D$1,Database!$A$1:$AS$1,0),FALSE)=0,#N/A,VLOOKUP(A14,Database!$A:$AS,MATCH($D$1,Database!$A$1:$AS$1,0),FALSE))</f>
        <v/>
      </c>
      <c r="E14" s="77">
        <f>IF(VLOOKUP(A14,Database!$A:$AS,MATCH($E$1,Database!$A$1:$AS$1,0),FALSE)=0,#N/A,VLOOKUP(A14,Database!$A:$AS,MATCH($E$1,Database!$A$1:$AS$1,0),FALSE))</f>
        <v/>
      </c>
      <c r="F14" s="77">
        <f>IF(VLOOKUP(A14,Database!$A:$AS,MATCH($F$1,Database!$A$1:$AS$1,0),FALSE)=0,#N/A,VLOOKUP(A14,Database!$A:$AS,MATCH($F$1,Database!$A$1:$AS$1,0),FALSE))</f>
        <v/>
      </c>
      <c r="G14" s="77">
        <f>IF(VLOOKUP(A14,Database!$A:$AS,MATCH($G$1,Database!$A$1:$AS$1,0),FALSE)=0,#N/A,VLOOKUP(A14,Database!$A:$AS,MATCH($G$1,Database!$A$1:$AS$1,0),FALSE))</f>
        <v/>
      </c>
      <c r="H14" s="77">
        <f>(((Table134567891011121314151617343[[#This Row],[ITA]]-VLOOKUP($U$1,A:B,2,))/VLOOKUP($U$1,A:B,2,))*100)+100</f>
        <v/>
      </c>
      <c r="I14" s="77">
        <f>(((Table134567891011121314151617343[[#This Row],[FRA]]-VLOOKUP($U$1,A:C,3,))/VLOOKUP($U$1,A:C,3,))*100)+100</f>
        <v/>
      </c>
      <c r="J14" s="77">
        <f>(((Table134567891011121314151617343[[#This Row],[DEU]]-VLOOKUP($U$1,A:D,4,))/VLOOKUP($U$1,A:D,4,))*100)+100</f>
        <v/>
      </c>
      <c r="K14" s="77">
        <f>(((Table134567891011121314151617343[[#This Row],[ESP]]-VLOOKUP($U$1,A:E,5,))/VLOOKUP($U$1,A:E,5,))*100)+100</f>
        <v/>
      </c>
      <c r="L14" s="77">
        <f>(((Table134567891011121314151617343[[#This Row],[EA19]]-VLOOKUP($U$1,A:F,6,))/VLOOKUP($U$1,A:F,6,))*100)+100</f>
        <v/>
      </c>
      <c r="M14" s="77">
        <f>(((Table134567891011121314151617343[[#This Row],[GBR]]-VLOOKUP($U$1,A:G,7,))/VLOOKUP($U$1,A:G,7,))*100)+100</f>
        <v/>
      </c>
      <c r="N14" s="77">
        <f>IF(VLOOKUP(A14,Database!$A:$AU,MATCH($N$1,Database!$A$1:$AU$1,0),FALSE)=0,#N/A,VLOOKUP(A14,Database!$A:$AU,MATCH($N$1,Database!$A$1:$AU$1,0),FALSE))</f>
        <v/>
      </c>
      <c r="O14" s="77">
        <f>(((Table134567891011121314151617343[[#This Row],[USA]]-VLOOKUP($U$1,A:N,14,))/VLOOKUP($U$1,A:N,14,))*100)+100</f>
        <v/>
      </c>
      <c r="P14" s="77">
        <f>IF(VLOOKUP(A14,Database!$A:$AS,MATCH($P$1,Database!$A$1:$AS$1,0),FALSE)=0,#N/A,VLOOKUP(A14,Database!$A:$AS,MATCH($P$1,Database!$A$1:$AS$1,0),FALSE))</f>
        <v/>
      </c>
      <c r="Q14" s="77">
        <f>(((Table134567891011121314151617343[[#This Row],[JPN]]-VLOOKUP($U$1,A:Q,16,))/VLOOKUP($U$1,A:Q,16,))*100)+100</f>
        <v/>
      </c>
      <c r="W14" s="87" t="inlineStr">
        <is>
          <t>GRC</t>
        </is>
      </c>
    </row>
    <row r="15" customFormat="1" s="87">
      <c r="A15" s="21" t="n">
        <v>33270</v>
      </c>
      <c r="B15" s="77">
        <f>IF(VLOOKUP(A15,Database!$A:$AS,MATCH($B$1,Database!$A$1:$AS$1,0),FALSE)=0,#N/A,VLOOKUP(A15,Database!$A:$AS,MATCH($B$1,Database!$A$1:$AS$1,0),FALSE))</f>
        <v/>
      </c>
      <c r="C15" s="77">
        <f>IF(VLOOKUP(A15,Database!$A:$AS,MATCH($C$1,Database!$A$1:$AS$1,0),FALSE)=0,#N/A,VLOOKUP(A15,Database!$A:$AS,MATCH($C$1,Database!$A$1:$AS$1,0),FALSE))</f>
        <v/>
      </c>
      <c r="D15" s="77">
        <f>IF(VLOOKUP(A15,Database!$A:$AS,MATCH($D$1,Database!$A$1:$AS$1,0),FALSE)=0,#N/A,VLOOKUP(A15,Database!$A:$AS,MATCH($D$1,Database!$A$1:$AS$1,0),FALSE))</f>
        <v/>
      </c>
      <c r="E15" s="77">
        <f>IF(VLOOKUP(A15,Database!$A:$AS,MATCH($E$1,Database!$A$1:$AS$1,0),FALSE)=0,#N/A,VLOOKUP(A15,Database!$A:$AS,MATCH($E$1,Database!$A$1:$AS$1,0),FALSE))</f>
        <v/>
      </c>
      <c r="F15" s="77">
        <f>IF(VLOOKUP(A15,Database!$A:$AS,MATCH($F$1,Database!$A$1:$AS$1,0),FALSE)=0,#N/A,VLOOKUP(A15,Database!$A:$AS,MATCH($F$1,Database!$A$1:$AS$1,0),FALSE))</f>
        <v/>
      </c>
      <c r="G15" s="77">
        <f>IF(VLOOKUP(A15,Database!$A:$AS,MATCH($G$1,Database!$A$1:$AS$1,0),FALSE)=0,#N/A,VLOOKUP(A15,Database!$A:$AS,MATCH($G$1,Database!$A$1:$AS$1,0),FALSE))</f>
        <v/>
      </c>
      <c r="H15" s="77">
        <f>(((Table134567891011121314151617343[[#This Row],[ITA]]-VLOOKUP($U$1,A:B,2,))/VLOOKUP($U$1,A:B,2,))*100)+100</f>
        <v/>
      </c>
      <c r="I15" s="77">
        <f>(((Table134567891011121314151617343[[#This Row],[FRA]]-VLOOKUP($U$1,A:C,3,))/VLOOKUP($U$1,A:C,3,))*100)+100</f>
        <v/>
      </c>
      <c r="J15" s="77">
        <f>(((Table134567891011121314151617343[[#This Row],[DEU]]-VLOOKUP($U$1,A:D,4,))/VLOOKUP($U$1,A:D,4,))*100)+100</f>
        <v/>
      </c>
      <c r="K15" s="77">
        <f>(((Table134567891011121314151617343[[#This Row],[ESP]]-VLOOKUP($U$1,A:E,5,))/VLOOKUP($U$1,A:E,5,))*100)+100</f>
        <v/>
      </c>
      <c r="L15" s="77">
        <f>(((Table134567891011121314151617343[[#This Row],[EA19]]-VLOOKUP($U$1,A:F,6,))/VLOOKUP($U$1,A:F,6,))*100)+100</f>
        <v/>
      </c>
      <c r="M15" s="77">
        <f>(((Table134567891011121314151617343[[#This Row],[GBR]]-VLOOKUP($U$1,A:G,7,))/VLOOKUP($U$1,A:G,7,))*100)+100</f>
        <v/>
      </c>
      <c r="N15" s="77">
        <f>IF(VLOOKUP(A15,Database!$A:$AU,MATCH($N$1,Database!$A$1:$AU$1,0),FALSE)=0,#N/A,VLOOKUP(A15,Database!$A:$AU,MATCH($N$1,Database!$A$1:$AU$1,0),FALSE))</f>
        <v/>
      </c>
      <c r="O15" s="77">
        <f>(((Table134567891011121314151617343[[#This Row],[USA]]-VLOOKUP($U$1,A:N,14,))/VLOOKUP($U$1,A:N,14,))*100)+100</f>
        <v/>
      </c>
      <c r="P15" s="77">
        <f>IF(VLOOKUP(A15,Database!$A:$AS,MATCH($P$1,Database!$A$1:$AS$1,0),FALSE)=0,#N/A,VLOOKUP(A15,Database!$A:$AS,MATCH($P$1,Database!$A$1:$AS$1,0),FALSE))</f>
        <v/>
      </c>
      <c r="Q15" s="77">
        <f>(((Table134567891011121314151617343[[#This Row],[JPN]]-VLOOKUP($U$1,A:Q,16,))/VLOOKUP($U$1,A:Q,16,))*100)+100</f>
        <v/>
      </c>
      <c r="W15" s="87" t="inlineStr">
        <is>
          <t>HUN</t>
        </is>
      </c>
    </row>
    <row r="16" customFormat="1" s="87">
      <c r="A16" s="21" t="n">
        <v>33298</v>
      </c>
      <c r="B16" s="77">
        <f>IF(VLOOKUP(A16,Database!$A:$AS,MATCH($B$1,Database!$A$1:$AS$1,0),FALSE)=0,#N/A,VLOOKUP(A16,Database!$A:$AS,MATCH($B$1,Database!$A$1:$AS$1,0),FALSE))</f>
        <v/>
      </c>
      <c r="C16" s="77">
        <f>IF(VLOOKUP(A16,Database!$A:$AS,MATCH($C$1,Database!$A$1:$AS$1,0),FALSE)=0,#N/A,VLOOKUP(A16,Database!$A:$AS,MATCH($C$1,Database!$A$1:$AS$1,0),FALSE))</f>
        <v/>
      </c>
      <c r="D16" s="77">
        <f>IF(VLOOKUP(A16,Database!$A:$AS,MATCH($D$1,Database!$A$1:$AS$1,0),FALSE)=0,#N/A,VLOOKUP(A16,Database!$A:$AS,MATCH($D$1,Database!$A$1:$AS$1,0),FALSE))</f>
        <v/>
      </c>
      <c r="E16" s="77">
        <f>IF(VLOOKUP(A16,Database!$A:$AS,MATCH($E$1,Database!$A$1:$AS$1,0),FALSE)=0,#N/A,VLOOKUP(A16,Database!$A:$AS,MATCH($E$1,Database!$A$1:$AS$1,0),FALSE))</f>
        <v/>
      </c>
      <c r="F16" s="77">
        <f>IF(VLOOKUP(A16,Database!$A:$AS,MATCH($F$1,Database!$A$1:$AS$1,0),FALSE)=0,#N/A,VLOOKUP(A16,Database!$A:$AS,MATCH($F$1,Database!$A$1:$AS$1,0),FALSE))</f>
        <v/>
      </c>
      <c r="G16" s="77">
        <f>IF(VLOOKUP(A16,Database!$A:$AS,MATCH($G$1,Database!$A$1:$AS$1,0),FALSE)=0,#N/A,VLOOKUP(A16,Database!$A:$AS,MATCH($G$1,Database!$A$1:$AS$1,0),FALSE))</f>
        <v/>
      </c>
      <c r="H16" s="77">
        <f>(((Table134567891011121314151617343[[#This Row],[ITA]]-VLOOKUP($U$1,A:B,2,))/VLOOKUP($U$1,A:B,2,))*100)+100</f>
        <v/>
      </c>
      <c r="I16" s="77">
        <f>(((Table134567891011121314151617343[[#This Row],[FRA]]-VLOOKUP($U$1,A:C,3,))/VLOOKUP($U$1,A:C,3,))*100)+100</f>
        <v/>
      </c>
      <c r="J16" s="77">
        <f>(((Table134567891011121314151617343[[#This Row],[DEU]]-VLOOKUP($U$1,A:D,4,))/VLOOKUP($U$1,A:D,4,))*100)+100</f>
        <v/>
      </c>
      <c r="K16" s="77">
        <f>(((Table134567891011121314151617343[[#This Row],[ESP]]-VLOOKUP($U$1,A:E,5,))/VLOOKUP($U$1,A:E,5,))*100)+100</f>
        <v/>
      </c>
      <c r="L16" s="77">
        <f>(((Table134567891011121314151617343[[#This Row],[EA19]]-VLOOKUP($U$1,A:F,6,))/VLOOKUP($U$1,A:F,6,))*100)+100</f>
        <v/>
      </c>
      <c r="M16" s="77">
        <f>(((Table134567891011121314151617343[[#This Row],[GBR]]-VLOOKUP($U$1,A:G,7,))/VLOOKUP($U$1,A:G,7,))*100)+100</f>
        <v/>
      </c>
      <c r="N16" s="77">
        <f>IF(VLOOKUP(A16,Database!$A:$AU,MATCH($N$1,Database!$A$1:$AU$1,0),FALSE)=0,#N/A,VLOOKUP(A16,Database!$A:$AU,MATCH($N$1,Database!$A$1:$AU$1,0),FALSE))</f>
        <v/>
      </c>
      <c r="O16" s="77">
        <f>(((Table134567891011121314151617343[[#This Row],[USA]]-VLOOKUP($U$1,A:N,14,))/VLOOKUP($U$1,A:N,14,))*100)+100</f>
        <v/>
      </c>
      <c r="P16" s="77">
        <f>IF(VLOOKUP(A16,Database!$A:$AS,MATCH($P$1,Database!$A$1:$AS$1,0),FALSE)=0,#N/A,VLOOKUP(A16,Database!$A:$AS,MATCH($P$1,Database!$A$1:$AS$1,0),FALSE))</f>
        <v/>
      </c>
      <c r="Q16" s="77">
        <f>(((Table134567891011121314151617343[[#This Row],[JPN]]-VLOOKUP($U$1,A:Q,16,))/VLOOKUP($U$1,A:Q,16,))*100)+100</f>
        <v/>
      </c>
      <c r="W16" s="87" t="inlineStr">
        <is>
          <t>IRL</t>
        </is>
      </c>
    </row>
    <row r="17" customFormat="1" s="87">
      <c r="A17" s="21" t="n">
        <v>33329</v>
      </c>
      <c r="B17" s="77">
        <f>IF(VLOOKUP(A17,Database!$A:$AS,MATCH($B$1,Database!$A$1:$AS$1,0),FALSE)=0,#N/A,VLOOKUP(A17,Database!$A:$AS,MATCH($B$1,Database!$A$1:$AS$1,0),FALSE))</f>
        <v/>
      </c>
      <c r="C17" s="77">
        <f>IF(VLOOKUP(A17,Database!$A:$AS,MATCH($C$1,Database!$A$1:$AS$1,0),FALSE)=0,#N/A,VLOOKUP(A17,Database!$A:$AS,MATCH($C$1,Database!$A$1:$AS$1,0),FALSE))</f>
        <v/>
      </c>
      <c r="D17" s="77">
        <f>IF(VLOOKUP(A17,Database!$A:$AS,MATCH($D$1,Database!$A$1:$AS$1,0),FALSE)=0,#N/A,VLOOKUP(A17,Database!$A:$AS,MATCH($D$1,Database!$A$1:$AS$1,0),FALSE))</f>
        <v/>
      </c>
      <c r="E17" s="77">
        <f>IF(VLOOKUP(A17,Database!$A:$AS,MATCH($E$1,Database!$A$1:$AS$1,0),FALSE)=0,#N/A,VLOOKUP(A17,Database!$A:$AS,MATCH($E$1,Database!$A$1:$AS$1,0),FALSE))</f>
        <v/>
      </c>
      <c r="F17" s="77">
        <f>IF(VLOOKUP(A17,Database!$A:$AS,MATCH($F$1,Database!$A$1:$AS$1,0),FALSE)=0,#N/A,VLOOKUP(A17,Database!$A:$AS,MATCH($F$1,Database!$A$1:$AS$1,0),FALSE))</f>
        <v/>
      </c>
      <c r="G17" s="77">
        <f>IF(VLOOKUP(A17,Database!$A:$AS,MATCH($G$1,Database!$A$1:$AS$1,0),FALSE)=0,#N/A,VLOOKUP(A17,Database!$A:$AS,MATCH($G$1,Database!$A$1:$AS$1,0),FALSE))</f>
        <v/>
      </c>
      <c r="H17" s="77">
        <f>(((Table134567891011121314151617343[[#This Row],[ITA]]-VLOOKUP($U$1,A:B,2,))/VLOOKUP($U$1,A:B,2,))*100)+100</f>
        <v/>
      </c>
      <c r="I17" s="77">
        <f>(((Table134567891011121314151617343[[#This Row],[FRA]]-VLOOKUP($U$1,A:C,3,))/VLOOKUP($U$1,A:C,3,))*100)+100</f>
        <v/>
      </c>
      <c r="J17" s="77">
        <f>(((Table134567891011121314151617343[[#This Row],[DEU]]-VLOOKUP($U$1,A:D,4,))/VLOOKUP($U$1,A:D,4,))*100)+100</f>
        <v/>
      </c>
      <c r="K17" s="77">
        <f>(((Table134567891011121314151617343[[#This Row],[ESP]]-VLOOKUP($U$1,A:E,5,))/VLOOKUP($U$1,A:E,5,))*100)+100</f>
        <v/>
      </c>
      <c r="L17" s="77">
        <f>(((Table134567891011121314151617343[[#This Row],[EA19]]-VLOOKUP($U$1,A:F,6,))/VLOOKUP($U$1,A:F,6,))*100)+100</f>
        <v/>
      </c>
      <c r="M17" s="77">
        <f>(((Table134567891011121314151617343[[#This Row],[GBR]]-VLOOKUP($U$1,A:G,7,))/VLOOKUP($U$1,A:G,7,))*100)+100</f>
        <v/>
      </c>
      <c r="N17" s="77">
        <f>IF(VLOOKUP(A17,Database!$A:$AU,MATCH($N$1,Database!$A$1:$AU$1,0),FALSE)=0,#N/A,VLOOKUP(A17,Database!$A:$AU,MATCH($N$1,Database!$A$1:$AU$1,0),FALSE))</f>
        <v/>
      </c>
      <c r="O17" s="77">
        <f>(((Table134567891011121314151617343[[#This Row],[USA]]-VLOOKUP($U$1,A:N,14,))/VLOOKUP($U$1,A:N,14,))*100)+100</f>
        <v/>
      </c>
      <c r="P17" s="77">
        <f>IF(VLOOKUP(A17,Database!$A:$AS,MATCH($P$1,Database!$A$1:$AS$1,0),FALSE)=0,#N/A,VLOOKUP(A17,Database!$A:$AS,MATCH($P$1,Database!$A$1:$AS$1,0),FALSE))</f>
        <v/>
      </c>
      <c r="Q17" s="77">
        <f>(((Table134567891011121314151617343[[#This Row],[JPN]]-VLOOKUP($U$1,A:Q,16,))/VLOOKUP($U$1,A:Q,16,))*100)+100</f>
        <v/>
      </c>
      <c r="W17" s="87" t="inlineStr">
        <is>
          <t>ISL</t>
        </is>
      </c>
    </row>
    <row r="18" customFormat="1" s="87">
      <c r="A18" s="21" t="n">
        <v>33359</v>
      </c>
      <c r="B18" s="77">
        <f>IF(VLOOKUP(A18,Database!$A:$AS,MATCH($B$1,Database!$A$1:$AS$1,0),FALSE)=0,#N/A,VLOOKUP(A18,Database!$A:$AS,MATCH($B$1,Database!$A$1:$AS$1,0),FALSE))</f>
        <v/>
      </c>
      <c r="C18" s="77">
        <f>IF(VLOOKUP(A18,Database!$A:$AS,MATCH($C$1,Database!$A$1:$AS$1,0),FALSE)=0,#N/A,VLOOKUP(A18,Database!$A:$AS,MATCH($C$1,Database!$A$1:$AS$1,0),FALSE))</f>
        <v/>
      </c>
      <c r="D18" s="77">
        <f>IF(VLOOKUP(A18,Database!$A:$AS,MATCH($D$1,Database!$A$1:$AS$1,0),FALSE)=0,#N/A,VLOOKUP(A18,Database!$A:$AS,MATCH($D$1,Database!$A$1:$AS$1,0),FALSE))</f>
        <v/>
      </c>
      <c r="E18" s="77">
        <f>IF(VLOOKUP(A18,Database!$A:$AS,MATCH($E$1,Database!$A$1:$AS$1,0),FALSE)=0,#N/A,VLOOKUP(A18,Database!$A:$AS,MATCH($E$1,Database!$A$1:$AS$1,0),FALSE))</f>
        <v/>
      </c>
      <c r="F18" s="77">
        <f>IF(VLOOKUP(A18,Database!$A:$AS,MATCH($F$1,Database!$A$1:$AS$1,0),FALSE)=0,#N/A,VLOOKUP(A18,Database!$A:$AS,MATCH($F$1,Database!$A$1:$AS$1,0),FALSE))</f>
        <v/>
      </c>
      <c r="G18" s="77">
        <f>IF(VLOOKUP(A18,Database!$A:$AS,MATCH($G$1,Database!$A$1:$AS$1,0),FALSE)=0,#N/A,VLOOKUP(A18,Database!$A:$AS,MATCH($G$1,Database!$A$1:$AS$1,0),FALSE))</f>
        <v/>
      </c>
      <c r="H18" s="77">
        <f>(((Table134567891011121314151617343[[#This Row],[ITA]]-VLOOKUP($U$1,A:B,2,))/VLOOKUP($U$1,A:B,2,))*100)+100</f>
        <v/>
      </c>
      <c r="I18" s="77">
        <f>(((Table134567891011121314151617343[[#This Row],[FRA]]-VLOOKUP($U$1,A:C,3,))/VLOOKUP($U$1,A:C,3,))*100)+100</f>
        <v/>
      </c>
      <c r="J18" s="77">
        <f>(((Table134567891011121314151617343[[#This Row],[DEU]]-VLOOKUP($U$1,A:D,4,))/VLOOKUP($U$1,A:D,4,))*100)+100</f>
        <v/>
      </c>
      <c r="K18" s="77">
        <f>(((Table134567891011121314151617343[[#This Row],[ESP]]-VLOOKUP($U$1,A:E,5,))/VLOOKUP($U$1,A:E,5,))*100)+100</f>
        <v/>
      </c>
      <c r="L18" s="77">
        <f>(((Table134567891011121314151617343[[#This Row],[EA19]]-VLOOKUP($U$1,A:F,6,))/VLOOKUP($U$1,A:F,6,))*100)+100</f>
        <v/>
      </c>
      <c r="M18" s="77">
        <f>(((Table134567891011121314151617343[[#This Row],[GBR]]-VLOOKUP($U$1,A:G,7,))/VLOOKUP($U$1,A:G,7,))*100)+100</f>
        <v/>
      </c>
      <c r="N18" s="77">
        <f>IF(VLOOKUP(A18,Database!$A:$AU,MATCH($N$1,Database!$A$1:$AU$1,0),FALSE)=0,#N/A,VLOOKUP(A18,Database!$A:$AU,MATCH($N$1,Database!$A$1:$AU$1,0),FALSE))</f>
        <v/>
      </c>
      <c r="O18" s="77">
        <f>(((Table134567891011121314151617343[[#This Row],[USA]]-VLOOKUP($U$1,A:N,14,))/VLOOKUP($U$1,A:N,14,))*100)+100</f>
        <v/>
      </c>
      <c r="P18" s="77">
        <f>IF(VLOOKUP(A18,Database!$A:$AS,MATCH($P$1,Database!$A$1:$AS$1,0),FALSE)=0,#N/A,VLOOKUP(A18,Database!$A:$AS,MATCH($P$1,Database!$A$1:$AS$1,0),FALSE))</f>
        <v/>
      </c>
      <c r="Q18" s="77">
        <f>(((Table134567891011121314151617343[[#This Row],[JPN]]-VLOOKUP($U$1,A:Q,16,))/VLOOKUP($U$1,A:Q,16,))*100)+100</f>
        <v/>
      </c>
      <c r="W18" s="87" t="inlineStr">
        <is>
          <t>ISR</t>
        </is>
      </c>
    </row>
    <row r="19" customFormat="1" s="87">
      <c r="A19" s="21" t="n">
        <v>33390</v>
      </c>
      <c r="B19" s="77">
        <f>IF(VLOOKUP(A19,Database!$A:$AS,MATCH($B$1,Database!$A$1:$AS$1,0),FALSE)=0,#N/A,VLOOKUP(A19,Database!$A:$AS,MATCH($B$1,Database!$A$1:$AS$1,0),FALSE))</f>
        <v/>
      </c>
      <c r="C19" s="77">
        <f>IF(VLOOKUP(A19,Database!$A:$AS,MATCH($C$1,Database!$A$1:$AS$1,0),FALSE)=0,#N/A,VLOOKUP(A19,Database!$A:$AS,MATCH($C$1,Database!$A$1:$AS$1,0),FALSE))</f>
        <v/>
      </c>
      <c r="D19" s="77">
        <f>IF(VLOOKUP(A19,Database!$A:$AS,MATCH($D$1,Database!$A$1:$AS$1,0),FALSE)=0,#N/A,VLOOKUP(A19,Database!$A:$AS,MATCH($D$1,Database!$A$1:$AS$1,0),FALSE))</f>
        <v/>
      </c>
      <c r="E19" s="77">
        <f>IF(VLOOKUP(A19,Database!$A:$AS,MATCH($E$1,Database!$A$1:$AS$1,0),FALSE)=0,#N/A,VLOOKUP(A19,Database!$A:$AS,MATCH($E$1,Database!$A$1:$AS$1,0),FALSE))</f>
        <v/>
      </c>
      <c r="F19" s="77">
        <f>IF(VLOOKUP(A19,Database!$A:$AS,MATCH($F$1,Database!$A$1:$AS$1,0),FALSE)=0,#N/A,VLOOKUP(A19,Database!$A:$AS,MATCH($F$1,Database!$A$1:$AS$1,0),FALSE))</f>
        <v/>
      </c>
      <c r="G19" s="77">
        <f>IF(VLOOKUP(A19,Database!$A:$AS,MATCH($G$1,Database!$A$1:$AS$1,0),FALSE)=0,#N/A,VLOOKUP(A19,Database!$A:$AS,MATCH($G$1,Database!$A$1:$AS$1,0),FALSE))</f>
        <v/>
      </c>
      <c r="H19" s="77">
        <f>(((Table134567891011121314151617343[[#This Row],[ITA]]-VLOOKUP($U$1,A:B,2,))/VLOOKUP($U$1,A:B,2,))*100)+100</f>
        <v/>
      </c>
      <c r="I19" s="77">
        <f>(((Table134567891011121314151617343[[#This Row],[FRA]]-VLOOKUP($U$1,A:C,3,))/VLOOKUP($U$1,A:C,3,))*100)+100</f>
        <v/>
      </c>
      <c r="J19" s="77">
        <f>(((Table134567891011121314151617343[[#This Row],[DEU]]-VLOOKUP($U$1,A:D,4,))/VLOOKUP($U$1,A:D,4,))*100)+100</f>
        <v/>
      </c>
      <c r="K19" s="77">
        <f>(((Table134567891011121314151617343[[#This Row],[ESP]]-VLOOKUP($U$1,A:E,5,))/VLOOKUP($U$1,A:E,5,))*100)+100</f>
        <v/>
      </c>
      <c r="L19" s="77">
        <f>(((Table134567891011121314151617343[[#This Row],[EA19]]-VLOOKUP($U$1,A:F,6,))/VLOOKUP($U$1,A:F,6,))*100)+100</f>
        <v/>
      </c>
      <c r="M19" s="77">
        <f>(((Table134567891011121314151617343[[#This Row],[GBR]]-VLOOKUP($U$1,A:G,7,))/VLOOKUP($U$1,A:G,7,))*100)+100</f>
        <v/>
      </c>
      <c r="N19" s="77">
        <f>IF(VLOOKUP(A19,Database!$A:$AU,MATCH($N$1,Database!$A$1:$AU$1,0),FALSE)=0,#N/A,VLOOKUP(A19,Database!$A:$AU,MATCH($N$1,Database!$A$1:$AU$1,0),FALSE))</f>
        <v/>
      </c>
      <c r="O19" s="77">
        <f>(((Table134567891011121314151617343[[#This Row],[USA]]-VLOOKUP($U$1,A:N,14,))/VLOOKUP($U$1,A:N,14,))*100)+100</f>
        <v/>
      </c>
      <c r="P19" s="77">
        <f>IF(VLOOKUP(A19,Database!$A:$AS,MATCH($P$1,Database!$A$1:$AS$1,0),FALSE)=0,#N/A,VLOOKUP(A19,Database!$A:$AS,MATCH($P$1,Database!$A$1:$AS$1,0),FALSE))</f>
        <v/>
      </c>
      <c r="Q19" s="77">
        <f>(((Table134567891011121314151617343[[#This Row],[JPN]]-VLOOKUP($U$1,A:Q,16,))/VLOOKUP($U$1,A:Q,16,))*100)+100</f>
        <v/>
      </c>
      <c r="W19" s="87" t="inlineStr">
        <is>
          <t>ITA</t>
        </is>
      </c>
    </row>
    <row r="20" customFormat="1" s="87">
      <c r="A20" s="21" t="n">
        <v>33420</v>
      </c>
      <c r="B20" s="77">
        <f>IF(VLOOKUP(A20,Database!$A:$AS,MATCH($B$1,Database!$A$1:$AS$1,0),FALSE)=0,#N/A,VLOOKUP(A20,Database!$A:$AS,MATCH($B$1,Database!$A$1:$AS$1,0),FALSE))</f>
        <v/>
      </c>
      <c r="C20" s="77">
        <f>IF(VLOOKUP(A20,Database!$A:$AS,MATCH($C$1,Database!$A$1:$AS$1,0),FALSE)=0,#N/A,VLOOKUP(A20,Database!$A:$AS,MATCH($C$1,Database!$A$1:$AS$1,0),FALSE))</f>
        <v/>
      </c>
      <c r="D20" s="77">
        <f>IF(VLOOKUP(A20,Database!$A:$AS,MATCH($D$1,Database!$A$1:$AS$1,0),FALSE)=0,#N/A,VLOOKUP(A20,Database!$A:$AS,MATCH($D$1,Database!$A$1:$AS$1,0),FALSE))</f>
        <v/>
      </c>
      <c r="E20" s="77">
        <f>IF(VLOOKUP(A20,Database!$A:$AS,MATCH($E$1,Database!$A$1:$AS$1,0),FALSE)=0,#N/A,VLOOKUP(A20,Database!$A:$AS,MATCH($E$1,Database!$A$1:$AS$1,0),FALSE))</f>
        <v/>
      </c>
      <c r="F20" s="77">
        <f>IF(VLOOKUP(A20,Database!$A:$AS,MATCH($F$1,Database!$A$1:$AS$1,0),FALSE)=0,#N/A,VLOOKUP(A20,Database!$A:$AS,MATCH($F$1,Database!$A$1:$AS$1,0),FALSE))</f>
        <v/>
      </c>
      <c r="G20" s="77">
        <f>IF(VLOOKUP(A20,Database!$A:$AS,MATCH($G$1,Database!$A$1:$AS$1,0),FALSE)=0,#N/A,VLOOKUP(A20,Database!$A:$AS,MATCH($G$1,Database!$A$1:$AS$1,0),FALSE))</f>
        <v/>
      </c>
      <c r="H20" s="77">
        <f>(((Table134567891011121314151617343[[#This Row],[ITA]]-VLOOKUP($U$1,A:B,2,))/VLOOKUP($U$1,A:B,2,))*100)+100</f>
        <v/>
      </c>
      <c r="I20" s="77">
        <f>(((Table134567891011121314151617343[[#This Row],[FRA]]-VLOOKUP($U$1,A:C,3,))/VLOOKUP($U$1,A:C,3,))*100)+100</f>
        <v/>
      </c>
      <c r="J20" s="77">
        <f>(((Table134567891011121314151617343[[#This Row],[DEU]]-VLOOKUP($U$1,A:D,4,))/VLOOKUP($U$1,A:D,4,))*100)+100</f>
        <v/>
      </c>
      <c r="K20" s="77">
        <f>(((Table134567891011121314151617343[[#This Row],[ESP]]-VLOOKUP($U$1,A:E,5,))/VLOOKUP($U$1,A:E,5,))*100)+100</f>
        <v/>
      </c>
      <c r="L20" s="77">
        <f>(((Table134567891011121314151617343[[#This Row],[EA19]]-VLOOKUP($U$1,A:F,6,))/VLOOKUP($U$1,A:F,6,))*100)+100</f>
        <v/>
      </c>
      <c r="M20" s="77">
        <f>(((Table134567891011121314151617343[[#This Row],[GBR]]-VLOOKUP($U$1,A:G,7,))/VLOOKUP($U$1,A:G,7,))*100)+100</f>
        <v/>
      </c>
      <c r="N20" s="77">
        <f>IF(VLOOKUP(A20,Database!$A:$AU,MATCH($N$1,Database!$A$1:$AU$1,0),FALSE)=0,#N/A,VLOOKUP(A20,Database!$A:$AU,MATCH($N$1,Database!$A$1:$AU$1,0),FALSE))</f>
        <v/>
      </c>
      <c r="O20" s="77">
        <f>(((Table134567891011121314151617343[[#This Row],[USA]]-VLOOKUP($U$1,A:N,14,))/VLOOKUP($U$1,A:N,14,))*100)+100</f>
        <v/>
      </c>
      <c r="P20" s="77">
        <f>IF(VLOOKUP(A20,Database!$A:$AS,MATCH($P$1,Database!$A$1:$AS$1,0),FALSE)=0,#N/A,VLOOKUP(A20,Database!$A:$AS,MATCH($P$1,Database!$A$1:$AS$1,0),FALSE))</f>
        <v/>
      </c>
      <c r="Q20" s="77">
        <f>(((Table134567891011121314151617343[[#This Row],[JPN]]-VLOOKUP($U$1,A:Q,16,))/VLOOKUP($U$1,A:Q,16,))*100)+100</f>
        <v/>
      </c>
      <c r="W20" s="87" t="inlineStr">
        <is>
          <t>JPN</t>
        </is>
      </c>
    </row>
    <row r="21" customFormat="1" s="87">
      <c r="A21" s="21" t="n">
        <v>33451</v>
      </c>
      <c r="B21" s="77">
        <f>IF(VLOOKUP(A21,Database!$A:$AS,MATCH($B$1,Database!$A$1:$AS$1,0),FALSE)=0,#N/A,VLOOKUP(A21,Database!$A:$AS,MATCH($B$1,Database!$A$1:$AS$1,0),FALSE))</f>
        <v/>
      </c>
      <c r="C21" s="77">
        <f>IF(VLOOKUP(A21,Database!$A:$AS,MATCH($C$1,Database!$A$1:$AS$1,0),FALSE)=0,#N/A,VLOOKUP(A21,Database!$A:$AS,MATCH($C$1,Database!$A$1:$AS$1,0),FALSE))</f>
        <v/>
      </c>
      <c r="D21" s="77">
        <f>IF(VLOOKUP(A21,Database!$A:$AS,MATCH($D$1,Database!$A$1:$AS$1,0),FALSE)=0,#N/A,VLOOKUP(A21,Database!$A:$AS,MATCH($D$1,Database!$A$1:$AS$1,0),FALSE))</f>
        <v/>
      </c>
      <c r="E21" s="77">
        <f>IF(VLOOKUP(A21,Database!$A:$AS,MATCH($E$1,Database!$A$1:$AS$1,0),FALSE)=0,#N/A,VLOOKUP(A21,Database!$A:$AS,MATCH($E$1,Database!$A$1:$AS$1,0),FALSE))</f>
        <v/>
      </c>
      <c r="F21" s="77">
        <f>IF(VLOOKUP(A21,Database!$A:$AS,MATCH($F$1,Database!$A$1:$AS$1,0),FALSE)=0,#N/A,VLOOKUP(A21,Database!$A:$AS,MATCH($F$1,Database!$A$1:$AS$1,0),FALSE))</f>
        <v/>
      </c>
      <c r="G21" s="77">
        <f>IF(VLOOKUP(A21,Database!$A:$AS,MATCH($G$1,Database!$A$1:$AS$1,0),FALSE)=0,#N/A,VLOOKUP(A21,Database!$A:$AS,MATCH($G$1,Database!$A$1:$AS$1,0),FALSE))</f>
        <v/>
      </c>
      <c r="H21" s="77">
        <f>(((Table134567891011121314151617343[[#This Row],[ITA]]-VLOOKUP($U$1,A:B,2,))/VLOOKUP($U$1,A:B,2,))*100)+100</f>
        <v/>
      </c>
      <c r="I21" s="77">
        <f>(((Table134567891011121314151617343[[#This Row],[FRA]]-VLOOKUP($U$1,A:C,3,))/VLOOKUP($U$1,A:C,3,))*100)+100</f>
        <v/>
      </c>
      <c r="J21" s="77">
        <f>(((Table134567891011121314151617343[[#This Row],[DEU]]-VLOOKUP($U$1,A:D,4,))/VLOOKUP($U$1,A:D,4,))*100)+100</f>
        <v/>
      </c>
      <c r="K21" s="77">
        <f>(((Table134567891011121314151617343[[#This Row],[ESP]]-VLOOKUP($U$1,A:E,5,))/VLOOKUP($U$1,A:E,5,))*100)+100</f>
        <v/>
      </c>
      <c r="L21" s="77">
        <f>(((Table134567891011121314151617343[[#This Row],[EA19]]-VLOOKUP($U$1,A:F,6,))/VLOOKUP($U$1,A:F,6,))*100)+100</f>
        <v/>
      </c>
      <c r="M21" s="77">
        <f>(((Table134567891011121314151617343[[#This Row],[GBR]]-VLOOKUP($U$1,A:G,7,))/VLOOKUP($U$1,A:G,7,))*100)+100</f>
        <v/>
      </c>
      <c r="N21" s="77">
        <f>IF(VLOOKUP(A21,Database!$A:$AU,MATCH($N$1,Database!$A$1:$AU$1,0),FALSE)=0,#N/A,VLOOKUP(A21,Database!$A:$AU,MATCH($N$1,Database!$A$1:$AU$1,0),FALSE))</f>
        <v/>
      </c>
      <c r="O21" s="77">
        <f>(((Table134567891011121314151617343[[#This Row],[USA]]-VLOOKUP($U$1,A:N,14,))/VLOOKUP($U$1,A:N,14,))*100)+100</f>
        <v/>
      </c>
      <c r="P21" s="77">
        <f>IF(VLOOKUP(A21,Database!$A:$AS,MATCH($P$1,Database!$A$1:$AS$1,0),FALSE)=0,#N/A,VLOOKUP(A21,Database!$A:$AS,MATCH($P$1,Database!$A$1:$AS$1,0),FALSE))</f>
        <v/>
      </c>
      <c r="Q21" s="77">
        <f>(((Table134567891011121314151617343[[#This Row],[JPN]]-VLOOKUP($U$1,A:Q,16,))/VLOOKUP($U$1,A:Q,16,))*100)+100</f>
        <v/>
      </c>
      <c r="W21" s="87" t="inlineStr">
        <is>
          <t>KOR</t>
        </is>
      </c>
    </row>
    <row r="22" customFormat="1" s="87">
      <c r="A22" s="21" t="n">
        <v>33482</v>
      </c>
      <c r="B22" s="77">
        <f>IF(VLOOKUP(A22,Database!$A:$AS,MATCH($B$1,Database!$A$1:$AS$1,0),FALSE)=0,#N/A,VLOOKUP(A22,Database!$A:$AS,MATCH($B$1,Database!$A$1:$AS$1,0),FALSE))</f>
        <v/>
      </c>
      <c r="C22" s="77">
        <f>IF(VLOOKUP(A22,Database!$A:$AS,MATCH($C$1,Database!$A$1:$AS$1,0),FALSE)=0,#N/A,VLOOKUP(A22,Database!$A:$AS,MATCH($C$1,Database!$A$1:$AS$1,0),FALSE))</f>
        <v/>
      </c>
      <c r="D22" s="77">
        <f>IF(VLOOKUP(A22,Database!$A:$AS,MATCH($D$1,Database!$A$1:$AS$1,0),FALSE)=0,#N/A,VLOOKUP(A22,Database!$A:$AS,MATCH($D$1,Database!$A$1:$AS$1,0),FALSE))</f>
        <v/>
      </c>
      <c r="E22" s="77">
        <f>IF(VLOOKUP(A22,Database!$A:$AS,MATCH($E$1,Database!$A$1:$AS$1,0),FALSE)=0,#N/A,VLOOKUP(A22,Database!$A:$AS,MATCH($E$1,Database!$A$1:$AS$1,0),FALSE))</f>
        <v/>
      </c>
      <c r="F22" s="77">
        <f>IF(VLOOKUP(A22,Database!$A:$AS,MATCH($F$1,Database!$A$1:$AS$1,0),FALSE)=0,#N/A,VLOOKUP(A22,Database!$A:$AS,MATCH($F$1,Database!$A$1:$AS$1,0),FALSE))</f>
        <v/>
      </c>
      <c r="G22" s="77">
        <f>IF(VLOOKUP(A22,Database!$A:$AS,MATCH($G$1,Database!$A$1:$AS$1,0),FALSE)=0,#N/A,VLOOKUP(A22,Database!$A:$AS,MATCH($G$1,Database!$A$1:$AS$1,0),FALSE))</f>
        <v/>
      </c>
      <c r="H22" s="77">
        <f>(((Table134567891011121314151617343[[#This Row],[ITA]]-VLOOKUP($U$1,A:B,2,))/VLOOKUP($U$1,A:B,2,))*100)+100</f>
        <v/>
      </c>
      <c r="I22" s="77">
        <f>(((Table134567891011121314151617343[[#This Row],[FRA]]-VLOOKUP($U$1,A:C,3,))/VLOOKUP($U$1,A:C,3,))*100)+100</f>
        <v/>
      </c>
      <c r="J22" s="77">
        <f>(((Table134567891011121314151617343[[#This Row],[DEU]]-VLOOKUP($U$1,A:D,4,))/VLOOKUP($U$1,A:D,4,))*100)+100</f>
        <v/>
      </c>
      <c r="K22" s="77">
        <f>(((Table134567891011121314151617343[[#This Row],[ESP]]-VLOOKUP($U$1,A:E,5,))/VLOOKUP($U$1,A:E,5,))*100)+100</f>
        <v/>
      </c>
      <c r="L22" s="77">
        <f>(((Table134567891011121314151617343[[#This Row],[EA19]]-VLOOKUP($U$1,A:F,6,))/VLOOKUP($U$1,A:F,6,))*100)+100</f>
        <v/>
      </c>
      <c r="M22" s="77">
        <f>(((Table134567891011121314151617343[[#This Row],[GBR]]-VLOOKUP($U$1,A:G,7,))/VLOOKUP($U$1,A:G,7,))*100)+100</f>
        <v/>
      </c>
      <c r="N22" s="77">
        <f>IF(VLOOKUP(A22,Database!$A:$AU,MATCH($N$1,Database!$A$1:$AU$1,0),FALSE)=0,#N/A,VLOOKUP(A22,Database!$A:$AU,MATCH($N$1,Database!$A$1:$AU$1,0),FALSE))</f>
        <v/>
      </c>
      <c r="O22" s="77">
        <f>(((Table134567891011121314151617343[[#This Row],[USA]]-VLOOKUP($U$1,A:N,14,))/VLOOKUP($U$1,A:N,14,))*100)+100</f>
        <v/>
      </c>
      <c r="P22" s="77">
        <f>IF(VLOOKUP(A22,Database!$A:$AS,MATCH($P$1,Database!$A$1:$AS$1,0),FALSE)=0,#N/A,VLOOKUP(A22,Database!$A:$AS,MATCH($P$1,Database!$A$1:$AS$1,0),FALSE))</f>
        <v/>
      </c>
      <c r="Q22" s="77">
        <f>(((Table134567891011121314151617343[[#This Row],[JPN]]-VLOOKUP($U$1,A:Q,16,))/VLOOKUP($U$1,A:Q,16,))*100)+100</f>
        <v/>
      </c>
      <c r="W22" s="87" t="inlineStr">
        <is>
          <t>LUX</t>
        </is>
      </c>
    </row>
    <row r="23" customFormat="1" s="87">
      <c r="A23" s="21" t="n">
        <v>33512</v>
      </c>
      <c r="B23" s="77">
        <f>IF(VLOOKUP(A23,Database!$A:$AS,MATCH($B$1,Database!$A$1:$AS$1,0),FALSE)=0,#N/A,VLOOKUP(A23,Database!$A:$AS,MATCH($B$1,Database!$A$1:$AS$1,0),FALSE))</f>
        <v/>
      </c>
      <c r="C23" s="77">
        <f>IF(VLOOKUP(A23,Database!$A:$AS,MATCH($C$1,Database!$A$1:$AS$1,0),FALSE)=0,#N/A,VLOOKUP(A23,Database!$A:$AS,MATCH($C$1,Database!$A$1:$AS$1,0),FALSE))</f>
        <v/>
      </c>
      <c r="D23" s="77">
        <f>IF(VLOOKUP(A23,Database!$A:$AS,MATCH($D$1,Database!$A$1:$AS$1,0),FALSE)=0,#N/A,VLOOKUP(A23,Database!$A:$AS,MATCH($D$1,Database!$A$1:$AS$1,0),FALSE))</f>
        <v/>
      </c>
      <c r="E23" s="77">
        <f>IF(VLOOKUP(A23,Database!$A:$AS,MATCH($E$1,Database!$A$1:$AS$1,0),FALSE)=0,#N/A,VLOOKUP(A23,Database!$A:$AS,MATCH($E$1,Database!$A$1:$AS$1,0),FALSE))</f>
        <v/>
      </c>
      <c r="F23" s="77">
        <f>IF(VLOOKUP(A23,Database!$A:$AS,MATCH($F$1,Database!$A$1:$AS$1,0),FALSE)=0,#N/A,VLOOKUP(A23,Database!$A:$AS,MATCH($F$1,Database!$A$1:$AS$1,0),FALSE))</f>
        <v/>
      </c>
      <c r="G23" s="77">
        <f>IF(VLOOKUP(A23,Database!$A:$AS,MATCH($G$1,Database!$A$1:$AS$1,0),FALSE)=0,#N/A,VLOOKUP(A23,Database!$A:$AS,MATCH($G$1,Database!$A$1:$AS$1,0),FALSE))</f>
        <v/>
      </c>
      <c r="H23" s="77">
        <f>(((Table134567891011121314151617343[[#This Row],[ITA]]-VLOOKUP($U$1,A:B,2,))/VLOOKUP($U$1,A:B,2,))*100)+100</f>
        <v/>
      </c>
      <c r="I23" s="77">
        <f>(((Table134567891011121314151617343[[#This Row],[FRA]]-VLOOKUP($U$1,A:C,3,))/VLOOKUP($U$1,A:C,3,))*100)+100</f>
        <v/>
      </c>
      <c r="J23" s="77">
        <f>(((Table134567891011121314151617343[[#This Row],[DEU]]-VLOOKUP($U$1,A:D,4,))/VLOOKUP($U$1,A:D,4,))*100)+100</f>
        <v/>
      </c>
      <c r="K23" s="77">
        <f>(((Table134567891011121314151617343[[#This Row],[ESP]]-VLOOKUP($U$1,A:E,5,))/VLOOKUP($U$1,A:E,5,))*100)+100</f>
        <v/>
      </c>
      <c r="L23" s="77">
        <f>(((Table134567891011121314151617343[[#This Row],[EA19]]-VLOOKUP($U$1,A:F,6,))/VLOOKUP($U$1,A:F,6,))*100)+100</f>
        <v/>
      </c>
      <c r="M23" s="77">
        <f>(((Table134567891011121314151617343[[#This Row],[GBR]]-VLOOKUP($U$1,A:G,7,))/VLOOKUP($U$1,A:G,7,))*100)+100</f>
        <v/>
      </c>
      <c r="N23" s="77">
        <f>IF(VLOOKUP(A23,Database!$A:$AU,MATCH($N$1,Database!$A$1:$AU$1,0),FALSE)=0,#N/A,VLOOKUP(A23,Database!$A:$AU,MATCH($N$1,Database!$A$1:$AU$1,0),FALSE))</f>
        <v/>
      </c>
      <c r="O23" s="77">
        <f>(((Table134567891011121314151617343[[#This Row],[USA]]-VLOOKUP($U$1,A:N,14,))/VLOOKUP($U$1,A:N,14,))*100)+100</f>
        <v/>
      </c>
      <c r="P23" s="77">
        <f>IF(VLOOKUP(A23,Database!$A:$AS,MATCH($P$1,Database!$A$1:$AS$1,0),FALSE)=0,#N/A,VLOOKUP(A23,Database!$A:$AS,MATCH($P$1,Database!$A$1:$AS$1,0),FALSE))</f>
        <v/>
      </c>
      <c r="Q23" s="77">
        <f>(((Table134567891011121314151617343[[#This Row],[JPN]]-VLOOKUP($U$1,A:Q,16,))/VLOOKUP($U$1,A:Q,16,))*100)+100</f>
        <v/>
      </c>
      <c r="W23" s="87" t="inlineStr">
        <is>
          <t>LVA</t>
        </is>
      </c>
    </row>
    <row r="24" customFormat="1" s="87">
      <c r="A24" s="21" t="n">
        <v>33543</v>
      </c>
      <c r="B24" s="77">
        <f>IF(VLOOKUP(A24,Database!$A:$AS,MATCH($B$1,Database!$A$1:$AS$1,0),FALSE)=0,#N/A,VLOOKUP(A24,Database!$A:$AS,MATCH($B$1,Database!$A$1:$AS$1,0),FALSE))</f>
        <v/>
      </c>
      <c r="C24" s="77">
        <f>IF(VLOOKUP(A24,Database!$A:$AS,MATCH($C$1,Database!$A$1:$AS$1,0),FALSE)=0,#N/A,VLOOKUP(A24,Database!$A:$AS,MATCH($C$1,Database!$A$1:$AS$1,0),FALSE))</f>
        <v/>
      </c>
      <c r="D24" s="77">
        <f>IF(VLOOKUP(A24,Database!$A:$AS,MATCH($D$1,Database!$A$1:$AS$1,0),FALSE)=0,#N/A,VLOOKUP(A24,Database!$A:$AS,MATCH($D$1,Database!$A$1:$AS$1,0),FALSE))</f>
        <v/>
      </c>
      <c r="E24" s="77">
        <f>IF(VLOOKUP(A24,Database!$A:$AS,MATCH($E$1,Database!$A$1:$AS$1,0),FALSE)=0,#N/A,VLOOKUP(A24,Database!$A:$AS,MATCH($E$1,Database!$A$1:$AS$1,0),FALSE))</f>
        <v/>
      </c>
      <c r="F24" s="77">
        <f>IF(VLOOKUP(A24,Database!$A:$AS,MATCH($F$1,Database!$A$1:$AS$1,0),FALSE)=0,#N/A,VLOOKUP(A24,Database!$A:$AS,MATCH($F$1,Database!$A$1:$AS$1,0),FALSE))</f>
        <v/>
      </c>
      <c r="G24" s="77">
        <f>IF(VLOOKUP(A24,Database!$A:$AS,MATCH($G$1,Database!$A$1:$AS$1,0),FALSE)=0,#N/A,VLOOKUP(A24,Database!$A:$AS,MATCH($G$1,Database!$A$1:$AS$1,0),FALSE))</f>
        <v/>
      </c>
      <c r="H24" s="77">
        <f>(((Table134567891011121314151617343[[#This Row],[ITA]]-VLOOKUP($U$1,A:B,2,))/VLOOKUP($U$1,A:B,2,))*100)+100</f>
        <v/>
      </c>
      <c r="I24" s="77">
        <f>(((Table134567891011121314151617343[[#This Row],[FRA]]-VLOOKUP($U$1,A:C,3,))/VLOOKUP($U$1,A:C,3,))*100)+100</f>
        <v/>
      </c>
      <c r="J24" s="77">
        <f>(((Table134567891011121314151617343[[#This Row],[DEU]]-VLOOKUP($U$1,A:D,4,))/VLOOKUP($U$1,A:D,4,))*100)+100</f>
        <v/>
      </c>
      <c r="K24" s="77">
        <f>(((Table134567891011121314151617343[[#This Row],[ESP]]-VLOOKUP($U$1,A:E,5,))/VLOOKUP($U$1,A:E,5,))*100)+100</f>
        <v/>
      </c>
      <c r="L24" s="77">
        <f>(((Table134567891011121314151617343[[#This Row],[EA19]]-VLOOKUP($U$1,A:F,6,))/VLOOKUP($U$1,A:F,6,))*100)+100</f>
        <v/>
      </c>
      <c r="M24" s="77">
        <f>(((Table134567891011121314151617343[[#This Row],[GBR]]-VLOOKUP($U$1,A:G,7,))/VLOOKUP($U$1,A:G,7,))*100)+100</f>
        <v/>
      </c>
      <c r="N24" s="77">
        <f>IF(VLOOKUP(A24,Database!$A:$AU,MATCH($N$1,Database!$A$1:$AU$1,0),FALSE)=0,#N/A,VLOOKUP(A24,Database!$A:$AU,MATCH($N$1,Database!$A$1:$AU$1,0),FALSE))</f>
        <v/>
      </c>
      <c r="O24" s="77">
        <f>(((Table134567891011121314151617343[[#This Row],[USA]]-VLOOKUP($U$1,A:N,14,))/VLOOKUP($U$1,A:N,14,))*100)+100</f>
        <v/>
      </c>
      <c r="P24" s="77">
        <f>IF(VLOOKUP(A24,Database!$A:$AS,MATCH($P$1,Database!$A$1:$AS$1,0),FALSE)=0,#N/A,VLOOKUP(A24,Database!$A:$AS,MATCH($P$1,Database!$A$1:$AS$1,0),FALSE))</f>
        <v/>
      </c>
      <c r="Q24" s="77">
        <f>(((Table134567891011121314151617343[[#This Row],[JPN]]-VLOOKUP($U$1,A:Q,16,))/VLOOKUP($U$1,A:Q,16,))*100)+100</f>
        <v/>
      </c>
      <c r="W24" s="87" t="inlineStr">
        <is>
          <t>MEX</t>
        </is>
      </c>
    </row>
    <row r="25" customFormat="1" s="87">
      <c r="A25" s="21" t="n">
        <v>33573</v>
      </c>
      <c r="B25" s="77">
        <f>IF(VLOOKUP(A25,Database!$A:$AS,MATCH($B$1,Database!$A$1:$AS$1,0),FALSE)=0,#N/A,VLOOKUP(A25,Database!$A:$AS,MATCH($B$1,Database!$A$1:$AS$1,0),FALSE))</f>
        <v/>
      </c>
      <c r="C25" s="77">
        <f>IF(VLOOKUP(A25,Database!$A:$AS,MATCH($C$1,Database!$A$1:$AS$1,0),FALSE)=0,#N/A,VLOOKUP(A25,Database!$A:$AS,MATCH($C$1,Database!$A$1:$AS$1,0),FALSE))</f>
        <v/>
      </c>
      <c r="D25" s="77">
        <f>IF(VLOOKUP(A25,Database!$A:$AS,MATCH($D$1,Database!$A$1:$AS$1,0),FALSE)=0,#N/A,VLOOKUP(A25,Database!$A:$AS,MATCH($D$1,Database!$A$1:$AS$1,0),FALSE))</f>
        <v/>
      </c>
      <c r="E25" s="77">
        <f>IF(VLOOKUP(A25,Database!$A:$AS,MATCH($E$1,Database!$A$1:$AS$1,0),FALSE)=0,#N/A,VLOOKUP(A25,Database!$A:$AS,MATCH($E$1,Database!$A$1:$AS$1,0),FALSE))</f>
        <v/>
      </c>
      <c r="F25" s="77">
        <f>IF(VLOOKUP(A25,Database!$A:$AS,MATCH($F$1,Database!$A$1:$AS$1,0),FALSE)=0,#N/A,VLOOKUP(A25,Database!$A:$AS,MATCH($F$1,Database!$A$1:$AS$1,0),FALSE))</f>
        <v/>
      </c>
      <c r="G25" s="77">
        <f>IF(VLOOKUP(A25,Database!$A:$AS,MATCH($G$1,Database!$A$1:$AS$1,0),FALSE)=0,#N/A,VLOOKUP(A25,Database!$A:$AS,MATCH($G$1,Database!$A$1:$AS$1,0),FALSE))</f>
        <v/>
      </c>
      <c r="H25" s="77">
        <f>(((Table134567891011121314151617343[[#This Row],[ITA]]-VLOOKUP($U$1,A:B,2,))/VLOOKUP($U$1,A:B,2,))*100)+100</f>
        <v/>
      </c>
      <c r="I25" s="77">
        <f>(((Table134567891011121314151617343[[#This Row],[FRA]]-VLOOKUP($U$1,A:C,3,))/VLOOKUP($U$1,A:C,3,))*100)+100</f>
        <v/>
      </c>
      <c r="J25" s="77">
        <f>(((Table134567891011121314151617343[[#This Row],[DEU]]-VLOOKUP($U$1,A:D,4,))/VLOOKUP($U$1,A:D,4,))*100)+100</f>
        <v/>
      </c>
      <c r="K25" s="77">
        <f>(((Table134567891011121314151617343[[#This Row],[ESP]]-VLOOKUP($U$1,A:E,5,))/VLOOKUP($U$1,A:E,5,))*100)+100</f>
        <v/>
      </c>
      <c r="L25" s="77">
        <f>(((Table134567891011121314151617343[[#This Row],[EA19]]-VLOOKUP($U$1,A:F,6,))/VLOOKUP($U$1,A:F,6,))*100)+100</f>
        <v/>
      </c>
      <c r="M25" s="77">
        <f>(((Table134567891011121314151617343[[#This Row],[GBR]]-VLOOKUP($U$1,A:G,7,))/VLOOKUP($U$1,A:G,7,))*100)+100</f>
        <v/>
      </c>
      <c r="N25" s="77">
        <f>IF(VLOOKUP(A25,Database!$A:$AU,MATCH($N$1,Database!$A$1:$AU$1,0),FALSE)=0,#N/A,VLOOKUP(A25,Database!$A:$AU,MATCH($N$1,Database!$A$1:$AU$1,0),FALSE))</f>
        <v/>
      </c>
      <c r="O25" s="77">
        <f>(((Table134567891011121314151617343[[#This Row],[USA]]-VLOOKUP($U$1,A:N,14,))/VLOOKUP($U$1,A:N,14,))*100)+100</f>
        <v/>
      </c>
      <c r="P25" s="77">
        <f>IF(VLOOKUP(A25,Database!$A:$AS,MATCH($P$1,Database!$A$1:$AS$1,0),FALSE)=0,#N/A,VLOOKUP(A25,Database!$A:$AS,MATCH($P$1,Database!$A$1:$AS$1,0),FALSE))</f>
        <v/>
      </c>
      <c r="Q25" s="77">
        <f>(((Table134567891011121314151617343[[#This Row],[JPN]]-VLOOKUP($U$1,A:Q,16,))/VLOOKUP($U$1,A:Q,16,))*100)+100</f>
        <v/>
      </c>
      <c r="W25" s="87" t="inlineStr">
        <is>
          <t>NLD</t>
        </is>
      </c>
    </row>
    <row r="26" customFormat="1" s="87">
      <c r="A26" s="21" t="n">
        <v>33604</v>
      </c>
      <c r="B26" s="77">
        <f>IF(VLOOKUP(A26,Database!$A:$AS,MATCH($B$1,Database!$A$1:$AS$1,0),FALSE)=0,#N/A,VLOOKUP(A26,Database!$A:$AS,MATCH($B$1,Database!$A$1:$AS$1,0),FALSE))</f>
        <v/>
      </c>
      <c r="C26" s="77">
        <f>IF(VLOOKUP(A26,Database!$A:$AS,MATCH($C$1,Database!$A$1:$AS$1,0),FALSE)=0,#N/A,VLOOKUP(A26,Database!$A:$AS,MATCH($C$1,Database!$A$1:$AS$1,0),FALSE))</f>
        <v/>
      </c>
      <c r="D26" s="77">
        <f>IF(VLOOKUP(A26,Database!$A:$AS,MATCH($D$1,Database!$A$1:$AS$1,0),FALSE)=0,#N/A,VLOOKUP(A26,Database!$A:$AS,MATCH($D$1,Database!$A$1:$AS$1,0),FALSE))</f>
        <v/>
      </c>
      <c r="E26" s="77">
        <f>IF(VLOOKUP(A26,Database!$A:$AS,MATCH($E$1,Database!$A$1:$AS$1,0),FALSE)=0,#N/A,VLOOKUP(A26,Database!$A:$AS,MATCH($E$1,Database!$A$1:$AS$1,0),FALSE))</f>
        <v/>
      </c>
      <c r="F26" s="77">
        <f>IF(VLOOKUP(A26,Database!$A:$AS,MATCH($F$1,Database!$A$1:$AS$1,0),FALSE)=0,#N/A,VLOOKUP(A26,Database!$A:$AS,MATCH($F$1,Database!$A$1:$AS$1,0),FALSE))</f>
        <v/>
      </c>
      <c r="G26" s="77">
        <f>IF(VLOOKUP(A26,Database!$A:$AS,MATCH($G$1,Database!$A$1:$AS$1,0),FALSE)=0,#N/A,VLOOKUP(A26,Database!$A:$AS,MATCH($G$1,Database!$A$1:$AS$1,0),FALSE))</f>
        <v/>
      </c>
      <c r="H26" s="77">
        <f>(((Table134567891011121314151617343[[#This Row],[ITA]]-VLOOKUP($U$1,A:B,2,))/VLOOKUP($U$1,A:B,2,))*100)+100</f>
        <v/>
      </c>
      <c r="I26" s="77">
        <f>(((Table134567891011121314151617343[[#This Row],[FRA]]-VLOOKUP($U$1,A:C,3,))/VLOOKUP($U$1,A:C,3,))*100)+100</f>
        <v/>
      </c>
      <c r="J26" s="77">
        <f>(((Table134567891011121314151617343[[#This Row],[DEU]]-VLOOKUP($U$1,A:D,4,))/VLOOKUP($U$1,A:D,4,))*100)+100</f>
        <v/>
      </c>
      <c r="K26" s="77">
        <f>(((Table134567891011121314151617343[[#This Row],[ESP]]-VLOOKUP($U$1,A:E,5,))/VLOOKUP($U$1,A:E,5,))*100)+100</f>
        <v/>
      </c>
      <c r="L26" s="77">
        <f>(((Table134567891011121314151617343[[#This Row],[EA19]]-VLOOKUP($U$1,A:F,6,))/VLOOKUP($U$1,A:F,6,))*100)+100</f>
        <v/>
      </c>
      <c r="M26" s="77">
        <f>(((Table134567891011121314151617343[[#This Row],[GBR]]-VLOOKUP($U$1,A:G,7,))/VLOOKUP($U$1,A:G,7,))*100)+100</f>
        <v/>
      </c>
      <c r="N26" s="77">
        <f>IF(VLOOKUP(A26,Database!$A:$AU,MATCH($N$1,Database!$A$1:$AU$1,0),FALSE)=0,#N/A,VLOOKUP(A26,Database!$A:$AU,MATCH($N$1,Database!$A$1:$AU$1,0),FALSE))</f>
        <v/>
      </c>
      <c r="O26" s="77">
        <f>(((Table134567891011121314151617343[[#This Row],[USA]]-VLOOKUP($U$1,A:N,14,))/VLOOKUP($U$1,A:N,14,))*100)+100</f>
        <v/>
      </c>
      <c r="P26" s="77">
        <f>IF(VLOOKUP(A26,Database!$A:$AS,MATCH($P$1,Database!$A$1:$AS$1,0),FALSE)=0,#N/A,VLOOKUP(A26,Database!$A:$AS,MATCH($P$1,Database!$A$1:$AS$1,0),FALSE))</f>
        <v/>
      </c>
      <c r="Q26" s="77">
        <f>(((Table134567891011121314151617343[[#This Row],[JPN]]-VLOOKUP($U$1,A:Q,16,))/VLOOKUP($U$1,A:Q,16,))*100)+100</f>
        <v/>
      </c>
      <c r="W26" s="87" t="inlineStr">
        <is>
          <t>NOR</t>
        </is>
      </c>
    </row>
    <row r="27" customFormat="1" s="87">
      <c r="A27" s="21" t="n">
        <v>33635</v>
      </c>
      <c r="B27" s="77">
        <f>IF(VLOOKUP(A27,Database!$A:$AS,MATCH($B$1,Database!$A$1:$AS$1,0),FALSE)=0,#N/A,VLOOKUP(A27,Database!$A:$AS,MATCH($B$1,Database!$A$1:$AS$1,0),FALSE))</f>
        <v/>
      </c>
      <c r="C27" s="77">
        <f>IF(VLOOKUP(A27,Database!$A:$AS,MATCH($C$1,Database!$A$1:$AS$1,0),FALSE)=0,#N/A,VLOOKUP(A27,Database!$A:$AS,MATCH($C$1,Database!$A$1:$AS$1,0),FALSE))</f>
        <v/>
      </c>
      <c r="D27" s="77">
        <f>IF(VLOOKUP(A27,Database!$A:$AS,MATCH($D$1,Database!$A$1:$AS$1,0),FALSE)=0,#N/A,VLOOKUP(A27,Database!$A:$AS,MATCH($D$1,Database!$A$1:$AS$1,0),FALSE))</f>
        <v/>
      </c>
      <c r="E27" s="77">
        <f>IF(VLOOKUP(A27,Database!$A:$AS,MATCH($E$1,Database!$A$1:$AS$1,0),FALSE)=0,#N/A,VLOOKUP(A27,Database!$A:$AS,MATCH($E$1,Database!$A$1:$AS$1,0),FALSE))</f>
        <v/>
      </c>
      <c r="F27" s="77">
        <f>IF(VLOOKUP(A27,Database!$A:$AS,MATCH($F$1,Database!$A$1:$AS$1,0),FALSE)=0,#N/A,VLOOKUP(A27,Database!$A:$AS,MATCH($F$1,Database!$A$1:$AS$1,0),FALSE))</f>
        <v/>
      </c>
      <c r="G27" s="77">
        <f>IF(VLOOKUP(A27,Database!$A:$AS,MATCH($G$1,Database!$A$1:$AS$1,0),FALSE)=0,#N/A,VLOOKUP(A27,Database!$A:$AS,MATCH($G$1,Database!$A$1:$AS$1,0),FALSE))</f>
        <v/>
      </c>
      <c r="H27" s="77">
        <f>(((Table134567891011121314151617343[[#This Row],[ITA]]-VLOOKUP($U$1,A:B,2,))/VLOOKUP($U$1,A:B,2,))*100)+100</f>
        <v/>
      </c>
      <c r="I27" s="77">
        <f>(((Table134567891011121314151617343[[#This Row],[FRA]]-VLOOKUP($U$1,A:C,3,))/VLOOKUP($U$1,A:C,3,))*100)+100</f>
        <v/>
      </c>
      <c r="J27" s="77">
        <f>(((Table134567891011121314151617343[[#This Row],[DEU]]-VLOOKUP($U$1,A:D,4,))/VLOOKUP($U$1,A:D,4,))*100)+100</f>
        <v/>
      </c>
      <c r="K27" s="77">
        <f>(((Table134567891011121314151617343[[#This Row],[ESP]]-VLOOKUP($U$1,A:E,5,))/VLOOKUP($U$1,A:E,5,))*100)+100</f>
        <v/>
      </c>
      <c r="L27" s="77">
        <f>(((Table134567891011121314151617343[[#This Row],[EA19]]-VLOOKUP($U$1,A:F,6,))/VLOOKUP($U$1,A:F,6,))*100)+100</f>
        <v/>
      </c>
      <c r="M27" s="77">
        <f>(((Table134567891011121314151617343[[#This Row],[GBR]]-VLOOKUP($U$1,A:G,7,))/VLOOKUP($U$1,A:G,7,))*100)+100</f>
        <v/>
      </c>
      <c r="N27" s="77">
        <f>IF(VLOOKUP(A27,Database!$A:$AU,MATCH($N$1,Database!$A$1:$AU$1,0),FALSE)=0,#N/A,VLOOKUP(A27,Database!$A:$AU,MATCH($N$1,Database!$A$1:$AU$1,0),FALSE))</f>
        <v/>
      </c>
      <c r="O27" s="77">
        <f>(((Table134567891011121314151617343[[#This Row],[USA]]-VLOOKUP($U$1,A:N,14,))/VLOOKUP($U$1,A:N,14,))*100)+100</f>
        <v/>
      </c>
      <c r="P27" s="77">
        <f>IF(VLOOKUP(A27,Database!$A:$AS,MATCH($P$1,Database!$A$1:$AS$1,0),FALSE)=0,#N/A,VLOOKUP(A27,Database!$A:$AS,MATCH($P$1,Database!$A$1:$AS$1,0),FALSE))</f>
        <v/>
      </c>
      <c r="Q27" s="77">
        <f>(((Table134567891011121314151617343[[#This Row],[JPN]]-VLOOKUP($U$1,A:Q,16,))/VLOOKUP($U$1,A:Q,16,))*100)+100</f>
        <v/>
      </c>
      <c r="W27" s="87" t="inlineStr">
        <is>
          <t>OECD</t>
        </is>
      </c>
    </row>
    <row r="28" customFormat="1" s="87">
      <c r="A28" s="21" t="n">
        <v>33664</v>
      </c>
      <c r="B28" s="77">
        <f>IF(VLOOKUP(A28,Database!$A:$AS,MATCH($B$1,Database!$A$1:$AS$1,0),FALSE)=0,#N/A,VLOOKUP(A28,Database!$A:$AS,MATCH($B$1,Database!$A$1:$AS$1,0),FALSE))</f>
        <v/>
      </c>
      <c r="C28" s="77">
        <f>IF(VLOOKUP(A28,Database!$A:$AS,MATCH($C$1,Database!$A$1:$AS$1,0),FALSE)=0,#N/A,VLOOKUP(A28,Database!$A:$AS,MATCH($C$1,Database!$A$1:$AS$1,0),FALSE))</f>
        <v/>
      </c>
      <c r="D28" s="77">
        <f>IF(VLOOKUP(A28,Database!$A:$AS,MATCH($D$1,Database!$A$1:$AS$1,0),FALSE)=0,#N/A,VLOOKUP(A28,Database!$A:$AS,MATCH($D$1,Database!$A$1:$AS$1,0),FALSE))</f>
        <v/>
      </c>
      <c r="E28" s="77">
        <f>IF(VLOOKUP(A28,Database!$A:$AS,MATCH($E$1,Database!$A$1:$AS$1,0),FALSE)=0,#N/A,VLOOKUP(A28,Database!$A:$AS,MATCH($E$1,Database!$A$1:$AS$1,0),FALSE))</f>
        <v/>
      </c>
      <c r="F28" s="77">
        <f>IF(VLOOKUP(A28,Database!$A:$AS,MATCH($F$1,Database!$A$1:$AS$1,0),FALSE)=0,#N/A,VLOOKUP(A28,Database!$A:$AS,MATCH($F$1,Database!$A$1:$AS$1,0),FALSE))</f>
        <v/>
      </c>
      <c r="G28" s="77">
        <f>IF(VLOOKUP(A28,Database!$A:$AS,MATCH($G$1,Database!$A$1:$AS$1,0),FALSE)=0,#N/A,VLOOKUP(A28,Database!$A:$AS,MATCH($G$1,Database!$A$1:$AS$1,0),FALSE))</f>
        <v/>
      </c>
      <c r="H28" s="77">
        <f>(((Table134567891011121314151617343[[#This Row],[ITA]]-VLOOKUP($U$1,A:B,2,))/VLOOKUP($U$1,A:B,2,))*100)+100</f>
        <v/>
      </c>
      <c r="I28" s="77">
        <f>(((Table134567891011121314151617343[[#This Row],[FRA]]-VLOOKUP($U$1,A:C,3,))/VLOOKUP($U$1,A:C,3,))*100)+100</f>
        <v/>
      </c>
      <c r="J28" s="77">
        <f>(((Table134567891011121314151617343[[#This Row],[DEU]]-VLOOKUP($U$1,A:D,4,))/VLOOKUP($U$1,A:D,4,))*100)+100</f>
        <v/>
      </c>
      <c r="K28" s="77">
        <f>(((Table134567891011121314151617343[[#This Row],[ESP]]-VLOOKUP($U$1,A:E,5,))/VLOOKUP($U$1,A:E,5,))*100)+100</f>
        <v/>
      </c>
      <c r="L28" s="77">
        <f>(((Table134567891011121314151617343[[#This Row],[EA19]]-VLOOKUP($U$1,A:F,6,))/VLOOKUP($U$1,A:F,6,))*100)+100</f>
        <v/>
      </c>
      <c r="M28" s="77">
        <f>(((Table134567891011121314151617343[[#This Row],[GBR]]-VLOOKUP($U$1,A:G,7,))/VLOOKUP($U$1,A:G,7,))*100)+100</f>
        <v/>
      </c>
      <c r="N28" s="77">
        <f>IF(VLOOKUP(A28,Database!$A:$AU,MATCH($N$1,Database!$A$1:$AU$1,0),FALSE)=0,#N/A,VLOOKUP(A28,Database!$A:$AU,MATCH($N$1,Database!$A$1:$AU$1,0),FALSE))</f>
        <v/>
      </c>
      <c r="O28" s="77">
        <f>(((Table134567891011121314151617343[[#This Row],[USA]]-VLOOKUP($U$1,A:N,14,))/VLOOKUP($U$1,A:N,14,))*100)+100</f>
        <v/>
      </c>
      <c r="P28" s="77">
        <f>IF(VLOOKUP(A28,Database!$A:$AS,MATCH($P$1,Database!$A$1:$AS$1,0),FALSE)=0,#N/A,VLOOKUP(A28,Database!$A:$AS,MATCH($P$1,Database!$A$1:$AS$1,0),FALSE))</f>
        <v/>
      </c>
      <c r="Q28" s="77">
        <f>(((Table134567891011121314151617343[[#This Row],[JPN]]-VLOOKUP($U$1,A:Q,16,))/VLOOKUP($U$1,A:Q,16,))*100)+100</f>
        <v/>
      </c>
      <c r="W28" s="87" t="inlineStr">
        <is>
          <t>POL</t>
        </is>
      </c>
    </row>
    <row r="29" customFormat="1" s="87">
      <c r="A29" s="21" t="n">
        <v>33695</v>
      </c>
      <c r="B29" s="77">
        <f>IF(VLOOKUP(A29,Database!$A:$AS,MATCH($B$1,Database!$A$1:$AS$1,0),FALSE)=0,#N/A,VLOOKUP(A29,Database!$A:$AS,MATCH($B$1,Database!$A$1:$AS$1,0),FALSE))</f>
        <v/>
      </c>
      <c r="C29" s="77">
        <f>IF(VLOOKUP(A29,Database!$A:$AS,MATCH($C$1,Database!$A$1:$AS$1,0),FALSE)=0,#N/A,VLOOKUP(A29,Database!$A:$AS,MATCH($C$1,Database!$A$1:$AS$1,0),FALSE))</f>
        <v/>
      </c>
      <c r="D29" s="77">
        <f>IF(VLOOKUP(A29,Database!$A:$AS,MATCH($D$1,Database!$A$1:$AS$1,0),FALSE)=0,#N/A,VLOOKUP(A29,Database!$A:$AS,MATCH($D$1,Database!$A$1:$AS$1,0),FALSE))</f>
        <v/>
      </c>
      <c r="E29" s="77">
        <f>IF(VLOOKUP(A29,Database!$A:$AS,MATCH($E$1,Database!$A$1:$AS$1,0),FALSE)=0,#N/A,VLOOKUP(A29,Database!$A:$AS,MATCH($E$1,Database!$A$1:$AS$1,0),FALSE))</f>
        <v/>
      </c>
      <c r="F29" s="77">
        <f>IF(VLOOKUP(A29,Database!$A:$AS,MATCH($F$1,Database!$A$1:$AS$1,0),FALSE)=0,#N/A,VLOOKUP(A29,Database!$A:$AS,MATCH($F$1,Database!$A$1:$AS$1,0),FALSE))</f>
        <v/>
      </c>
      <c r="G29" s="77">
        <f>IF(VLOOKUP(A29,Database!$A:$AS,MATCH($G$1,Database!$A$1:$AS$1,0),FALSE)=0,#N/A,VLOOKUP(A29,Database!$A:$AS,MATCH($G$1,Database!$A$1:$AS$1,0),FALSE))</f>
        <v/>
      </c>
      <c r="H29" s="77">
        <f>(((Table134567891011121314151617343[[#This Row],[ITA]]-VLOOKUP($U$1,A:B,2,))/VLOOKUP($U$1,A:B,2,))*100)+100</f>
        <v/>
      </c>
      <c r="I29" s="77">
        <f>(((Table134567891011121314151617343[[#This Row],[FRA]]-VLOOKUP($U$1,A:C,3,))/VLOOKUP($U$1,A:C,3,))*100)+100</f>
        <v/>
      </c>
      <c r="J29" s="77">
        <f>(((Table134567891011121314151617343[[#This Row],[DEU]]-VLOOKUP($U$1,A:D,4,))/VLOOKUP($U$1,A:D,4,))*100)+100</f>
        <v/>
      </c>
      <c r="K29" s="77">
        <f>(((Table134567891011121314151617343[[#This Row],[ESP]]-VLOOKUP($U$1,A:E,5,))/VLOOKUP($U$1,A:E,5,))*100)+100</f>
        <v/>
      </c>
      <c r="L29" s="77">
        <f>(((Table134567891011121314151617343[[#This Row],[EA19]]-VLOOKUP($U$1,A:F,6,))/VLOOKUP($U$1,A:F,6,))*100)+100</f>
        <v/>
      </c>
      <c r="M29" s="77">
        <f>(((Table134567891011121314151617343[[#This Row],[GBR]]-VLOOKUP($U$1,A:G,7,))/VLOOKUP($U$1,A:G,7,))*100)+100</f>
        <v/>
      </c>
      <c r="N29" s="77">
        <f>IF(VLOOKUP(A29,Database!$A:$AU,MATCH($N$1,Database!$A$1:$AU$1,0),FALSE)=0,#N/A,VLOOKUP(A29,Database!$A:$AU,MATCH($N$1,Database!$A$1:$AU$1,0),FALSE))</f>
        <v/>
      </c>
      <c r="O29" s="77">
        <f>(((Table134567891011121314151617343[[#This Row],[USA]]-VLOOKUP($U$1,A:N,14,))/VLOOKUP($U$1,A:N,14,))*100)+100</f>
        <v/>
      </c>
      <c r="P29" s="77">
        <f>IF(VLOOKUP(A29,Database!$A:$AS,MATCH($P$1,Database!$A$1:$AS$1,0),FALSE)=0,#N/A,VLOOKUP(A29,Database!$A:$AS,MATCH($P$1,Database!$A$1:$AS$1,0),FALSE))</f>
        <v/>
      </c>
      <c r="Q29" s="77">
        <f>(((Table134567891011121314151617343[[#This Row],[JPN]]-VLOOKUP($U$1,A:Q,16,))/VLOOKUP($U$1,A:Q,16,))*100)+100</f>
        <v/>
      </c>
      <c r="W29" s="87" t="inlineStr">
        <is>
          <t>PRT</t>
        </is>
      </c>
    </row>
    <row r="30" customFormat="1" s="87">
      <c r="A30" s="21" t="n">
        <v>33725</v>
      </c>
      <c r="B30" s="77">
        <f>IF(VLOOKUP(A30,Database!$A:$AS,MATCH($B$1,Database!$A$1:$AS$1,0),FALSE)=0,#N/A,VLOOKUP(A30,Database!$A:$AS,MATCH($B$1,Database!$A$1:$AS$1,0),FALSE))</f>
        <v/>
      </c>
      <c r="C30" s="77">
        <f>IF(VLOOKUP(A30,Database!$A:$AS,MATCH($C$1,Database!$A$1:$AS$1,0),FALSE)=0,#N/A,VLOOKUP(A30,Database!$A:$AS,MATCH($C$1,Database!$A$1:$AS$1,0),FALSE))</f>
        <v/>
      </c>
      <c r="D30" s="77">
        <f>IF(VLOOKUP(A30,Database!$A:$AS,MATCH($D$1,Database!$A$1:$AS$1,0),FALSE)=0,#N/A,VLOOKUP(A30,Database!$A:$AS,MATCH($D$1,Database!$A$1:$AS$1,0),FALSE))</f>
        <v/>
      </c>
      <c r="E30" s="77">
        <f>IF(VLOOKUP(A30,Database!$A:$AS,MATCH($E$1,Database!$A$1:$AS$1,0),FALSE)=0,#N/A,VLOOKUP(A30,Database!$A:$AS,MATCH($E$1,Database!$A$1:$AS$1,0),FALSE))</f>
        <v/>
      </c>
      <c r="F30" s="77">
        <f>IF(VLOOKUP(A30,Database!$A:$AS,MATCH($F$1,Database!$A$1:$AS$1,0),FALSE)=0,#N/A,VLOOKUP(A30,Database!$A:$AS,MATCH($F$1,Database!$A$1:$AS$1,0),FALSE))</f>
        <v/>
      </c>
      <c r="G30" s="77">
        <f>IF(VLOOKUP(A30,Database!$A:$AS,MATCH($G$1,Database!$A$1:$AS$1,0),FALSE)=0,#N/A,VLOOKUP(A30,Database!$A:$AS,MATCH($G$1,Database!$A$1:$AS$1,0),FALSE))</f>
        <v/>
      </c>
      <c r="H30" s="77">
        <f>(((Table134567891011121314151617343[[#This Row],[ITA]]-VLOOKUP($U$1,A:B,2,))/VLOOKUP($U$1,A:B,2,))*100)+100</f>
        <v/>
      </c>
      <c r="I30" s="77">
        <f>(((Table134567891011121314151617343[[#This Row],[FRA]]-VLOOKUP($U$1,A:C,3,))/VLOOKUP($U$1,A:C,3,))*100)+100</f>
        <v/>
      </c>
      <c r="J30" s="77">
        <f>(((Table134567891011121314151617343[[#This Row],[DEU]]-VLOOKUP($U$1,A:D,4,))/VLOOKUP($U$1,A:D,4,))*100)+100</f>
        <v/>
      </c>
      <c r="K30" s="77">
        <f>(((Table134567891011121314151617343[[#This Row],[ESP]]-VLOOKUP($U$1,A:E,5,))/VLOOKUP($U$1,A:E,5,))*100)+100</f>
        <v/>
      </c>
      <c r="L30" s="77">
        <f>(((Table134567891011121314151617343[[#This Row],[EA19]]-VLOOKUP($U$1,A:F,6,))/VLOOKUP($U$1,A:F,6,))*100)+100</f>
        <v/>
      </c>
      <c r="M30" s="77">
        <f>(((Table134567891011121314151617343[[#This Row],[GBR]]-VLOOKUP($U$1,A:G,7,))/VLOOKUP($U$1,A:G,7,))*100)+100</f>
        <v/>
      </c>
      <c r="N30" s="77">
        <f>IF(VLOOKUP(A30,Database!$A:$AU,MATCH($N$1,Database!$A$1:$AU$1,0),FALSE)=0,#N/A,VLOOKUP(A30,Database!$A:$AU,MATCH($N$1,Database!$A$1:$AU$1,0),FALSE))</f>
        <v/>
      </c>
      <c r="O30" s="77">
        <f>(((Table134567891011121314151617343[[#This Row],[USA]]-VLOOKUP($U$1,A:N,14,))/VLOOKUP($U$1,A:N,14,))*100)+100</f>
        <v/>
      </c>
      <c r="P30" s="77">
        <f>IF(VLOOKUP(A30,Database!$A:$AS,MATCH($P$1,Database!$A$1:$AS$1,0),FALSE)=0,#N/A,VLOOKUP(A30,Database!$A:$AS,MATCH($P$1,Database!$A$1:$AS$1,0),FALSE))</f>
        <v/>
      </c>
      <c r="Q30" s="77">
        <f>(((Table134567891011121314151617343[[#This Row],[JPN]]-VLOOKUP($U$1,A:Q,16,))/VLOOKUP($U$1,A:Q,16,))*100)+100</f>
        <v/>
      </c>
      <c r="W30" s="87" t="inlineStr">
        <is>
          <t>SVK</t>
        </is>
      </c>
    </row>
    <row r="31" customFormat="1" s="87">
      <c r="A31" s="21" t="n">
        <v>33756</v>
      </c>
      <c r="B31" s="77">
        <f>IF(VLOOKUP(A31,Database!$A:$AS,MATCH($B$1,Database!$A$1:$AS$1,0),FALSE)=0,#N/A,VLOOKUP(A31,Database!$A:$AS,MATCH($B$1,Database!$A$1:$AS$1,0),FALSE))</f>
        <v/>
      </c>
      <c r="C31" s="77">
        <f>IF(VLOOKUP(A31,Database!$A:$AS,MATCH($C$1,Database!$A$1:$AS$1,0),FALSE)=0,#N/A,VLOOKUP(A31,Database!$A:$AS,MATCH($C$1,Database!$A$1:$AS$1,0),FALSE))</f>
        <v/>
      </c>
      <c r="D31" s="77">
        <f>IF(VLOOKUP(A31,Database!$A:$AS,MATCH($D$1,Database!$A$1:$AS$1,0),FALSE)=0,#N/A,VLOOKUP(A31,Database!$A:$AS,MATCH($D$1,Database!$A$1:$AS$1,0),FALSE))</f>
        <v/>
      </c>
      <c r="E31" s="77">
        <f>IF(VLOOKUP(A31,Database!$A:$AS,MATCH($E$1,Database!$A$1:$AS$1,0),FALSE)=0,#N/A,VLOOKUP(A31,Database!$A:$AS,MATCH($E$1,Database!$A$1:$AS$1,0),FALSE))</f>
        <v/>
      </c>
      <c r="F31" s="77">
        <f>IF(VLOOKUP(A31,Database!$A:$AS,MATCH($F$1,Database!$A$1:$AS$1,0),FALSE)=0,#N/A,VLOOKUP(A31,Database!$A:$AS,MATCH($F$1,Database!$A$1:$AS$1,0),FALSE))</f>
        <v/>
      </c>
      <c r="G31" s="77">
        <f>IF(VLOOKUP(A31,Database!$A:$AS,MATCH($G$1,Database!$A$1:$AS$1,0),FALSE)=0,#N/A,VLOOKUP(A31,Database!$A:$AS,MATCH($G$1,Database!$A$1:$AS$1,0),FALSE))</f>
        <v/>
      </c>
      <c r="H31" s="77">
        <f>(((Table134567891011121314151617343[[#This Row],[ITA]]-VLOOKUP($U$1,A:B,2,))/VLOOKUP($U$1,A:B,2,))*100)+100</f>
        <v/>
      </c>
      <c r="I31" s="77">
        <f>(((Table134567891011121314151617343[[#This Row],[FRA]]-VLOOKUP($U$1,A:C,3,))/VLOOKUP($U$1,A:C,3,))*100)+100</f>
        <v/>
      </c>
      <c r="J31" s="77">
        <f>(((Table134567891011121314151617343[[#This Row],[DEU]]-VLOOKUP($U$1,A:D,4,))/VLOOKUP($U$1,A:D,4,))*100)+100</f>
        <v/>
      </c>
      <c r="K31" s="77">
        <f>(((Table134567891011121314151617343[[#This Row],[ESP]]-VLOOKUP($U$1,A:E,5,))/VLOOKUP($U$1,A:E,5,))*100)+100</f>
        <v/>
      </c>
      <c r="L31" s="77">
        <f>(((Table134567891011121314151617343[[#This Row],[EA19]]-VLOOKUP($U$1,A:F,6,))/VLOOKUP($U$1,A:F,6,))*100)+100</f>
        <v/>
      </c>
      <c r="M31" s="77">
        <f>(((Table134567891011121314151617343[[#This Row],[GBR]]-VLOOKUP($U$1,A:G,7,))/VLOOKUP($U$1,A:G,7,))*100)+100</f>
        <v/>
      </c>
      <c r="N31" s="77">
        <f>IF(VLOOKUP(A31,Database!$A:$AU,MATCH($N$1,Database!$A$1:$AU$1,0),FALSE)=0,#N/A,VLOOKUP(A31,Database!$A:$AU,MATCH($N$1,Database!$A$1:$AU$1,0),FALSE))</f>
        <v/>
      </c>
      <c r="O31" s="77">
        <f>(((Table134567891011121314151617343[[#This Row],[USA]]-VLOOKUP($U$1,A:N,14,))/VLOOKUP($U$1,A:N,14,))*100)+100</f>
        <v/>
      </c>
      <c r="P31" s="77">
        <f>IF(VLOOKUP(A31,Database!$A:$AS,MATCH($P$1,Database!$A$1:$AS$1,0),FALSE)=0,#N/A,VLOOKUP(A31,Database!$A:$AS,MATCH($P$1,Database!$A$1:$AS$1,0),FALSE))</f>
        <v/>
      </c>
      <c r="Q31" s="77">
        <f>(((Table134567891011121314151617343[[#This Row],[JPN]]-VLOOKUP($U$1,A:Q,16,))/VLOOKUP($U$1,A:Q,16,))*100)+100</f>
        <v/>
      </c>
      <c r="W31" s="87" t="inlineStr">
        <is>
          <t>SVN</t>
        </is>
      </c>
    </row>
    <row r="32" customFormat="1" s="87">
      <c r="A32" s="21" t="n">
        <v>33786</v>
      </c>
      <c r="B32" s="77">
        <f>IF(VLOOKUP(A32,Database!$A:$AS,MATCH($B$1,Database!$A$1:$AS$1,0),FALSE)=0,#N/A,VLOOKUP(A32,Database!$A:$AS,MATCH($B$1,Database!$A$1:$AS$1,0),FALSE))</f>
        <v/>
      </c>
      <c r="C32" s="77">
        <f>IF(VLOOKUP(A32,Database!$A:$AS,MATCH($C$1,Database!$A$1:$AS$1,0),FALSE)=0,#N/A,VLOOKUP(A32,Database!$A:$AS,MATCH($C$1,Database!$A$1:$AS$1,0),FALSE))</f>
        <v/>
      </c>
      <c r="D32" s="77">
        <f>IF(VLOOKUP(A32,Database!$A:$AS,MATCH($D$1,Database!$A$1:$AS$1,0),FALSE)=0,#N/A,VLOOKUP(A32,Database!$A:$AS,MATCH($D$1,Database!$A$1:$AS$1,0),FALSE))</f>
        <v/>
      </c>
      <c r="E32" s="77">
        <f>IF(VLOOKUP(A32,Database!$A:$AS,MATCH($E$1,Database!$A$1:$AS$1,0),FALSE)=0,#N/A,VLOOKUP(A32,Database!$A:$AS,MATCH($E$1,Database!$A$1:$AS$1,0),FALSE))</f>
        <v/>
      </c>
      <c r="F32" s="77">
        <f>IF(VLOOKUP(A32,Database!$A:$AS,MATCH($F$1,Database!$A$1:$AS$1,0),FALSE)=0,#N/A,VLOOKUP(A32,Database!$A:$AS,MATCH($F$1,Database!$A$1:$AS$1,0),FALSE))</f>
        <v/>
      </c>
      <c r="G32" s="77">
        <f>IF(VLOOKUP(A32,Database!$A:$AS,MATCH($G$1,Database!$A$1:$AS$1,0),FALSE)=0,#N/A,VLOOKUP(A32,Database!$A:$AS,MATCH($G$1,Database!$A$1:$AS$1,0),FALSE))</f>
        <v/>
      </c>
      <c r="H32" s="77">
        <f>(((Table134567891011121314151617343[[#This Row],[ITA]]-VLOOKUP($U$1,A:B,2,))/VLOOKUP($U$1,A:B,2,))*100)+100</f>
        <v/>
      </c>
      <c r="I32" s="77">
        <f>(((Table134567891011121314151617343[[#This Row],[FRA]]-VLOOKUP($U$1,A:C,3,))/VLOOKUP($U$1,A:C,3,))*100)+100</f>
        <v/>
      </c>
      <c r="J32" s="77">
        <f>(((Table134567891011121314151617343[[#This Row],[DEU]]-VLOOKUP($U$1,A:D,4,))/VLOOKUP($U$1,A:D,4,))*100)+100</f>
        <v/>
      </c>
      <c r="K32" s="77">
        <f>(((Table134567891011121314151617343[[#This Row],[ESP]]-VLOOKUP($U$1,A:E,5,))/VLOOKUP($U$1,A:E,5,))*100)+100</f>
        <v/>
      </c>
      <c r="L32" s="77">
        <f>(((Table134567891011121314151617343[[#This Row],[EA19]]-VLOOKUP($U$1,A:F,6,))/VLOOKUP($U$1,A:F,6,))*100)+100</f>
        <v/>
      </c>
      <c r="M32" s="77">
        <f>(((Table134567891011121314151617343[[#This Row],[GBR]]-VLOOKUP($U$1,A:G,7,))/VLOOKUP($U$1,A:G,7,))*100)+100</f>
        <v/>
      </c>
      <c r="N32" s="77">
        <f>IF(VLOOKUP(A32,Database!$A:$AU,MATCH($N$1,Database!$A$1:$AU$1,0),FALSE)=0,#N/A,VLOOKUP(A32,Database!$A:$AU,MATCH($N$1,Database!$A$1:$AU$1,0),FALSE))</f>
        <v/>
      </c>
      <c r="O32" s="77">
        <f>(((Table134567891011121314151617343[[#This Row],[USA]]-VLOOKUP($U$1,A:N,14,))/VLOOKUP($U$1,A:N,14,))*100)+100</f>
        <v/>
      </c>
      <c r="P32" s="77">
        <f>IF(VLOOKUP(A32,Database!$A:$AS,MATCH($P$1,Database!$A$1:$AS$1,0),FALSE)=0,#N/A,VLOOKUP(A32,Database!$A:$AS,MATCH($P$1,Database!$A$1:$AS$1,0),FALSE))</f>
        <v/>
      </c>
      <c r="Q32" s="77">
        <f>(((Table134567891011121314151617343[[#This Row],[JPN]]-VLOOKUP($U$1,A:Q,16,))/VLOOKUP($U$1,A:Q,16,))*100)+100</f>
        <v/>
      </c>
      <c r="W32" s="87" t="inlineStr">
        <is>
          <t>SWE</t>
        </is>
      </c>
    </row>
    <row r="33" customFormat="1" s="87">
      <c r="A33" s="21" t="n">
        <v>33817</v>
      </c>
      <c r="B33" s="77">
        <f>IF(VLOOKUP(A33,Database!$A:$AS,MATCH($B$1,Database!$A$1:$AS$1,0),FALSE)=0,#N/A,VLOOKUP(A33,Database!$A:$AS,MATCH($B$1,Database!$A$1:$AS$1,0),FALSE))</f>
        <v/>
      </c>
      <c r="C33" s="77">
        <f>IF(VLOOKUP(A33,Database!$A:$AS,MATCH($C$1,Database!$A$1:$AS$1,0),FALSE)=0,#N/A,VLOOKUP(A33,Database!$A:$AS,MATCH($C$1,Database!$A$1:$AS$1,0),FALSE))</f>
        <v/>
      </c>
      <c r="D33" s="77">
        <f>IF(VLOOKUP(A33,Database!$A:$AS,MATCH($D$1,Database!$A$1:$AS$1,0),FALSE)=0,#N/A,VLOOKUP(A33,Database!$A:$AS,MATCH($D$1,Database!$A$1:$AS$1,0),FALSE))</f>
        <v/>
      </c>
      <c r="E33" s="77">
        <f>IF(VLOOKUP(A33,Database!$A:$AS,MATCH($E$1,Database!$A$1:$AS$1,0),FALSE)=0,#N/A,VLOOKUP(A33,Database!$A:$AS,MATCH($E$1,Database!$A$1:$AS$1,0),FALSE))</f>
        <v/>
      </c>
      <c r="F33" s="77">
        <f>IF(VLOOKUP(A33,Database!$A:$AS,MATCH($F$1,Database!$A$1:$AS$1,0),FALSE)=0,#N/A,VLOOKUP(A33,Database!$A:$AS,MATCH($F$1,Database!$A$1:$AS$1,0),FALSE))</f>
        <v/>
      </c>
      <c r="G33" s="77">
        <f>IF(VLOOKUP(A33,Database!$A:$AS,MATCH($G$1,Database!$A$1:$AS$1,0),FALSE)=0,#N/A,VLOOKUP(A33,Database!$A:$AS,MATCH($G$1,Database!$A$1:$AS$1,0),FALSE))</f>
        <v/>
      </c>
      <c r="H33" s="77">
        <f>(((Table134567891011121314151617343[[#This Row],[ITA]]-VLOOKUP($U$1,A:B,2,))/VLOOKUP($U$1,A:B,2,))*100)+100</f>
        <v/>
      </c>
      <c r="I33" s="77">
        <f>(((Table134567891011121314151617343[[#This Row],[FRA]]-VLOOKUP($U$1,A:C,3,))/VLOOKUP($U$1,A:C,3,))*100)+100</f>
        <v/>
      </c>
      <c r="J33" s="77">
        <f>(((Table134567891011121314151617343[[#This Row],[DEU]]-VLOOKUP($U$1,A:D,4,))/VLOOKUP($U$1,A:D,4,))*100)+100</f>
        <v/>
      </c>
      <c r="K33" s="77">
        <f>(((Table134567891011121314151617343[[#This Row],[ESP]]-VLOOKUP($U$1,A:E,5,))/VLOOKUP($U$1,A:E,5,))*100)+100</f>
        <v/>
      </c>
      <c r="L33" s="77">
        <f>(((Table134567891011121314151617343[[#This Row],[EA19]]-VLOOKUP($U$1,A:F,6,))/VLOOKUP($U$1,A:F,6,))*100)+100</f>
        <v/>
      </c>
      <c r="M33" s="77">
        <f>(((Table134567891011121314151617343[[#This Row],[GBR]]-VLOOKUP($U$1,A:G,7,))/VLOOKUP($U$1,A:G,7,))*100)+100</f>
        <v/>
      </c>
      <c r="N33" s="77">
        <f>IF(VLOOKUP(A33,Database!$A:$AU,MATCH($N$1,Database!$A$1:$AU$1,0),FALSE)=0,#N/A,VLOOKUP(A33,Database!$A:$AU,MATCH($N$1,Database!$A$1:$AU$1,0),FALSE))</f>
        <v/>
      </c>
      <c r="O33" s="77">
        <f>(((Table134567891011121314151617343[[#This Row],[USA]]-VLOOKUP($U$1,A:N,14,))/VLOOKUP($U$1,A:N,14,))*100)+100</f>
        <v/>
      </c>
      <c r="P33" s="77">
        <f>IF(VLOOKUP(A33,Database!$A:$AS,MATCH($P$1,Database!$A$1:$AS$1,0),FALSE)=0,#N/A,VLOOKUP(A33,Database!$A:$AS,MATCH($P$1,Database!$A$1:$AS$1,0),FALSE))</f>
        <v/>
      </c>
      <c r="Q33" s="77">
        <f>(((Table134567891011121314151617343[[#This Row],[JPN]]-VLOOKUP($U$1,A:Q,16,))/VLOOKUP($U$1,A:Q,16,))*100)+100</f>
        <v/>
      </c>
      <c r="W33" s="87" t="inlineStr">
        <is>
          <t>TUR</t>
        </is>
      </c>
    </row>
    <row r="34" customFormat="1" s="87">
      <c r="A34" s="21" t="n">
        <v>33848</v>
      </c>
      <c r="B34" s="77">
        <f>IF(VLOOKUP(A34,Database!$A:$AS,MATCH($B$1,Database!$A$1:$AS$1,0),FALSE)=0,#N/A,VLOOKUP(A34,Database!$A:$AS,MATCH($B$1,Database!$A$1:$AS$1,0),FALSE))</f>
        <v/>
      </c>
      <c r="C34" s="77">
        <f>IF(VLOOKUP(A34,Database!$A:$AS,MATCH($C$1,Database!$A$1:$AS$1,0),FALSE)=0,#N/A,VLOOKUP(A34,Database!$A:$AS,MATCH($C$1,Database!$A$1:$AS$1,0),FALSE))</f>
        <v/>
      </c>
      <c r="D34" s="77">
        <f>IF(VLOOKUP(A34,Database!$A:$AS,MATCH($D$1,Database!$A$1:$AS$1,0),FALSE)=0,#N/A,VLOOKUP(A34,Database!$A:$AS,MATCH($D$1,Database!$A$1:$AS$1,0),FALSE))</f>
        <v/>
      </c>
      <c r="E34" s="77">
        <f>IF(VLOOKUP(A34,Database!$A:$AS,MATCH($E$1,Database!$A$1:$AS$1,0),FALSE)=0,#N/A,VLOOKUP(A34,Database!$A:$AS,MATCH($E$1,Database!$A$1:$AS$1,0),FALSE))</f>
        <v/>
      </c>
      <c r="F34" s="77">
        <f>IF(VLOOKUP(A34,Database!$A:$AS,MATCH($F$1,Database!$A$1:$AS$1,0),FALSE)=0,#N/A,VLOOKUP(A34,Database!$A:$AS,MATCH($F$1,Database!$A$1:$AS$1,0),FALSE))</f>
        <v/>
      </c>
      <c r="G34" s="77">
        <f>IF(VLOOKUP(A34,Database!$A:$AS,MATCH($G$1,Database!$A$1:$AS$1,0),FALSE)=0,#N/A,VLOOKUP(A34,Database!$A:$AS,MATCH($G$1,Database!$A$1:$AS$1,0),FALSE))</f>
        <v/>
      </c>
      <c r="H34" s="77">
        <f>(((Table134567891011121314151617343[[#This Row],[ITA]]-VLOOKUP($U$1,A:B,2,))/VLOOKUP($U$1,A:B,2,))*100)+100</f>
        <v/>
      </c>
      <c r="I34" s="77">
        <f>(((Table134567891011121314151617343[[#This Row],[FRA]]-VLOOKUP($U$1,A:C,3,))/VLOOKUP($U$1,A:C,3,))*100)+100</f>
        <v/>
      </c>
      <c r="J34" s="77">
        <f>(((Table134567891011121314151617343[[#This Row],[DEU]]-VLOOKUP($U$1,A:D,4,))/VLOOKUP($U$1,A:D,4,))*100)+100</f>
        <v/>
      </c>
      <c r="K34" s="77">
        <f>(((Table134567891011121314151617343[[#This Row],[ESP]]-VLOOKUP($U$1,A:E,5,))/VLOOKUP($U$1,A:E,5,))*100)+100</f>
        <v/>
      </c>
      <c r="L34" s="77">
        <f>(((Table134567891011121314151617343[[#This Row],[EA19]]-VLOOKUP($U$1,A:F,6,))/VLOOKUP($U$1,A:F,6,))*100)+100</f>
        <v/>
      </c>
      <c r="M34" s="77">
        <f>(((Table134567891011121314151617343[[#This Row],[GBR]]-VLOOKUP($U$1,A:G,7,))/VLOOKUP($U$1,A:G,7,))*100)+100</f>
        <v/>
      </c>
      <c r="N34" s="77">
        <f>IF(VLOOKUP(A34,Database!$A:$AU,MATCH($N$1,Database!$A$1:$AU$1,0),FALSE)=0,#N/A,VLOOKUP(A34,Database!$A:$AU,MATCH($N$1,Database!$A$1:$AU$1,0),FALSE))</f>
        <v/>
      </c>
      <c r="O34" s="77">
        <f>(((Table134567891011121314151617343[[#This Row],[USA]]-VLOOKUP($U$1,A:N,14,))/VLOOKUP($U$1,A:N,14,))*100)+100</f>
        <v/>
      </c>
      <c r="P34" s="77">
        <f>IF(VLOOKUP(A34,Database!$A:$AS,MATCH($P$1,Database!$A$1:$AS$1,0),FALSE)=0,#N/A,VLOOKUP(A34,Database!$A:$AS,MATCH($P$1,Database!$A$1:$AS$1,0),FALSE))</f>
        <v/>
      </c>
      <c r="Q34" s="77">
        <f>(((Table134567891011121314151617343[[#This Row],[JPN]]-VLOOKUP($U$1,A:Q,16,))/VLOOKUP($U$1,A:Q,16,))*100)+100</f>
        <v/>
      </c>
      <c r="W34" s="87" t="inlineStr">
        <is>
          <t>USA</t>
        </is>
      </c>
    </row>
    <row r="35" customFormat="1" s="87">
      <c r="A35" s="21" t="n">
        <v>33878</v>
      </c>
      <c r="B35" s="77">
        <f>IF(VLOOKUP(A35,Database!$A:$AS,MATCH($B$1,Database!$A$1:$AS$1,0),FALSE)=0,#N/A,VLOOKUP(A35,Database!$A:$AS,MATCH($B$1,Database!$A$1:$AS$1,0),FALSE))</f>
        <v/>
      </c>
      <c r="C35" s="77">
        <f>IF(VLOOKUP(A35,Database!$A:$AS,MATCH($C$1,Database!$A$1:$AS$1,0),FALSE)=0,#N/A,VLOOKUP(A35,Database!$A:$AS,MATCH($C$1,Database!$A$1:$AS$1,0),FALSE))</f>
        <v/>
      </c>
      <c r="D35" s="77">
        <f>IF(VLOOKUP(A35,Database!$A:$AS,MATCH($D$1,Database!$A$1:$AS$1,0),FALSE)=0,#N/A,VLOOKUP(A35,Database!$A:$AS,MATCH($D$1,Database!$A$1:$AS$1,0),FALSE))</f>
        <v/>
      </c>
      <c r="E35" s="77">
        <f>IF(VLOOKUP(A35,Database!$A:$AS,MATCH($E$1,Database!$A$1:$AS$1,0),FALSE)=0,#N/A,VLOOKUP(A35,Database!$A:$AS,MATCH($E$1,Database!$A$1:$AS$1,0),FALSE))</f>
        <v/>
      </c>
      <c r="F35" s="77">
        <f>IF(VLOOKUP(A35,Database!$A:$AS,MATCH($F$1,Database!$A$1:$AS$1,0),FALSE)=0,#N/A,VLOOKUP(A35,Database!$A:$AS,MATCH($F$1,Database!$A$1:$AS$1,0),FALSE))</f>
        <v/>
      </c>
      <c r="G35" s="77">
        <f>IF(VLOOKUP(A35,Database!$A:$AS,MATCH($G$1,Database!$A$1:$AS$1,0),FALSE)=0,#N/A,VLOOKUP(A35,Database!$A:$AS,MATCH($G$1,Database!$A$1:$AS$1,0),FALSE))</f>
        <v/>
      </c>
      <c r="H35" s="77">
        <f>(((Table134567891011121314151617343[[#This Row],[ITA]]-VLOOKUP($U$1,A:B,2,))/VLOOKUP($U$1,A:B,2,))*100)+100</f>
        <v/>
      </c>
      <c r="I35" s="77">
        <f>(((Table134567891011121314151617343[[#This Row],[FRA]]-VLOOKUP($U$1,A:C,3,))/VLOOKUP($U$1,A:C,3,))*100)+100</f>
        <v/>
      </c>
      <c r="J35" s="77">
        <f>(((Table134567891011121314151617343[[#This Row],[DEU]]-VLOOKUP($U$1,A:D,4,))/VLOOKUP($U$1,A:D,4,))*100)+100</f>
        <v/>
      </c>
      <c r="K35" s="77">
        <f>(((Table134567891011121314151617343[[#This Row],[ESP]]-VLOOKUP($U$1,A:E,5,))/VLOOKUP($U$1,A:E,5,))*100)+100</f>
        <v/>
      </c>
      <c r="L35" s="77">
        <f>(((Table134567891011121314151617343[[#This Row],[EA19]]-VLOOKUP($U$1,A:F,6,))/VLOOKUP($U$1,A:F,6,))*100)+100</f>
        <v/>
      </c>
      <c r="M35" s="77">
        <f>(((Table134567891011121314151617343[[#This Row],[GBR]]-VLOOKUP($U$1,A:G,7,))/VLOOKUP($U$1,A:G,7,))*100)+100</f>
        <v/>
      </c>
      <c r="N35" s="77">
        <f>IF(VLOOKUP(A35,Database!$A:$AU,MATCH($N$1,Database!$A$1:$AU$1,0),FALSE)=0,#N/A,VLOOKUP(A35,Database!$A:$AU,MATCH($N$1,Database!$A$1:$AU$1,0),FALSE))</f>
        <v/>
      </c>
      <c r="O35" s="77">
        <f>(((Table134567891011121314151617343[[#This Row],[USA]]-VLOOKUP($U$1,A:N,14,))/VLOOKUP($U$1,A:N,14,))*100)+100</f>
        <v/>
      </c>
      <c r="P35" s="77">
        <f>IF(VLOOKUP(A35,Database!$A:$AS,MATCH($P$1,Database!$A$1:$AS$1,0),FALSE)=0,#N/A,VLOOKUP(A35,Database!$A:$AS,MATCH($P$1,Database!$A$1:$AS$1,0),FALSE))</f>
        <v/>
      </c>
      <c r="Q35" s="77">
        <f>(((Table134567891011121314151617343[[#This Row],[JPN]]-VLOOKUP($U$1,A:Q,16,))/VLOOKUP($U$1,A:Q,16,))*100)+100</f>
        <v/>
      </c>
      <c r="W35" s="87" t="inlineStr">
        <is>
          <t>EA19</t>
        </is>
      </c>
    </row>
    <row r="36" customFormat="1" s="87">
      <c r="A36" s="21" t="n">
        <v>33909</v>
      </c>
      <c r="B36" s="77">
        <f>IF(VLOOKUP(A36,Database!$A:$AS,MATCH($B$1,Database!$A$1:$AS$1,0),FALSE)=0,#N/A,VLOOKUP(A36,Database!$A:$AS,MATCH($B$1,Database!$A$1:$AS$1,0),FALSE))</f>
        <v/>
      </c>
      <c r="C36" s="77">
        <f>IF(VLOOKUP(A36,Database!$A:$AS,MATCH($C$1,Database!$A$1:$AS$1,0),FALSE)=0,#N/A,VLOOKUP(A36,Database!$A:$AS,MATCH($C$1,Database!$A$1:$AS$1,0),FALSE))</f>
        <v/>
      </c>
      <c r="D36" s="77">
        <f>IF(VLOOKUP(A36,Database!$A:$AS,MATCH($D$1,Database!$A$1:$AS$1,0),FALSE)=0,#N/A,VLOOKUP(A36,Database!$A:$AS,MATCH($D$1,Database!$A$1:$AS$1,0),FALSE))</f>
        <v/>
      </c>
      <c r="E36" s="77">
        <f>IF(VLOOKUP(A36,Database!$A:$AS,MATCH($E$1,Database!$A$1:$AS$1,0),FALSE)=0,#N/A,VLOOKUP(A36,Database!$A:$AS,MATCH($E$1,Database!$A$1:$AS$1,0),FALSE))</f>
        <v/>
      </c>
      <c r="F36" s="77">
        <f>IF(VLOOKUP(A36,Database!$A:$AS,MATCH($F$1,Database!$A$1:$AS$1,0),FALSE)=0,#N/A,VLOOKUP(A36,Database!$A:$AS,MATCH($F$1,Database!$A$1:$AS$1,0),FALSE))</f>
        <v/>
      </c>
      <c r="G36" s="77">
        <f>IF(VLOOKUP(A36,Database!$A:$AS,MATCH($G$1,Database!$A$1:$AS$1,0),FALSE)=0,#N/A,VLOOKUP(A36,Database!$A:$AS,MATCH($G$1,Database!$A$1:$AS$1,0),FALSE))</f>
        <v/>
      </c>
      <c r="H36" s="77">
        <f>(((Table134567891011121314151617343[[#This Row],[ITA]]-VLOOKUP($U$1,A:B,2,))/VLOOKUP($U$1,A:B,2,))*100)+100</f>
        <v/>
      </c>
      <c r="I36" s="77">
        <f>(((Table134567891011121314151617343[[#This Row],[FRA]]-VLOOKUP($U$1,A:C,3,))/VLOOKUP($U$1,A:C,3,))*100)+100</f>
        <v/>
      </c>
      <c r="J36" s="77">
        <f>(((Table134567891011121314151617343[[#This Row],[DEU]]-VLOOKUP($U$1,A:D,4,))/VLOOKUP($U$1,A:D,4,))*100)+100</f>
        <v/>
      </c>
      <c r="K36" s="77">
        <f>(((Table134567891011121314151617343[[#This Row],[ESP]]-VLOOKUP($U$1,A:E,5,))/VLOOKUP($U$1,A:E,5,))*100)+100</f>
        <v/>
      </c>
      <c r="L36" s="77">
        <f>(((Table134567891011121314151617343[[#This Row],[EA19]]-VLOOKUP($U$1,A:F,6,))/VLOOKUP($U$1,A:F,6,))*100)+100</f>
        <v/>
      </c>
      <c r="M36" s="77">
        <f>(((Table134567891011121314151617343[[#This Row],[GBR]]-VLOOKUP($U$1,A:G,7,))/VLOOKUP($U$1,A:G,7,))*100)+100</f>
        <v/>
      </c>
      <c r="N36" s="77">
        <f>IF(VLOOKUP(A36,Database!$A:$AU,MATCH($N$1,Database!$A$1:$AU$1,0),FALSE)=0,#N/A,VLOOKUP(A36,Database!$A:$AU,MATCH($N$1,Database!$A$1:$AU$1,0),FALSE))</f>
        <v/>
      </c>
      <c r="O36" s="77">
        <f>(((Table134567891011121314151617343[[#This Row],[USA]]-VLOOKUP($U$1,A:N,14,))/VLOOKUP($U$1,A:N,14,))*100)+100</f>
        <v/>
      </c>
      <c r="P36" s="77">
        <f>IF(VLOOKUP(A36,Database!$A:$AS,MATCH($P$1,Database!$A$1:$AS$1,0),FALSE)=0,#N/A,VLOOKUP(A36,Database!$A:$AS,MATCH($P$1,Database!$A$1:$AS$1,0),FALSE))</f>
        <v/>
      </c>
      <c r="Q36" s="77">
        <f>(((Table134567891011121314151617343[[#This Row],[JPN]]-VLOOKUP($U$1,A:Q,16,))/VLOOKUP($U$1,A:Q,16,))*100)+100</f>
        <v/>
      </c>
      <c r="W36" s="87" t="inlineStr">
        <is>
          <t>EU28</t>
        </is>
      </c>
    </row>
    <row r="37" customFormat="1" s="87">
      <c r="A37" s="21" t="n">
        <v>33939</v>
      </c>
      <c r="B37" s="77">
        <f>IF(VLOOKUP(A37,Database!$A:$AS,MATCH($B$1,Database!$A$1:$AS$1,0),FALSE)=0,#N/A,VLOOKUP(A37,Database!$A:$AS,MATCH($B$1,Database!$A$1:$AS$1,0),FALSE))</f>
        <v/>
      </c>
      <c r="C37" s="77">
        <f>IF(VLOOKUP(A37,Database!$A:$AS,MATCH($C$1,Database!$A$1:$AS$1,0),FALSE)=0,#N/A,VLOOKUP(A37,Database!$A:$AS,MATCH($C$1,Database!$A$1:$AS$1,0),FALSE))</f>
        <v/>
      </c>
      <c r="D37" s="77">
        <f>IF(VLOOKUP(A37,Database!$A:$AS,MATCH($D$1,Database!$A$1:$AS$1,0),FALSE)=0,#N/A,VLOOKUP(A37,Database!$A:$AS,MATCH($D$1,Database!$A$1:$AS$1,0),FALSE))</f>
        <v/>
      </c>
      <c r="E37" s="77">
        <f>IF(VLOOKUP(A37,Database!$A:$AS,MATCH($E$1,Database!$A$1:$AS$1,0),FALSE)=0,#N/A,VLOOKUP(A37,Database!$A:$AS,MATCH($E$1,Database!$A$1:$AS$1,0),FALSE))</f>
        <v/>
      </c>
      <c r="F37" s="77">
        <f>IF(VLOOKUP(A37,Database!$A:$AS,MATCH($F$1,Database!$A$1:$AS$1,0),FALSE)=0,#N/A,VLOOKUP(A37,Database!$A:$AS,MATCH($F$1,Database!$A$1:$AS$1,0),FALSE))</f>
        <v/>
      </c>
      <c r="G37" s="77">
        <f>IF(VLOOKUP(A37,Database!$A:$AS,MATCH($G$1,Database!$A$1:$AS$1,0),FALSE)=0,#N/A,VLOOKUP(A37,Database!$A:$AS,MATCH($G$1,Database!$A$1:$AS$1,0),FALSE))</f>
        <v/>
      </c>
      <c r="H37" s="77">
        <f>(((Table134567891011121314151617343[[#This Row],[ITA]]-VLOOKUP($U$1,A:B,2,))/VLOOKUP($U$1,A:B,2,))*100)+100</f>
        <v/>
      </c>
      <c r="I37" s="77">
        <f>(((Table134567891011121314151617343[[#This Row],[FRA]]-VLOOKUP($U$1,A:C,3,))/VLOOKUP($U$1,A:C,3,))*100)+100</f>
        <v/>
      </c>
      <c r="J37" s="77">
        <f>(((Table134567891011121314151617343[[#This Row],[DEU]]-VLOOKUP($U$1,A:D,4,))/VLOOKUP($U$1,A:D,4,))*100)+100</f>
        <v/>
      </c>
      <c r="K37" s="77">
        <f>(((Table134567891011121314151617343[[#This Row],[ESP]]-VLOOKUP($U$1,A:E,5,))/VLOOKUP($U$1,A:E,5,))*100)+100</f>
        <v/>
      </c>
      <c r="L37" s="77">
        <f>(((Table134567891011121314151617343[[#This Row],[EA19]]-VLOOKUP($U$1,A:F,6,))/VLOOKUP($U$1,A:F,6,))*100)+100</f>
        <v/>
      </c>
      <c r="M37" s="77">
        <f>(((Table134567891011121314151617343[[#This Row],[GBR]]-VLOOKUP($U$1,A:G,7,))/VLOOKUP($U$1,A:G,7,))*100)+100</f>
        <v/>
      </c>
      <c r="N37" s="77">
        <f>IF(VLOOKUP(A37,Database!$A:$AU,MATCH($N$1,Database!$A$1:$AU$1,0),FALSE)=0,#N/A,VLOOKUP(A37,Database!$A:$AU,MATCH($N$1,Database!$A$1:$AU$1,0),FALSE))</f>
        <v/>
      </c>
      <c r="O37" s="77">
        <f>(((Table134567891011121314151617343[[#This Row],[USA]]-VLOOKUP($U$1,A:N,14,))/VLOOKUP($U$1,A:N,14,))*100)+100</f>
        <v/>
      </c>
      <c r="P37" s="77">
        <f>IF(VLOOKUP(A37,Database!$A:$AS,MATCH($P$1,Database!$A$1:$AS$1,0),FALSE)=0,#N/A,VLOOKUP(A37,Database!$A:$AS,MATCH($P$1,Database!$A$1:$AS$1,0),FALSE))</f>
        <v/>
      </c>
      <c r="Q37" s="77">
        <f>(((Table134567891011121314151617343[[#This Row],[JPN]]-VLOOKUP($U$1,A:Q,16,))/VLOOKUP($U$1,A:Q,16,))*100)+100</f>
        <v/>
      </c>
      <c r="W37" s="87" t="inlineStr">
        <is>
          <t>G7</t>
        </is>
      </c>
    </row>
    <row r="38" customFormat="1" s="87">
      <c r="A38" s="21" t="n">
        <v>33970</v>
      </c>
      <c r="B38" s="77">
        <f>IF(VLOOKUP(A38,Database!$A:$AS,MATCH($B$1,Database!$A$1:$AS$1,0),FALSE)=0,#N/A,VLOOKUP(A38,Database!$A:$AS,MATCH($B$1,Database!$A$1:$AS$1,0),FALSE))</f>
        <v/>
      </c>
      <c r="C38" s="77">
        <f>IF(VLOOKUP(A38,Database!$A:$AS,MATCH($C$1,Database!$A$1:$AS$1,0),FALSE)=0,#N/A,VLOOKUP(A38,Database!$A:$AS,MATCH($C$1,Database!$A$1:$AS$1,0),FALSE))</f>
        <v/>
      </c>
      <c r="D38" s="77">
        <f>IF(VLOOKUP(A38,Database!$A:$AS,MATCH($D$1,Database!$A$1:$AS$1,0),FALSE)=0,#N/A,VLOOKUP(A38,Database!$A:$AS,MATCH($D$1,Database!$A$1:$AS$1,0),FALSE))</f>
        <v/>
      </c>
      <c r="E38" s="77">
        <f>IF(VLOOKUP(A38,Database!$A:$AS,MATCH($E$1,Database!$A$1:$AS$1,0),FALSE)=0,#N/A,VLOOKUP(A38,Database!$A:$AS,MATCH($E$1,Database!$A$1:$AS$1,0),FALSE))</f>
        <v/>
      </c>
      <c r="F38" s="77">
        <f>IF(VLOOKUP(A38,Database!$A:$AS,MATCH($F$1,Database!$A$1:$AS$1,0),FALSE)=0,#N/A,VLOOKUP(A38,Database!$A:$AS,MATCH($F$1,Database!$A$1:$AS$1,0),FALSE))</f>
        <v/>
      </c>
      <c r="G38" s="77">
        <f>IF(VLOOKUP(A38,Database!$A:$AS,MATCH($G$1,Database!$A$1:$AS$1,0),FALSE)=0,#N/A,VLOOKUP(A38,Database!$A:$AS,MATCH($G$1,Database!$A$1:$AS$1,0),FALSE))</f>
        <v/>
      </c>
      <c r="H38" s="77">
        <f>(((Table134567891011121314151617343[[#This Row],[ITA]]-VLOOKUP($U$1,A:B,2,))/VLOOKUP($U$1,A:B,2,))*100)+100</f>
        <v/>
      </c>
      <c r="I38" s="77">
        <f>(((Table134567891011121314151617343[[#This Row],[FRA]]-VLOOKUP($U$1,A:C,3,))/VLOOKUP($U$1,A:C,3,))*100)+100</f>
        <v/>
      </c>
      <c r="J38" s="77">
        <f>(((Table134567891011121314151617343[[#This Row],[DEU]]-VLOOKUP($U$1,A:D,4,))/VLOOKUP($U$1,A:D,4,))*100)+100</f>
        <v/>
      </c>
      <c r="K38" s="77">
        <f>(((Table134567891011121314151617343[[#This Row],[ESP]]-VLOOKUP($U$1,A:E,5,))/VLOOKUP($U$1,A:E,5,))*100)+100</f>
        <v/>
      </c>
      <c r="L38" s="77">
        <f>(((Table134567891011121314151617343[[#This Row],[EA19]]-VLOOKUP($U$1,A:F,6,))/VLOOKUP($U$1,A:F,6,))*100)+100</f>
        <v/>
      </c>
      <c r="M38" s="77">
        <f>(((Table134567891011121314151617343[[#This Row],[GBR]]-VLOOKUP($U$1,A:G,7,))/VLOOKUP($U$1,A:G,7,))*100)+100</f>
        <v/>
      </c>
      <c r="N38" s="77">
        <f>IF(VLOOKUP(A38,Database!$A:$AU,MATCH($N$1,Database!$A$1:$AU$1,0),FALSE)=0,#N/A,VLOOKUP(A38,Database!$A:$AU,MATCH($N$1,Database!$A$1:$AU$1,0),FALSE))</f>
        <v/>
      </c>
      <c r="O38" s="77">
        <f>(((Table134567891011121314151617343[[#This Row],[USA]]-VLOOKUP($U$1,A:N,14,))/VLOOKUP($U$1,A:N,14,))*100)+100</f>
        <v/>
      </c>
      <c r="P38" s="77">
        <f>IF(VLOOKUP(A38,Database!$A:$AS,MATCH($P$1,Database!$A$1:$AS$1,0),FALSE)=0,#N/A,VLOOKUP(A38,Database!$A:$AS,MATCH($P$1,Database!$A$1:$AS$1,0),FALSE))</f>
        <v/>
      </c>
      <c r="Q38" s="77">
        <f>(((Table134567891011121314151617343[[#This Row],[JPN]]-VLOOKUP($U$1,A:Q,16,))/VLOOKUP($U$1,A:Q,16,))*100)+100</f>
        <v/>
      </c>
      <c r="W38" s="87" t="inlineStr">
        <is>
          <t>CHE</t>
        </is>
      </c>
    </row>
    <row r="39" customFormat="1" s="87">
      <c r="A39" s="21" t="n">
        <v>34001</v>
      </c>
      <c r="B39" s="77">
        <f>IF(VLOOKUP(A39,Database!$A:$AS,MATCH($B$1,Database!$A$1:$AS$1,0),FALSE)=0,#N/A,VLOOKUP(A39,Database!$A:$AS,MATCH($B$1,Database!$A$1:$AS$1,0),FALSE))</f>
        <v/>
      </c>
      <c r="C39" s="77">
        <f>IF(VLOOKUP(A39,Database!$A:$AS,MATCH($C$1,Database!$A$1:$AS$1,0),FALSE)=0,#N/A,VLOOKUP(A39,Database!$A:$AS,MATCH($C$1,Database!$A$1:$AS$1,0),FALSE))</f>
        <v/>
      </c>
      <c r="D39" s="77">
        <f>IF(VLOOKUP(A39,Database!$A:$AS,MATCH($D$1,Database!$A$1:$AS$1,0),FALSE)=0,#N/A,VLOOKUP(A39,Database!$A:$AS,MATCH($D$1,Database!$A$1:$AS$1,0),FALSE))</f>
        <v/>
      </c>
      <c r="E39" s="77">
        <f>IF(VLOOKUP(A39,Database!$A:$AS,MATCH($E$1,Database!$A$1:$AS$1,0),FALSE)=0,#N/A,VLOOKUP(A39,Database!$A:$AS,MATCH($E$1,Database!$A$1:$AS$1,0),FALSE))</f>
        <v/>
      </c>
      <c r="F39" s="77">
        <f>IF(VLOOKUP(A39,Database!$A:$AS,MATCH($F$1,Database!$A$1:$AS$1,0),FALSE)=0,#N/A,VLOOKUP(A39,Database!$A:$AS,MATCH($F$1,Database!$A$1:$AS$1,0),FALSE))</f>
        <v/>
      </c>
      <c r="G39" s="77">
        <f>IF(VLOOKUP(A39,Database!$A:$AS,MATCH($G$1,Database!$A$1:$AS$1,0),FALSE)=0,#N/A,VLOOKUP(A39,Database!$A:$AS,MATCH($G$1,Database!$A$1:$AS$1,0),FALSE))</f>
        <v/>
      </c>
      <c r="H39" s="77">
        <f>(((Table134567891011121314151617343[[#This Row],[ITA]]-VLOOKUP($U$1,A:B,2,))/VLOOKUP($U$1,A:B,2,))*100)+100</f>
        <v/>
      </c>
      <c r="I39" s="77">
        <f>(((Table134567891011121314151617343[[#This Row],[FRA]]-VLOOKUP($U$1,A:C,3,))/VLOOKUP($U$1,A:C,3,))*100)+100</f>
        <v/>
      </c>
      <c r="J39" s="77">
        <f>(((Table134567891011121314151617343[[#This Row],[DEU]]-VLOOKUP($U$1,A:D,4,))/VLOOKUP($U$1,A:D,4,))*100)+100</f>
        <v/>
      </c>
      <c r="K39" s="77">
        <f>(((Table134567891011121314151617343[[#This Row],[ESP]]-VLOOKUP($U$1,A:E,5,))/VLOOKUP($U$1,A:E,5,))*100)+100</f>
        <v/>
      </c>
      <c r="L39" s="77">
        <f>(((Table134567891011121314151617343[[#This Row],[EA19]]-VLOOKUP($U$1,A:F,6,))/VLOOKUP($U$1,A:F,6,))*100)+100</f>
        <v/>
      </c>
      <c r="M39" s="77">
        <f>(((Table134567891011121314151617343[[#This Row],[GBR]]-VLOOKUP($U$1,A:G,7,))/VLOOKUP($U$1,A:G,7,))*100)+100</f>
        <v/>
      </c>
      <c r="N39" s="77">
        <f>IF(VLOOKUP(A39,Database!$A:$AU,MATCH($N$1,Database!$A$1:$AU$1,0),FALSE)=0,#N/A,VLOOKUP(A39,Database!$A:$AU,MATCH($N$1,Database!$A$1:$AU$1,0),FALSE))</f>
        <v/>
      </c>
      <c r="O39" s="77">
        <f>(((Table134567891011121314151617343[[#This Row],[USA]]-VLOOKUP($U$1,A:N,14,))/VLOOKUP($U$1,A:N,14,))*100)+100</f>
        <v/>
      </c>
      <c r="P39" s="77">
        <f>IF(VLOOKUP(A39,Database!$A:$AS,MATCH($P$1,Database!$A$1:$AS$1,0),FALSE)=0,#N/A,VLOOKUP(A39,Database!$A:$AS,MATCH($P$1,Database!$A$1:$AS$1,0),FALSE))</f>
        <v/>
      </c>
      <c r="Q39" s="77">
        <f>(((Table134567891011121314151617343[[#This Row],[JPN]]-VLOOKUP($U$1,A:Q,16,))/VLOOKUP($U$1,A:Q,16,))*100)+100</f>
        <v/>
      </c>
      <c r="W39" s="87" t="inlineStr">
        <is>
          <t>IND</t>
        </is>
      </c>
    </row>
    <row r="40" customFormat="1" s="87">
      <c r="A40" s="21" t="n">
        <v>34029</v>
      </c>
      <c r="B40" s="77">
        <f>IF(VLOOKUP(A40,Database!$A:$AS,MATCH($B$1,Database!$A$1:$AS$1,0),FALSE)=0,#N/A,VLOOKUP(A40,Database!$A:$AS,MATCH($B$1,Database!$A$1:$AS$1,0),FALSE))</f>
        <v/>
      </c>
      <c r="C40" s="77">
        <f>IF(VLOOKUP(A40,Database!$A:$AS,MATCH($C$1,Database!$A$1:$AS$1,0),FALSE)=0,#N/A,VLOOKUP(A40,Database!$A:$AS,MATCH($C$1,Database!$A$1:$AS$1,0),FALSE))</f>
        <v/>
      </c>
      <c r="D40" s="77">
        <f>IF(VLOOKUP(A40,Database!$A:$AS,MATCH($D$1,Database!$A$1:$AS$1,0),FALSE)=0,#N/A,VLOOKUP(A40,Database!$A:$AS,MATCH($D$1,Database!$A$1:$AS$1,0),FALSE))</f>
        <v/>
      </c>
      <c r="E40" s="77">
        <f>IF(VLOOKUP(A40,Database!$A:$AS,MATCH($E$1,Database!$A$1:$AS$1,0),FALSE)=0,#N/A,VLOOKUP(A40,Database!$A:$AS,MATCH($E$1,Database!$A$1:$AS$1,0),FALSE))</f>
        <v/>
      </c>
      <c r="F40" s="77">
        <f>IF(VLOOKUP(A40,Database!$A:$AS,MATCH($F$1,Database!$A$1:$AS$1,0),FALSE)=0,#N/A,VLOOKUP(A40,Database!$A:$AS,MATCH($F$1,Database!$A$1:$AS$1,0),FALSE))</f>
        <v/>
      </c>
      <c r="G40" s="77">
        <f>IF(VLOOKUP(A40,Database!$A:$AS,MATCH($G$1,Database!$A$1:$AS$1,0),FALSE)=0,#N/A,VLOOKUP(A40,Database!$A:$AS,MATCH($G$1,Database!$A$1:$AS$1,0),FALSE))</f>
        <v/>
      </c>
      <c r="H40" s="77">
        <f>(((Table134567891011121314151617343[[#This Row],[ITA]]-VLOOKUP($U$1,A:B,2,))/VLOOKUP($U$1,A:B,2,))*100)+100</f>
        <v/>
      </c>
      <c r="I40" s="77">
        <f>(((Table134567891011121314151617343[[#This Row],[FRA]]-VLOOKUP($U$1,A:C,3,))/VLOOKUP($U$1,A:C,3,))*100)+100</f>
        <v/>
      </c>
      <c r="J40" s="77">
        <f>(((Table134567891011121314151617343[[#This Row],[DEU]]-VLOOKUP($U$1,A:D,4,))/VLOOKUP($U$1,A:D,4,))*100)+100</f>
        <v/>
      </c>
      <c r="K40" s="77">
        <f>(((Table134567891011121314151617343[[#This Row],[ESP]]-VLOOKUP($U$1,A:E,5,))/VLOOKUP($U$1,A:E,5,))*100)+100</f>
        <v/>
      </c>
      <c r="L40" s="77">
        <f>(((Table134567891011121314151617343[[#This Row],[EA19]]-VLOOKUP($U$1,A:F,6,))/VLOOKUP($U$1,A:F,6,))*100)+100</f>
        <v/>
      </c>
      <c r="M40" s="77">
        <f>(((Table134567891011121314151617343[[#This Row],[GBR]]-VLOOKUP($U$1,A:G,7,))/VLOOKUP($U$1,A:G,7,))*100)+100</f>
        <v/>
      </c>
      <c r="N40" s="77">
        <f>IF(VLOOKUP(A40,Database!$A:$AU,MATCH($N$1,Database!$A$1:$AU$1,0),FALSE)=0,#N/A,VLOOKUP(A40,Database!$A:$AU,MATCH($N$1,Database!$A$1:$AU$1,0),FALSE))</f>
        <v/>
      </c>
      <c r="O40" s="77">
        <f>(((Table134567891011121314151617343[[#This Row],[USA]]-VLOOKUP($U$1,A:N,14,))/VLOOKUP($U$1,A:N,14,))*100)+100</f>
        <v/>
      </c>
      <c r="P40" s="77">
        <f>IF(VLOOKUP(A40,Database!$A:$AS,MATCH($P$1,Database!$A$1:$AS$1,0),FALSE)=0,#N/A,VLOOKUP(A40,Database!$A:$AS,MATCH($P$1,Database!$A$1:$AS$1,0),FALSE))</f>
        <v/>
      </c>
      <c r="Q40" s="77">
        <f>(((Table134567891011121314151617343[[#This Row],[JPN]]-VLOOKUP($U$1,A:Q,16,))/VLOOKUP($U$1,A:Q,16,))*100)+100</f>
        <v/>
      </c>
      <c r="W40" s="87" t="inlineStr">
        <is>
          <t>ZAF</t>
        </is>
      </c>
    </row>
    <row r="41" customFormat="1" s="87">
      <c r="A41" s="21" t="n">
        <v>34060</v>
      </c>
      <c r="B41" s="77">
        <f>IF(VLOOKUP(A41,Database!$A:$AS,MATCH($B$1,Database!$A$1:$AS$1,0),FALSE)=0,#N/A,VLOOKUP(A41,Database!$A:$AS,MATCH($B$1,Database!$A$1:$AS$1,0),FALSE))</f>
        <v/>
      </c>
      <c r="C41" s="77">
        <f>IF(VLOOKUP(A41,Database!$A:$AS,MATCH($C$1,Database!$A$1:$AS$1,0),FALSE)=0,#N/A,VLOOKUP(A41,Database!$A:$AS,MATCH($C$1,Database!$A$1:$AS$1,0),FALSE))</f>
        <v/>
      </c>
      <c r="D41" s="77">
        <f>IF(VLOOKUP(A41,Database!$A:$AS,MATCH($D$1,Database!$A$1:$AS$1,0),FALSE)=0,#N/A,VLOOKUP(A41,Database!$A:$AS,MATCH($D$1,Database!$A$1:$AS$1,0),FALSE))</f>
        <v/>
      </c>
      <c r="E41" s="77">
        <f>IF(VLOOKUP(A41,Database!$A:$AS,MATCH($E$1,Database!$A$1:$AS$1,0),FALSE)=0,#N/A,VLOOKUP(A41,Database!$A:$AS,MATCH($E$1,Database!$A$1:$AS$1,0),FALSE))</f>
        <v/>
      </c>
      <c r="F41" s="77">
        <f>IF(VLOOKUP(A41,Database!$A:$AS,MATCH($F$1,Database!$A$1:$AS$1,0),FALSE)=0,#N/A,VLOOKUP(A41,Database!$A:$AS,MATCH($F$1,Database!$A$1:$AS$1,0),FALSE))</f>
        <v/>
      </c>
      <c r="G41" s="77">
        <f>IF(VLOOKUP(A41,Database!$A:$AS,MATCH($G$1,Database!$A$1:$AS$1,0),FALSE)=0,#N/A,VLOOKUP(A41,Database!$A:$AS,MATCH($G$1,Database!$A$1:$AS$1,0),FALSE))</f>
        <v/>
      </c>
      <c r="H41" s="77">
        <f>(((Table134567891011121314151617343[[#This Row],[ITA]]-VLOOKUP($U$1,A:B,2,))/VLOOKUP($U$1,A:B,2,))*100)+100</f>
        <v/>
      </c>
      <c r="I41" s="77">
        <f>(((Table134567891011121314151617343[[#This Row],[FRA]]-VLOOKUP($U$1,A:C,3,))/VLOOKUP($U$1,A:C,3,))*100)+100</f>
        <v/>
      </c>
      <c r="J41" s="77">
        <f>(((Table134567891011121314151617343[[#This Row],[DEU]]-VLOOKUP($U$1,A:D,4,))/VLOOKUP($U$1,A:D,4,))*100)+100</f>
        <v/>
      </c>
      <c r="K41" s="77">
        <f>(((Table134567891011121314151617343[[#This Row],[ESP]]-VLOOKUP($U$1,A:E,5,))/VLOOKUP($U$1,A:E,5,))*100)+100</f>
        <v/>
      </c>
      <c r="L41" s="77">
        <f>(((Table134567891011121314151617343[[#This Row],[EA19]]-VLOOKUP($U$1,A:F,6,))/VLOOKUP($U$1,A:F,6,))*100)+100</f>
        <v/>
      </c>
      <c r="M41" s="77">
        <f>(((Table134567891011121314151617343[[#This Row],[GBR]]-VLOOKUP($U$1,A:G,7,))/VLOOKUP($U$1,A:G,7,))*100)+100</f>
        <v/>
      </c>
      <c r="N41" s="77">
        <f>IF(VLOOKUP(A41,Database!$A:$AU,MATCH($N$1,Database!$A$1:$AU$1,0),FALSE)=0,#N/A,VLOOKUP(A41,Database!$A:$AU,MATCH($N$1,Database!$A$1:$AU$1,0),FALSE))</f>
        <v/>
      </c>
      <c r="O41" s="77">
        <f>(((Table134567891011121314151617343[[#This Row],[USA]]-VLOOKUP($U$1,A:N,14,))/VLOOKUP($U$1,A:N,14,))*100)+100</f>
        <v/>
      </c>
      <c r="P41" s="77">
        <f>IF(VLOOKUP(A41,Database!$A:$AS,MATCH($P$1,Database!$A$1:$AS$1,0),FALSE)=0,#N/A,VLOOKUP(A41,Database!$A:$AS,MATCH($P$1,Database!$A$1:$AS$1,0),FALSE))</f>
        <v/>
      </c>
      <c r="Q41" s="77">
        <f>(((Table134567891011121314151617343[[#This Row],[JPN]]-VLOOKUP($U$1,A:Q,16,))/VLOOKUP($U$1,A:Q,16,))*100)+100</f>
        <v/>
      </c>
      <c r="W41" s="87" t="inlineStr">
        <is>
          <t>RUS</t>
        </is>
      </c>
    </row>
    <row r="42" customFormat="1" s="87">
      <c r="A42" s="21" t="n">
        <v>34090</v>
      </c>
      <c r="B42" s="77">
        <f>IF(VLOOKUP(A42,Database!$A:$AS,MATCH($B$1,Database!$A$1:$AS$1,0),FALSE)=0,#N/A,VLOOKUP(A42,Database!$A:$AS,MATCH($B$1,Database!$A$1:$AS$1,0),FALSE))</f>
        <v/>
      </c>
      <c r="C42" s="77">
        <f>IF(VLOOKUP(A42,Database!$A:$AS,MATCH($C$1,Database!$A$1:$AS$1,0),FALSE)=0,#N/A,VLOOKUP(A42,Database!$A:$AS,MATCH($C$1,Database!$A$1:$AS$1,0),FALSE))</f>
        <v/>
      </c>
      <c r="D42" s="77">
        <f>IF(VLOOKUP(A42,Database!$A:$AS,MATCH($D$1,Database!$A$1:$AS$1,0),FALSE)=0,#N/A,VLOOKUP(A42,Database!$A:$AS,MATCH($D$1,Database!$A$1:$AS$1,0),FALSE))</f>
        <v/>
      </c>
      <c r="E42" s="77">
        <f>IF(VLOOKUP(A42,Database!$A:$AS,MATCH($E$1,Database!$A$1:$AS$1,0),FALSE)=0,#N/A,VLOOKUP(A42,Database!$A:$AS,MATCH($E$1,Database!$A$1:$AS$1,0),FALSE))</f>
        <v/>
      </c>
      <c r="F42" s="77">
        <f>IF(VLOOKUP(A42,Database!$A:$AS,MATCH($F$1,Database!$A$1:$AS$1,0),FALSE)=0,#N/A,VLOOKUP(A42,Database!$A:$AS,MATCH($F$1,Database!$A$1:$AS$1,0),FALSE))</f>
        <v/>
      </c>
      <c r="G42" s="77">
        <f>IF(VLOOKUP(A42,Database!$A:$AS,MATCH($G$1,Database!$A$1:$AS$1,0),FALSE)=0,#N/A,VLOOKUP(A42,Database!$A:$AS,MATCH($G$1,Database!$A$1:$AS$1,0),FALSE))</f>
        <v/>
      </c>
      <c r="H42" s="77">
        <f>(((Table134567891011121314151617343[[#This Row],[ITA]]-VLOOKUP($U$1,A:B,2,))/VLOOKUP($U$1,A:B,2,))*100)+100</f>
        <v/>
      </c>
      <c r="I42" s="77">
        <f>(((Table134567891011121314151617343[[#This Row],[FRA]]-VLOOKUP($U$1,A:C,3,))/VLOOKUP($U$1,A:C,3,))*100)+100</f>
        <v/>
      </c>
      <c r="J42" s="77">
        <f>(((Table134567891011121314151617343[[#This Row],[DEU]]-VLOOKUP($U$1,A:D,4,))/VLOOKUP($U$1,A:D,4,))*100)+100</f>
        <v/>
      </c>
      <c r="K42" s="77">
        <f>(((Table134567891011121314151617343[[#This Row],[ESP]]-VLOOKUP($U$1,A:E,5,))/VLOOKUP($U$1,A:E,5,))*100)+100</f>
        <v/>
      </c>
      <c r="L42" s="77">
        <f>(((Table134567891011121314151617343[[#This Row],[EA19]]-VLOOKUP($U$1,A:F,6,))/VLOOKUP($U$1,A:F,6,))*100)+100</f>
        <v/>
      </c>
      <c r="M42" s="77">
        <f>(((Table134567891011121314151617343[[#This Row],[GBR]]-VLOOKUP($U$1,A:G,7,))/VLOOKUP($U$1,A:G,7,))*100)+100</f>
        <v/>
      </c>
      <c r="N42" s="77">
        <f>IF(VLOOKUP(A42,Database!$A:$AU,MATCH($N$1,Database!$A$1:$AU$1,0),FALSE)=0,#N/A,VLOOKUP(A42,Database!$A:$AU,MATCH($N$1,Database!$A$1:$AU$1,0),FALSE))</f>
        <v/>
      </c>
      <c r="O42" s="77">
        <f>(((Table134567891011121314151617343[[#This Row],[USA]]-VLOOKUP($U$1,A:N,14,))/VLOOKUP($U$1,A:N,14,))*100)+100</f>
        <v/>
      </c>
      <c r="P42" s="77">
        <f>IF(VLOOKUP(A42,Database!$A:$AS,MATCH($P$1,Database!$A$1:$AS$1,0),FALSE)=0,#N/A,VLOOKUP(A42,Database!$A:$AS,MATCH($P$1,Database!$A$1:$AS$1,0),FALSE))</f>
        <v/>
      </c>
      <c r="Q42" s="77">
        <f>(((Table134567891011121314151617343[[#This Row],[JPN]]-VLOOKUP($U$1,A:Q,16,))/VLOOKUP($U$1,A:Q,16,))*100)+100</f>
        <v/>
      </c>
    </row>
    <row r="43" customFormat="1" s="87">
      <c r="A43" s="21" t="n">
        <v>34121</v>
      </c>
      <c r="B43" s="77">
        <f>IF(VLOOKUP(A43,Database!$A:$AS,MATCH($B$1,Database!$A$1:$AS$1,0),FALSE)=0,#N/A,VLOOKUP(A43,Database!$A:$AS,MATCH($B$1,Database!$A$1:$AS$1,0),FALSE))</f>
        <v/>
      </c>
      <c r="C43" s="77">
        <f>IF(VLOOKUP(A43,Database!$A:$AS,MATCH($C$1,Database!$A$1:$AS$1,0),FALSE)=0,#N/A,VLOOKUP(A43,Database!$A:$AS,MATCH($C$1,Database!$A$1:$AS$1,0),FALSE))</f>
        <v/>
      </c>
      <c r="D43" s="77">
        <f>IF(VLOOKUP(A43,Database!$A:$AS,MATCH($D$1,Database!$A$1:$AS$1,0),FALSE)=0,#N/A,VLOOKUP(A43,Database!$A:$AS,MATCH($D$1,Database!$A$1:$AS$1,0),FALSE))</f>
        <v/>
      </c>
      <c r="E43" s="77">
        <f>IF(VLOOKUP(A43,Database!$A:$AS,MATCH($E$1,Database!$A$1:$AS$1,0),FALSE)=0,#N/A,VLOOKUP(A43,Database!$A:$AS,MATCH($E$1,Database!$A$1:$AS$1,0),FALSE))</f>
        <v/>
      </c>
      <c r="F43" s="77">
        <f>IF(VLOOKUP(A43,Database!$A:$AS,MATCH($F$1,Database!$A$1:$AS$1,0),FALSE)=0,#N/A,VLOOKUP(A43,Database!$A:$AS,MATCH($F$1,Database!$A$1:$AS$1,0),FALSE))</f>
        <v/>
      </c>
      <c r="G43" s="77">
        <f>IF(VLOOKUP(A43,Database!$A:$AS,MATCH($G$1,Database!$A$1:$AS$1,0),FALSE)=0,#N/A,VLOOKUP(A43,Database!$A:$AS,MATCH($G$1,Database!$A$1:$AS$1,0),FALSE))</f>
        <v/>
      </c>
      <c r="H43" s="77">
        <f>(((Table134567891011121314151617343[[#This Row],[ITA]]-VLOOKUP($U$1,A:B,2,))/VLOOKUP($U$1,A:B,2,))*100)+100</f>
        <v/>
      </c>
      <c r="I43" s="77">
        <f>(((Table134567891011121314151617343[[#This Row],[FRA]]-VLOOKUP($U$1,A:C,3,))/VLOOKUP($U$1,A:C,3,))*100)+100</f>
        <v/>
      </c>
      <c r="J43" s="77">
        <f>(((Table134567891011121314151617343[[#This Row],[DEU]]-VLOOKUP($U$1,A:D,4,))/VLOOKUP($U$1,A:D,4,))*100)+100</f>
        <v/>
      </c>
      <c r="K43" s="77">
        <f>(((Table134567891011121314151617343[[#This Row],[ESP]]-VLOOKUP($U$1,A:E,5,))/VLOOKUP($U$1,A:E,5,))*100)+100</f>
        <v/>
      </c>
      <c r="L43" s="77">
        <f>(((Table134567891011121314151617343[[#This Row],[EA19]]-VLOOKUP($U$1,A:F,6,))/VLOOKUP($U$1,A:F,6,))*100)+100</f>
        <v/>
      </c>
      <c r="M43" s="77">
        <f>(((Table134567891011121314151617343[[#This Row],[GBR]]-VLOOKUP($U$1,A:G,7,))/VLOOKUP($U$1,A:G,7,))*100)+100</f>
        <v/>
      </c>
      <c r="N43" s="77">
        <f>IF(VLOOKUP(A43,Database!$A:$AU,MATCH($N$1,Database!$A$1:$AU$1,0),FALSE)=0,#N/A,VLOOKUP(A43,Database!$A:$AU,MATCH($N$1,Database!$A$1:$AU$1,0),FALSE))</f>
        <v/>
      </c>
      <c r="O43" s="77">
        <f>(((Table134567891011121314151617343[[#This Row],[USA]]-VLOOKUP($U$1,A:N,14,))/VLOOKUP($U$1,A:N,14,))*100)+100</f>
        <v/>
      </c>
      <c r="P43" s="77">
        <f>IF(VLOOKUP(A43,Database!$A:$AS,MATCH($P$1,Database!$A$1:$AS$1,0),FALSE)=0,#N/A,VLOOKUP(A43,Database!$A:$AS,MATCH($P$1,Database!$A$1:$AS$1,0),FALSE))</f>
        <v/>
      </c>
      <c r="Q43" s="77">
        <f>(((Table134567891011121314151617343[[#This Row],[JPN]]-VLOOKUP($U$1,A:Q,16,))/VLOOKUP($U$1,A:Q,16,))*100)+100</f>
        <v/>
      </c>
    </row>
    <row r="44" customFormat="1" s="87">
      <c r="A44" s="21" t="n">
        <v>34151</v>
      </c>
      <c r="B44" s="77">
        <f>IF(VLOOKUP(A44,Database!$A:$AS,MATCH($B$1,Database!$A$1:$AS$1,0),FALSE)=0,#N/A,VLOOKUP(A44,Database!$A:$AS,MATCH($B$1,Database!$A$1:$AS$1,0),FALSE))</f>
        <v/>
      </c>
      <c r="C44" s="77">
        <f>IF(VLOOKUP(A44,Database!$A:$AS,MATCH($C$1,Database!$A$1:$AS$1,0),FALSE)=0,#N/A,VLOOKUP(A44,Database!$A:$AS,MATCH($C$1,Database!$A$1:$AS$1,0),FALSE))</f>
        <v/>
      </c>
      <c r="D44" s="77">
        <f>IF(VLOOKUP(A44,Database!$A:$AS,MATCH($D$1,Database!$A$1:$AS$1,0),FALSE)=0,#N/A,VLOOKUP(A44,Database!$A:$AS,MATCH($D$1,Database!$A$1:$AS$1,0),FALSE))</f>
        <v/>
      </c>
      <c r="E44" s="77">
        <f>IF(VLOOKUP(A44,Database!$A:$AS,MATCH($E$1,Database!$A$1:$AS$1,0),FALSE)=0,#N/A,VLOOKUP(A44,Database!$A:$AS,MATCH($E$1,Database!$A$1:$AS$1,0),FALSE))</f>
        <v/>
      </c>
      <c r="F44" s="77">
        <f>IF(VLOOKUP(A44,Database!$A:$AS,MATCH($F$1,Database!$A$1:$AS$1,0),FALSE)=0,#N/A,VLOOKUP(A44,Database!$A:$AS,MATCH($F$1,Database!$A$1:$AS$1,0),FALSE))</f>
        <v/>
      </c>
      <c r="G44" s="77">
        <f>IF(VLOOKUP(A44,Database!$A:$AS,MATCH($G$1,Database!$A$1:$AS$1,0),FALSE)=0,#N/A,VLOOKUP(A44,Database!$A:$AS,MATCH($G$1,Database!$A$1:$AS$1,0),FALSE))</f>
        <v/>
      </c>
      <c r="H44" s="77">
        <f>(((Table134567891011121314151617343[[#This Row],[ITA]]-VLOOKUP($U$1,A:B,2,))/VLOOKUP($U$1,A:B,2,))*100)+100</f>
        <v/>
      </c>
      <c r="I44" s="77">
        <f>(((Table134567891011121314151617343[[#This Row],[FRA]]-VLOOKUP($U$1,A:C,3,))/VLOOKUP($U$1,A:C,3,))*100)+100</f>
        <v/>
      </c>
      <c r="J44" s="77">
        <f>(((Table134567891011121314151617343[[#This Row],[DEU]]-VLOOKUP($U$1,A:D,4,))/VLOOKUP($U$1,A:D,4,))*100)+100</f>
        <v/>
      </c>
      <c r="K44" s="77">
        <f>(((Table134567891011121314151617343[[#This Row],[ESP]]-VLOOKUP($U$1,A:E,5,))/VLOOKUP($U$1,A:E,5,))*100)+100</f>
        <v/>
      </c>
      <c r="L44" s="77">
        <f>(((Table134567891011121314151617343[[#This Row],[EA19]]-VLOOKUP($U$1,A:F,6,))/VLOOKUP($U$1,A:F,6,))*100)+100</f>
        <v/>
      </c>
      <c r="M44" s="77">
        <f>(((Table134567891011121314151617343[[#This Row],[GBR]]-VLOOKUP($U$1,A:G,7,))/VLOOKUP($U$1,A:G,7,))*100)+100</f>
        <v/>
      </c>
      <c r="N44" s="77">
        <f>IF(VLOOKUP(A44,Database!$A:$AU,MATCH($N$1,Database!$A$1:$AU$1,0),FALSE)=0,#N/A,VLOOKUP(A44,Database!$A:$AU,MATCH($N$1,Database!$A$1:$AU$1,0),FALSE))</f>
        <v/>
      </c>
      <c r="O44" s="77">
        <f>(((Table134567891011121314151617343[[#This Row],[USA]]-VLOOKUP($U$1,A:N,14,))/VLOOKUP($U$1,A:N,14,))*100)+100</f>
        <v/>
      </c>
      <c r="P44" s="77">
        <f>IF(VLOOKUP(A44,Database!$A:$AS,MATCH($P$1,Database!$A$1:$AS$1,0),FALSE)=0,#N/A,VLOOKUP(A44,Database!$A:$AS,MATCH($P$1,Database!$A$1:$AS$1,0),FALSE))</f>
        <v/>
      </c>
      <c r="Q44" s="77">
        <f>(((Table134567891011121314151617343[[#This Row],[JPN]]-VLOOKUP($U$1,A:Q,16,))/VLOOKUP($U$1,A:Q,16,))*100)+100</f>
        <v/>
      </c>
    </row>
    <row r="45" customFormat="1" s="87">
      <c r="A45" s="21" t="n">
        <v>34182</v>
      </c>
      <c r="B45" s="77">
        <f>IF(VLOOKUP(A45,Database!$A:$AS,MATCH($B$1,Database!$A$1:$AS$1,0),FALSE)=0,#N/A,VLOOKUP(A45,Database!$A:$AS,MATCH($B$1,Database!$A$1:$AS$1,0),FALSE))</f>
        <v/>
      </c>
      <c r="C45" s="77">
        <f>IF(VLOOKUP(A45,Database!$A:$AS,MATCH($C$1,Database!$A$1:$AS$1,0),FALSE)=0,#N/A,VLOOKUP(A45,Database!$A:$AS,MATCH($C$1,Database!$A$1:$AS$1,0),FALSE))</f>
        <v/>
      </c>
      <c r="D45" s="77">
        <f>IF(VLOOKUP(A45,Database!$A:$AS,MATCH($D$1,Database!$A$1:$AS$1,0),FALSE)=0,#N/A,VLOOKUP(A45,Database!$A:$AS,MATCH($D$1,Database!$A$1:$AS$1,0),FALSE))</f>
        <v/>
      </c>
      <c r="E45" s="77">
        <f>IF(VLOOKUP(A45,Database!$A:$AS,MATCH($E$1,Database!$A$1:$AS$1,0),FALSE)=0,#N/A,VLOOKUP(A45,Database!$A:$AS,MATCH($E$1,Database!$A$1:$AS$1,0),FALSE))</f>
        <v/>
      </c>
      <c r="F45" s="77">
        <f>IF(VLOOKUP(A45,Database!$A:$AS,MATCH($F$1,Database!$A$1:$AS$1,0),FALSE)=0,#N/A,VLOOKUP(A45,Database!$A:$AS,MATCH($F$1,Database!$A$1:$AS$1,0),FALSE))</f>
        <v/>
      </c>
      <c r="G45" s="77">
        <f>IF(VLOOKUP(A45,Database!$A:$AS,MATCH($G$1,Database!$A$1:$AS$1,0),FALSE)=0,#N/A,VLOOKUP(A45,Database!$A:$AS,MATCH($G$1,Database!$A$1:$AS$1,0),FALSE))</f>
        <v/>
      </c>
      <c r="H45" s="77">
        <f>(((Table134567891011121314151617343[[#This Row],[ITA]]-VLOOKUP($U$1,A:B,2,))/VLOOKUP($U$1,A:B,2,))*100)+100</f>
        <v/>
      </c>
      <c r="I45" s="77">
        <f>(((Table134567891011121314151617343[[#This Row],[FRA]]-VLOOKUP($U$1,A:C,3,))/VLOOKUP($U$1,A:C,3,))*100)+100</f>
        <v/>
      </c>
      <c r="J45" s="77">
        <f>(((Table134567891011121314151617343[[#This Row],[DEU]]-VLOOKUP($U$1,A:D,4,))/VLOOKUP($U$1,A:D,4,))*100)+100</f>
        <v/>
      </c>
      <c r="K45" s="77">
        <f>(((Table134567891011121314151617343[[#This Row],[ESP]]-VLOOKUP($U$1,A:E,5,))/VLOOKUP($U$1,A:E,5,))*100)+100</f>
        <v/>
      </c>
      <c r="L45" s="77">
        <f>(((Table134567891011121314151617343[[#This Row],[EA19]]-VLOOKUP($U$1,A:F,6,))/VLOOKUP($U$1,A:F,6,))*100)+100</f>
        <v/>
      </c>
      <c r="M45" s="77">
        <f>(((Table134567891011121314151617343[[#This Row],[GBR]]-VLOOKUP($U$1,A:G,7,))/VLOOKUP($U$1,A:G,7,))*100)+100</f>
        <v/>
      </c>
      <c r="N45" s="77">
        <f>IF(VLOOKUP(A45,Database!$A:$AU,MATCH($N$1,Database!$A$1:$AU$1,0),FALSE)=0,#N/A,VLOOKUP(A45,Database!$A:$AU,MATCH($N$1,Database!$A$1:$AU$1,0),FALSE))</f>
        <v/>
      </c>
      <c r="O45" s="77">
        <f>(((Table134567891011121314151617343[[#This Row],[USA]]-VLOOKUP($U$1,A:N,14,))/VLOOKUP($U$1,A:N,14,))*100)+100</f>
        <v/>
      </c>
      <c r="P45" s="77">
        <f>IF(VLOOKUP(A45,Database!$A:$AS,MATCH($P$1,Database!$A$1:$AS$1,0),FALSE)=0,#N/A,VLOOKUP(A45,Database!$A:$AS,MATCH($P$1,Database!$A$1:$AS$1,0),FALSE))</f>
        <v/>
      </c>
      <c r="Q45" s="77">
        <f>(((Table134567891011121314151617343[[#This Row],[JPN]]-VLOOKUP($U$1,A:Q,16,))/VLOOKUP($U$1,A:Q,16,))*100)+100</f>
        <v/>
      </c>
    </row>
    <row r="46" customFormat="1" s="87">
      <c r="A46" s="21" t="n">
        <v>34213</v>
      </c>
      <c r="B46" s="77">
        <f>IF(VLOOKUP(A46,Database!$A:$AS,MATCH($B$1,Database!$A$1:$AS$1,0),FALSE)=0,#N/A,VLOOKUP(A46,Database!$A:$AS,MATCH($B$1,Database!$A$1:$AS$1,0),FALSE))</f>
        <v/>
      </c>
      <c r="C46" s="77">
        <f>IF(VLOOKUP(A46,Database!$A:$AS,MATCH($C$1,Database!$A$1:$AS$1,0),FALSE)=0,#N/A,VLOOKUP(A46,Database!$A:$AS,MATCH($C$1,Database!$A$1:$AS$1,0),FALSE))</f>
        <v/>
      </c>
      <c r="D46" s="77">
        <f>IF(VLOOKUP(A46,Database!$A:$AS,MATCH($D$1,Database!$A$1:$AS$1,0),FALSE)=0,#N/A,VLOOKUP(A46,Database!$A:$AS,MATCH($D$1,Database!$A$1:$AS$1,0),FALSE))</f>
        <v/>
      </c>
      <c r="E46" s="77">
        <f>IF(VLOOKUP(A46,Database!$A:$AS,MATCH($E$1,Database!$A$1:$AS$1,0),FALSE)=0,#N/A,VLOOKUP(A46,Database!$A:$AS,MATCH($E$1,Database!$A$1:$AS$1,0),FALSE))</f>
        <v/>
      </c>
      <c r="F46" s="77">
        <f>IF(VLOOKUP(A46,Database!$A:$AS,MATCH($F$1,Database!$A$1:$AS$1,0),FALSE)=0,#N/A,VLOOKUP(A46,Database!$A:$AS,MATCH($F$1,Database!$A$1:$AS$1,0),FALSE))</f>
        <v/>
      </c>
      <c r="G46" s="77">
        <f>IF(VLOOKUP(A46,Database!$A:$AS,MATCH($G$1,Database!$A$1:$AS$1,0),FALSE)=0,#N/A,VLOOKUP(A46,Database!$A:$AS,MATCH($G$1,Database!$A$1:$AS$1,0),FALSE))</f>
        <v/>
      </c>
      <c r="H46" s="77">
        <f>(((Table134567891011121314151617343[[#This Row],[ITA]]-VLOOKUP($U$1,A:B,2,))/VLOOKUP($U$1,A:B,2,))*100)+100</f>
        <v/>
      </c>
      <c r="I46" s="77">
        <f>(((Table134567891011121314151617343[[#This Row],[FRA]]-VLOOKUP($U$1,A:C,3,))/VLOOKUP($U$1,A:C,3,))*100)+100</f>
        <v/>
      </c>
      <c r="J46" s="77">
        <f>(((Table134567891011121314151617343[[#This Row],[DEU]]-VLOOKUP($U$1,A:D,4,))/VLOOKUP($U$1,A:D,4,))*100)+100</f>
        <v/>
      </c>
      <c r="K46" s="77">
        <f>(((Table134567891011121314151617343[[#This Row],[ESP]]-VLOOKUP($U$1,A:E,5,))/VLOOKUP($U$1,A:E,5,))*100)+100</f>
        <v/>
      </c>
      <c r="L46" s="77">
        <f>(((Table134567891011121314151617343[[#This Row],[EA19]]-VLOOKUP($U$1,A:F,6,))/VLOOKUP($U$1,A:F,6,))*100)+100</f>
        <v/>
      </c>
      <c r="M46" s="77">
        <f>(((Table134567891011121314151617343[[#This Row],[GBR]]-VLOOKUP($U$1,A:G,7,))/VLOOKUP($U$1,A:G,7,))*100)+100</f>
        <v/>
      </c>
      <c r="N46" s="77">
        <f>IF(VLOOKUP(A46,Database!$A:$AU,MATCH($N$1,Database!$A$1:$AU$1,0),FALSE)=0,#N/A,VLOOKUP(A46,Database!$A:$AU,MATCH($N$1,Database!$A$1:$AU$1,0),FALSE))</f>
        <v/>
      </c>
      <c r="O46" s="77">
        <f>(((Table134567891011121314151617343[[#This Row],[USA]]-VLOOKUP($U$1,A:N,14,))/VLOOKUP($U$1,A:N,14,))*100)+100</f>
        <v/>
      </c>
      <c r="P46" s="77">
        <f>IF(VLOOKUP(A46,Database!$A:$AS,MATCH($P$1,Database!$A$1:$AS$1,0),FALSE)=0,#N/A,VLOOKUP(A46,Database!$A:$AS,MATCH($P$1,Database!$A$1:$AS$1,0),FALSE))</f>
        <v/>
      </c>
      <c r="Q46" s="77">
        <f>(((Table134567891011121314151617343[[#This Row],[JPN]]-VLOOKUP($U$1,A:Q,16,))/VLOOKUP($U$1,A:Q,16,))*100)+100</f>
        <v/>
      </c>
    </row>
    <row r="47" customFormat="1" s="87">
      <c r="A47" s="21" t="n">
        <v>34243</v>
      </c>
      <c r="B47" s="77">
        <f>IF(VLOOKUP(A47,Database!$A:$AS,MATCH($B$1,Database!$A$1:$AS$1,0),FALSE)=0,#N/A,VLOOKUP(A47,Database!$A:$AS,MATCH($B$1,Database!$A$1:$AS$1,0),FALSE))</f>
        <v/>
      </c>
      <c r="C47" s="77">
        <f>IF(VLOOKUP(A47,Database!$A:$AS,MATCH($C$1,Database!$A$1:$AS$1,0),FALSE)=0,#N/A,VLOOKUP(A47,Database!$A:$AS,MATCH($C$1,Database!$A$1:$AS$1,0),FALSE))</f>
        <v/>
      </c>
      <c r="D47" s="77">
        <f>IF(VLOOKUP(A47,Database!$A:$AS,MATCH($D$1,Database!$A$1:$AS$1,0),FALSE)=0,#N/A,VLOOKUP(A47,Database!$A:$AS,MATCH($D$1,Database!$A$1:$AS$1,0),FALSE))</f>
        <v/>
      </c>
      <c r="E47" s="77">
        <f>IF(VLOOKUP(A47,Database!$A:$AS,MATCH($E$1,Database!$A$1:$AS$1,0),FALSE)=0,#N/A,VLOOKUP(A47,Database!$A:$AS,MATCH($E$1,Database!$A$1:$AS$1,0),FALSE))</f>
        <v/>
      </c>
      <c r="F47" s="77">
        <f>IF(VLOOKUP(A47,Database!$A:$AS,MATCH($F$1,Database!$A$1:$AS$1,0),FALSE)=0,#N/A,VLOOKUP(A47,Database!$A:$AS,MATCH($F$1,Database!$A$1:$AS$1,0),FALSE))</f>
        <v/>
      </c>
      <c r="G47" s="77">
        <f>IF(VLOOKUP(A47,Database!$A:$AS,MATCH($G$1,Database!$A$1:$AS$1,0),FALSE)=0,#N/A,VLOOKUP(A47,Database!$A:$AS,MATCH($G$1,Database!$A$1:$AS$1,0),FALSE))</f>
        <v/>
      </c>
      <c r="H47" s="77">
        <f>(((Table134567891011121314151617343[[#This Row],[ITA]]-VLOOKUP($U$1,A:B,2,))/VLOOKUP($U$1,A:B,2,))*100)+100</f>
        <v/>
      </c>
      <c r="I47" s="77">
        <f>(((Table134567891011121314151617343[[#This Row],[FRA]]-VLOOKUP($U$1,A:C,3,))/VLOOKUP($U$1,A:C,3,))*100)+100</f>
        <v/>
      </c>
      <c r="J47" s="77">
        <f>(((Table134567891011121314151617343[[#This Row],[DEU]]-VLOOKUP($U$1,A:D,4,))/VLOOKUP($U$1,A:D,4,))*100)+100</f>
        <v/>
      </c>
      <c r="K47" s="77">
        <f>(((Table134567891011121314151617343[[#This Row],[ESP]]-VLOOKUP($U$1,A:E,5,))/VLOOKUP($U$1,A:E,5,))*100)+100</f>
        <v/>
      </c>
      <c r="L47" s="77">
        <f>(((Table134567891011121314151617343[[#This Row],[EA19]]-VLOOKUP($U$1,A:F,6,))/VLOOKUP($U$1,A:F,6,))*100)+100</f>
        <v/>
      </c>
      <c r="M47" s="77">
        <f>(((Table134567891011121314151617343[[#This Row],[GBR]]-VLOOKUP($U$1,A:G,7,))/VLOOKUP($U$1,A:G,7,))*100)+100</f>
        <v/>
      </c>
      <c r="N47" s="77">
        <f>IF(VLOOKUP(A47,Database!$A:$AU,MATCH($N$1,Database!$A$1:$AU$1,0),FALSE)=0,#N/A,VLOOKUP(A47,Database!$A:$AU,MATCH($N$1,Database!$A$1:$AU$1,0),FALSE))</f>
        <v/>
      </c>
      <c r="O47" s="77">
        <f>(((Table134567891011121314151617343[[#This Row],[USA]]-VLOOKUP($U$1,A:N,14,))/VLOOKUP($U$1,A:N,14,))*100)+100</f>
        <v/>
      </c>
      <c r="P47" s="77">
        <f>IF(VLOOKUP(A47,Database!$A:$AS,MATCH($P$1,Database!$A$1:$AS$1,0),FALSE)=0,#N/A,VLOOKUP(A47,Database!$A:$AS,MATCH($P$1,Database!$A$1:$AS$1,0),FALSE))</f>
        <v/>
      </c>
      <c r="Q47" s="77">
        <f>(((Table134567891011121314151617343[[#This Row],[JPN]]-VLOOKUP($U$1,A:Q,16,))/VLOOKUP($U$1,A:Q,16,))*100)+100</f>
        <v/>
      </c>
    </row>
    <row r="48" customFormat="1" s="87">
      <c r="A48" s="21" t="n">
        <v>34274</v>
      </c>
      <c r="B48" s="77">
        <f>IF(VLOOKUP(A48,Database!$A:$AS,MATCH($B$1,Database!$A$1:$AS$1,0),FALSE)=0,#N/A,VLOOKUP(A48,Database!$A:$AS,MATCH($B$1,Database!$A$1:$AS$1,0),FALSE))</f>
        <v/>
      </c>
      <c r="C48" s="77">
        <f>IF(VLOOKUP(A48,Database!$A:$AS,MATCH($C$1,Database!$A$1:$AS$1,0),FALSE)=0,#N/A,VLOOKUP(A48,Database!$A:$AS,MATCH($C$1,Database!$A$1:$AS$1,0),FALSE))</f>
        <v/>
      </c>
      <c r="D48" s="77">
        <f>IF(VLOOKUP(A48,Database!$A:$AS,MATCH($D$1,Database!$A$1:$AS$1,0),FALSE)=0,#N/A,VLOOKUP(A48,Database!$A:$AS,MATCH($D$1,Database!$A$1:$AS$1,0),FALSE))</f>
        <v/>
      </c>
      <c r="E48" s="77">
        <f>IF(VLOOKUP(A48,Database!$A:$AS,MATCH($E$1,Database!$A$1:$AS$1,0),FALSE)=0,#N/A,VLOOKUP(A48,Database!$A:$AS,MATCH($E$1,Database!$A$1:$AS$1,0),FALSE))</f>
        <v/>
      </c>
      <c r="F48" s="77">
        <f>IF(VLOOKUP(A48,Database!$A:$AS,MATCH($F$1,Database!$A$1:$AS$1,0),FALSE)=0,#N/A,VLOOKUP(A48,Database!$A:$AS,MATCH($F$1,Database!$A$1:$AS$1,0),FALSE))</f>
        <v/>
      </c>
      <c r="G48" s="77">
        <f>IF(VLOOKUP(A48,Database!$A:$AS,MATCH($G$1,Database!$A$1:$AS$1,0),FALSE)=0,#N/A,VLOOKUP(A48,Database!$A:$AS,MATCH($G$1,Database!$A$1:$AS$1,0),FALSE))</f>
        <v/>
      </c>
      <c r="H48" s="77">
        <f>(((Table134567891011121314151617343[[#This Row],[ITA]]-VLOOKUP($U$1,A:B,2,))/VLOOKUP($U$1,A:B,2,))*100)+100</f>
        <v/>
      </c>
      <c r="I48" s="77">
        <f>(((Table134567891011121314151617343[[#This Row],[FRA]]-VLOOKUP($U$1,A:C,3,))/VLOOKUP($U$1,A:C,3,))*100)+100</f>
        <v/>
      </c>
      <c r="J48" s="77">
        <f>(((Table134567891011121314151617343[[#This Row],[DEU]]-VLOOKUP($U$1,A:D,4,))/VLOOKUP($U$1,A:D,4,))*100)+100</f>
        <v/>
      </c>
      <c r="K48" s="77">
        <f>(((Table134567891011121314151617343[[#This Row],[ESP]]-VLOOKUP($U$1,A:E,5,))/VLOOKUP($U$1,A:E,5,))*100)+100</f>
        <v/>
      </c>
      <c r="L48" s="77">
        <f>(((Table134567891011121314151617343[[#This Row],[EA19]]-VLOOKUP($U$1,A:F,6,))/VLOOKUP($U$1,A:F,6,))*100)+100</f>
        <v/>
      </c>
      <c r="M48" s="77">
        <f>(((Table134567891011121314151617343[[#This Row],[GBR]]-VLOOKUP($U$1,A:G,7,))/VLOOKUP($U$1,A:G,7,))*100)+100</f>
        <v/>
      </c>
      <c r="N48" s="77">
        <f>IF(VLOOKUP(A48,Database!$A:$AU,MATCH($N$1,Database!$A$1:$AU$1,0),FALSE)=0,#N/A,VLOOKUP(A48,Database!$A:$AU,MATCH($N$1,Database!$A$1:$AU$1,0),FALSE))</f>
        <v/>
      </c>
      <c r="O48" s="77">
        <f>(((Table134567891011121314151617343[[#This Row],[USA]]-VLOOKUP($U$1,A:N,14,))/VLOOKUP($U$1,A:N,14,))*100)+100</f>
        <v/>
      </c>
      <c r="P48" s="77">
        <f>IF(VLOOKUP(A48,Database!$A:$AS,MATCH($P$1,Database!$A$1:$AS$1,0),FALSE)=0,#N/A,VLOOKUP(A48,Database!$A:$AS,MATCH($P$1,Database!$A$1:$AS$1,0),FALSE))</f>
        <v/>
      </c>
      <c r="Q48" s="77">
        <f>(((Table134567891011121314151617343[[#This Row],[JPN]]-VLOOKUP($U$1,A:Q,16,))/VLOOKUP($U$1,A:Q,16,))*100)+100</f>
        <v/>
      </c>
    </row>
    <row r="49" customFormat="1" s="87">
      <c r="A49" s="21" t="n">
        <v>34304</v>
      </c>
      <c r="B49" s="77">
        <f>IF(VLOOKUP(A49,Database!$A:$AS,MATCH($B$1,Database!$A$1:$AS$1,0),FALSE)=0,#N/A,VLOOKUP(A49,Database!$A:$AS,MATCH($B$1,Database!$A$1:$AS$1,0),FALSE))</f>
        <v/>
      </c>
      <c r="C49" s="77">
        <f>IF(VLOOKUP(A49,Database!$A:$AS,MATCH($C$1,Database!$A$1:$AS$1,0),FALSE)=0,#N/A,VLOOKUP(A49,Database!$A:$AS,MATCH($C$1,Database!$A$1:$AS$1,0),FALSE))</f>
        <v/>
      </c>
      <c r="D49" s="77">
        <f>IF(VLOOKUP(A49,Database!$A:$AS,MATCH($D$1,Database!$A$1:$AS$1,0),FALSE)=0,#N/A,VLOOKUP(A49,Database!$A:$AS,MATCH($D$1,Database!$A$1:$AS$1,0),FALSE))</f>
        <v/>
      </c>
      <c r="E49" s="77">
        <f>IF(VLOOKUP(A49,Database!$A:$AS,MATCH($E$1,Database!$A$1:$AS$1,0),FALSE)=0,#N/A,VLOOKUP(A49,Database!$A:$AS,MATCH($E$1,Database!$A$1:$AS$1,0),FALSE))</f>
        <v/>
      </c>
      <c r="F49" s="77">
        <f>IF(VLOOKUP(A49,Database!$A:$AS,MATCH($F$1,Database!$A$1:$AS$1,0),FALSE)=0,#N/A,VLOOKUP(A49,Database!$A:$AS,MATCH($F$1,Database!$A$1:$AS$1,0),FALSE))</f>
        <v/>
      </c>
      <c r="G49" s="77">
        <f>IF(VLOOKUP(A49,Database!$A:$AS,MATCH($G$1,Database!$A$1:$AS$1,0),FALSE)=0,#N/A,VLOOKUP(A49,Database!$A:$AS,MATCH($G$1,Database!$A$1:$AS$1,0),FALSE))</f>
        <v/>
      </c>
      <c r="H49" s="77">
        <f>(((Table134567891011121314151617343[[#This Row],[ITA]]-VLOOKUP($U$1,A:B,2,))/VLOOKUP($U$1,A:B,2,))*100)+100</f>
        <v/>
      </c>
      <c r="I49" s="77">
        <f>(((Table134567891011121314151617343[[#This Row],[FRA]]-VLOOKUP($U$1,A:C,3,))/VLOOKUP($U$1,A:C,3,))*100)+100</f>
        <v/>
      </c>
      <c r="J49" s="77">
        <f>(((Table134567891011121314151617343[[#This Row],[DEU]]-VLOOKUP($U$1,A:D,4,))/VLOOKUP($U$1,A:D,4,))*100)+100</f>
        <v/>
      </c>
      <c r="K49" s="77">
        <f>(((Table134567891011121314151617343[[#This Row],[ESP]]-VLOOKUP($U$1,A:E,5,))/VLOOKUP($U$1,A:E,5,))*100)+100</f>
        <v/>
      </c>
      <c r="L49" s="77">
        <f>(((Table134567891011121314151617343[[#This Row],[EA19]]-VLOOKUP($U$1,A:F,6,))/VLOOKUP($U$1,A:F,6,))*100)+100</f>
        <v/>
      </c>
      <c r="M49" s="77">
        <f>(((Table134567891011121314151617343[[#This Row],[GBR]]-VLOOKUP($U$1,A:G,7,))/VLOOKUP($U$1,A:G,7,))*100)+100</f>
        <v/>
      </c>
      <c r="N49" s="77">
        <f>IF(VLOOKUP(A49,Database!$A:$AU,MATCH($N$1,Database!$A$1:$AU$1,0),FALSE)=0,#N/A,VLOOKUP(A49,Database!$A:$AU,MATCH($N$1,Database!$A$1:$AU$1,0),FALSE))</f>
        <v/>
      </c>
      <c r="O49" s="77">
        <f>(((Table134567891011121314151617343[[#This Row],[USA]]-VLOOKUP($U$1,A:N,14,))/VLOOKUP($U$1,A:N,14,))*100)+100</f>
        <v/>
      </c>
      <c r="P49" s="77">
        <f>IF(VLOOKUP(A49,Database!$A:$AS,MATCH($P$1,Database!$A$1:$AS$1,0),FALSE)=0,#N/A,VLOOKUP(A49,Database!$A:$AS,MATCH($P$1,Database!$A$1:$AS$1,0),FALSE))</f>
        <v/>
      </c>
      <c r="Q49" s="77">
        <f>(((Table134567891011121314151617343[[#This Row],[JPN]]-VLOOKUP($U$1,A:Q,16,))/VLOOKUP($U$1,A:Q,16,))*100)+100</f>
        <v/>
      </c>
    </row>
    <row r="50" customFormat="1" s="87">
      <c r="A50" s="21" t="n">
        <v>34335</v>
      </c>
      <c r="B50" s="77">
        <f>IF(VLOOKUP(A50,Database!$A:$AS,MATCH($B$1,Database!$A$1:$AS$1,0),FALSE)=0,#N/A,VLOOKUP(A50,Database!$A:$AS,MATCH($B$1,Database!$A$1:$AS$1,0),FALSE))</f>
        <v/>
      </c>
      <c r="C50" s="77">
        <f>IF(VLOOKUP(A50,Database!$A:$AS,MATCH($C$1,Database!$A$1:$AS$1,0),FALSE)=0,#N/A,VLOOKUP(A50,Database!$A:$AS,MATCH($C$1,Database!$A$1:$AS$1,0),FALSE))</f>
        <v/>
      </c>
      <c r="D50" s="77">
        <f>IF(VLOOKUP(A50,Database!$A:$AS,MATCH($D$1,Database!$A$1:$AS$1,0),FALSE)=0,#N/A,VLOOKUP(A50,Database!$A:$AS,MATCH($D$1,Database!$A$1:$AS$1,0),FALSE))</f>
        <v/>
      </c>
      <c r="E50" s="77">
        <f>IF(VLOOKUP(A50,Database!$A:$AS,MATCH($E$1,Database!$A$1:$AS$1,0),FALSE)=0,#N/A,VLOOKUP(A50,Database!$A:$AS,MATCH($E$1,Database!$A$1:$AS$1,0),FALSE))</f>
        <v/>
      </c>
      <c r="F50" s="77">
        <f>IF(VLOOKUP(A50,Database!$A:$AS,MATCH($F$1,Database!$A$1:$AS$1,0),FALSE)=0,#N/A,VLOOKUP(A50,Database!$A:$AS,MATCH($F$1,Database!$A$1:$AS$1,0),FALSE))</f>
        <v/>
      </c>
      <c r="G50" s="77">
        <f>IF(VLOOKUP(A50,Database!$A:$AS,MATCH($G$1,Database!$A$1:$AS$1,0),FALSE)=0,#N/A,VLOOKUP(A50,Database!$A:$AS,MATCH($G$1,Database!$A$1:$AS$1,0),FALSE))</f>
        <v/>
      </c>
      <c r="H50" s="77">
        <f>(((Table134567891011121314151617343[[#This Row],[ITA]]-VLOOKUP($U$1,A:B,2,))/VLOOKUP($U$1,A:B,2,))*100)+100</f>
        <v/>
      </c>
      <c r="I50" s="77">
        <f>(((Table134567891011121314151617343[[#This Row],[FRA]]-VLOOKUP($U$1,A:C,3,))/VLOOKUP($U$1,A:C,3,))*100)+100</f>
        <v/>
      </c>
      <c r="J50" s="77">
        <f>(((Table134567891011121314151617343[[#This Row],[DEU]]-VLOOKUP($U$1,A:D,4,))/VLOOKUP($U$1,A:D,4,))*100)+100</f>
        <v/>
      </c>
      <c r="K50" s="77">
        <f>(((Table134567891011121314151617343[[#This Row],[ESP]]-VLOOKUP($U$1,A:E,5,))/VLOOKUP($U$1,A:E,5,))*100)+100</f>
        <v/>
      </c>
      <c r="L50" s="77">
        <f>(((Table134567891011121314151617343[[#This Row],[EA19]]-VLOOKUP($U$1,A:F,6,))/VLOOKUP($U$1,A:F,6,))*100)+100</f>
        <v/>
      </c>
      <c r="M50" s="77">
        <f>(((Table134567891011121314151617343[[#This Row],[GBR]]-VLOOKUP($U$1,A:G,7,))/VLOOKUP($U$1,A:G,7,))*100)+100</f>
        <v/>
      </c>
      <c r="N50" s="77">
        <f>IF(VLOOKUP(A50,Database!$A:$AU,MATCH($N$1,Database!$A$1:$AU$1,0),FALSE)=0,#N/A,VLOOKUP(A50,Database!$A:$AU,MATCH($N$1,Database!$A$1:$AU$1,0),FALSE))</f>
        <v/>
      </c>
      <c r="O50" s="77">
        <f>(((Table134567891011121314151617343[[#This Row],[USA]]-VLOOKUP($U$1,A:N,14,))/VLOOKUP($U$1,A:N,14,))*100)+100</f>
        <v/>
      </c>
      <c r="P50" s="77">
        <f>IF(VLOOKUP(A50,Database!$A:$AS,MATCH($P$1,Database!$A$1:$AS$1,0),FALSE)=0,#N/A,VLOOKUP(A50,Database!$A:$AS,MATCH($P$1,Database!$A$1:$AS$1,0),FALSE))</f>
        <v/>
      </c>
      <c r="Q50" s="77">
        <f>(((Table134567891011121314151617343[[#This Row],[JPN]]-VLOOKUP($U$1,A:Q,16,))/VLOOKUP($U$1,A:Q,16,))*100)+100</f>
        <v/>
      </c>
    </row>
    <row r="51" customFormat="1" s="87">
      <c r="A51" s="21" t="n">
        <v>34366</v>
      </c>
      <c r="B51" s="77">
        <f>IF(VLOOKUP(A51,Database!$A:$AS,MATCH($B$1,Database!$A$1:$AS$1,0),FALSE)=0,#N/A,VLOOKUP(A51,Database!$A:$AS,MATCH($B$1,Database!$A$1:$AS$1,0),FALSE))</f>
        <v/>
      </c>
      <c r="C51" s="77">
        <f>IF(VLOOKUP(A51,Database!$A:$AS,MATCH($C$1,Database!$A$1:$AS$1,0),FALSE)=0,#N/A,VLOOKUP(A51,Database!$A:$AS,MATCH($C$1,Database!$A$1:$AS$1,0),FALSE))</f>
        <v/>
      </c>
      <c r="D51" s="77">
        <f>IF(VLOOKUP(A51,Database!$A:$AS,MATCH($D$1,Database!$A$1:$AS$1,0),FALSE)=0,#N/A,VLOOKUP(A51,Database!$A:$AS,MATCH($D$1,Database!$A$1:$AS$1,0),FALSE))</f>
        <v/>
      </c>
      <c r="E51" s="77">
        <f>IF(VLOOKUP(A51,Database!$A:$AS,MATCH($E$1,Database!$A$1:$AS$1,0),FALSE)=0,#N/A,VLOOKUP(A51,Database!$A:$AS,MATCH($E$1,Database!$A$1:$AS$1,0),FALSE))</f>
        <v/>
      </c>
      <c r="F51" s="77">
        <f>IF(VLOOKUP(A51,Database!$A:$AS,MATCH($F$1,Database!$A$1:$AS$1,0),FALSE)=0,#N/A,VLOOKUP(A51,Database!$A:$AS,MATCH($F$1,Database!$A$1:$AS$1,0),FALSE))</f>
        <v/>
      </c>
      <c r="G51" s="77">
        <f>IF(VLOOKUP(A51,Database!$A:$AS,MATCH($G$1,Database!$A$1:$AS$1,0),FALSE)=0,#N/A,VLOOKUP(A51,Database!$A:$AS,MATCH($G$1,Database!$A$1:$AS$1,0),FALSE))</f>
        <v/>
      </c>
      <c r="H51" s="77">
        <f>(((Table134567891011121314151617343[[#This Row],[ITA]]-VLOOKUP($U$1,A:B,2,))/VLOOKUP($U$1,A:B,2,))*100)+100</f>
        <v/>
      </c>
      <c r="I51" s="77">
        <f>(((Table134567891011121314151617343[[#This Row],[FRA]]-VLOOKUP($U$1,A:C,3,))/VLOOKUP($U$1,A:C,3,))*100)+100</f>
        <v/>
      </c>
      <c r="J51" s="77">
        <f>(((Table134567891011121314151617343[[#This Row],[DEU]]-VLOOKUP($U$1,A:D,4,))/VLOOKUP($U$1,A:D,4,))*100)+100</f>
        <v/>
      </c>
      <c r="K51" s="77">
        <f>(((Table134567891011121314151617343[[#This Row],[ESP]]-VLOOKUP($U$1,A:E,5,))/VLOOKUP($U$1,A:E,5,))*100)+100</f>
        <v/>
      </c>
      <c r="L51" s="77">
        <f>(((Table134567891011121314151617343[[#This Row],[EA19]]-VLOOKUP($U$1,A:F,6,))/VLOOKUP($U$1,A:F,6,))*100)+100</f>
        <v/>
      </c>
      <c r="M51" s="77">
        <f>(((Table134567891011121314151617343[[#This Row],[GBR]]-VLOOKUP($U$1,A:G,7,))/VLOOKUP($U$1,A:G,7,))*100)+100</f>
        <v/>
      </c>
      <c r="N51" s="77">
        <f>IF(VLOOKUP(A51,Database!$A:$AU,MATCH($N$1,Database!$A$1:$AU$1,0),FALSE)=0,#N/A,VLOOKUP(A51,Database!$A:$AU,MATCH($N$1,Database!$A$1:$AU$1,0),FALSE))</f>
        <v/>
      </c>
      <c r="O51" s="77">
        <f>(((Table134567891011121314151617343[[#This Row],[USA]]-VLOOKUP($U$1,A:N,14,))/VLOOKUP($U$1,A:N,14,))*100)+100</f>
        <v/>
      </c>
      <c r="P51" s="77">
        <f>IF(VLOOKUP(A51,Database!$A:$AS,MATCH($P$1,Database!$A$1:$AS$1,0),FALSE)=0,#N/A,VLOOKUP(A51,Database!$A:$AS,MATCH($P$1,Database!$A$1:$AS$1,0),FALSE))</f>
        <v/>
      </c>
      <c r="Q51" s="77">
        <f>(((Table134567891011121314151617343[[#This Row],[JPN]]-VLOOKUP($U$1,A:Q,16,))/VLOOKUP($U$1,A:Q,16,))*100)+100</f>
        <v/>
      </c>
    </row>
    <row r="52" customFormat="1" s="87">
      <c r="A52" s="21" t="n">
        <v>34394</v>
      </c>
      <c r="B52" s="77">
        <f>IF(VLOOKUP(A52,Database!$A:$AS,MATCH($B$1,Database!$A$1:$AS$1,0),FALSE)=0,#N/A,VLOOKUP(A52,Database!$A:$AS,MATCH($B$1,Database!$A$1:$AS$1,0),FALSE))</f>
        <v/>
      </c>
      <c r="C52" s="77">
        <f>IF(VLOOKUP(A52,Database!$A:$AS,MATCH($C$1,Database!$A$1:$AS$1,0),FALSE)=0,#N/A,VLOOKUP(A52,Database!$A:$AS,MATCH($C$1,Database!$A$1:$AS$1,0),FALSE))</f>
        <v/>
      </c>
      <c r="D52" s="77">
        <f>IF(VLOOKUP(A52,Database!$A:$AS,MATCH($D$1,Database!$A$1:$AS$1,0),FALSE)=0,#N/A,VLOOKUP(A52,Database!$A:$AS,MATCH($D$1,Database!$A$1:$AS$1,0),FALSE))</f>
        <v/>
      </c>
      <c r="E52" s="77">
        <f>IF(VLOOKUP(A52,Database!$A:$AS,MATCH($E$1,Database!$A$1:$AS$1,0),FALSE)=0,#N/A,VLOOKUP(A52,Database!$A:$AS,MATCH($E$1,Database!$A$1:$AS$1,0),FALSE))</f>
        <v/>
      </c>
      <c r="F52" s="77">
        <f>IF(VLOOKUP(A52,Database!$A:$AS,MATCH($F$1,Database!$A$1:$AS$1,0),FALSE)=0,#N/A,VLOOKUP(A52,Database!$A:$AS,MATCH($F$1,Database!$A$1:$AS$1,0),FALSE))</f>
        <v/>
      </c>
      <c r="G52" s="77">
        <f>IF(VLOOKUP(A52,Database!$A:$AS,MATCH($G$1,Database!$A$1:$AS$1,0),FALSE)=0,#N/A,VLOOKUP(A52,Database!$A:$AS,MATCH($G$1,Database!$A$1:$AS$1,0),FALSE))</f>
        <v/>
      </c>
      <c r="H52" s="77">
        <f>(((Table134567891011121314151617343[[#This Row],[ITA]]-VLOOKUP($U$1,A:B,2,))/VLOOKUP($U$1,A:B,2,))*100)+100</f>
        <v/>
      </c>
      <c r="I52" s="77">
        <f>(((Table134567891011121314151617343[[#This Row],[FRA]]-VLOOKUP($U$1,A:C,3,))/VLOOKUP($U$1,A:C,3,))*100)+100</f>
        <v/>
      </c>
      <c r="J52" s="77">
        <f>(((Table134567891011121314151617343[[#This Row],[DEU]]-VLOOKUP($U$1,A:D,4,))/VLOOKUP($U$1,A:D,4,))*100)+100</f>
        <v/>
      </c>
      <c r="K52" s="77">
        <f>(((Table134567891011121314151617343[[#This Row],[ESP]]-VLOOKUP($U$1,A:E,5,))/VLOOKUP($U$1,A:E,5,))*100)+100</f>
        <v/>
      </c>
      <c r="L52" s="77">
        <f>(((Table134567891011121314151617343[[#This Row],[EA19]]-VLOOKUP($U$1,A:F,6,))/VLOOKUP($U$1,A:F,6,))*100)+100</f>
        <v/>
      </c>
      <c r="M52" s="77">
        <f>(((Table134567891011121314151617343[[#This Row],[GBR]]-VLOOKUP($U$1,A:G,7,))/VLOOKUP($U$1,A:G,7,))*100)+100</f>
        <v/>
      </c>
      <c r="N52" s="77">
        <f>IF(VLOOKUP(A52,Database!$A:$AU,MATCH($N$1,Database!$A$1:$AU$1,0),FALSE)=0,#N/A,VLOOKUP(A52,Database!$A:$AU,MATCH($N$1,Database!$A$1:$AU$1,0),FALSE))</f>
        <v/>
      </c>
      <c r="O52" s="77">
        <f>(((Table134567891011121314151617343[[#This Row],[USA]]-VLOOKUP($U$1,A:N,14,))/VLOOKUP($U$1,A:N,14,))*100)+100</f>
        <v/>
      </c>
      <c r="P52" s="77">
        <f>IF(VLOOKUP(A52,Database!$A:$AS,MATCH($P$1,Database!$A$1:$AS$1,0),FALSE)=0,#N/A,VLOOKUP(A52,Database!$A:$AS,MATCH($P$1,Database!$A$1:$AS$1,0),FALSE))</f>
        <v/>
      </c>
      <c r="Q52" s="77">
        <f>(((Table134567891011121314151617343[[#This Row],[JPN]]-VLOOKUP($U$1,A:Q,16,))/VLOOKUP($U$1,A:Q,16,))*100)+100</f>
        <v/>
      </c>
    </row>
    <row r="53" customFormat="1" s="87">
      <c r="A53" s="21" t="n">
        <v>34425</v>
      </c>
      <c r="B53" s="77">
        <f>IF(VLOOKUP(A53,Database!$A:$AS,MATCH($B$1,Database!$A$1:$AS$1,0),FALSE)=0,#N/A,VLOOKUP(A53,Database!$A:$AS,MATCH($B$1,Database!$A$1:$AS$1,0),FALSE))</f>
        <v/>
      </c>
      <c r="C53" s="77">
        <f>IF(VLOOKUP(A53,Database!$A:$AS,MATCH($C$1,Database!$A$1:$AS$1,0),FALSE)=0,#N/A,VLOOKUP(A53,Database!$A:$AS,MATCH($C$1,Database!$A$1:$AS$1,0),FALSE))</f>
        <v/>
      </c>
      <c r="D53" s="77">
        <f>IF(VLOOKUP(A53,Database!$A:$AS,MATCH($D$1,Database!$A$1:$AS$1,0),FALSE)=0,#N/A,VLOOKUP(A53,Database!$A:$AS,MATCH($D$1,Database!$A$1:$AS$1,0),FALSE))</f>
        <v/>
      </c>
      <c r="E53" s="77">
        <f>IF(VLOOKUP(A53,Database!$A:$AS,MATCH($E$1,Database!$A$1:$AS$1,0),FALSE)=0,#N/A,VLOOKUP(A53,Database!$A:$AS,MATCH($E$1,Database!$A$1:$AS$1,0),FALSE))</f>
        <v/>
      </c>
      <c r="F53" s="77">
        <f>IF(VLOOKUP(A53,Database!$A:$AS,MATCH($F$1,Database!$A$1:$AS$1,0),FALSE)=0,#N/A,VLOOKUP(A53,Database!$A:$AS,MATCH($F$1,Database!$A$1:$AS$1,0),FALSE))</f>
        <v/>
      </c>
      <c r="G53" s="77">
        <f>IF(VLOOKUP(A53,Database!$A:$AS,MATCH($G$1,Database!$A$1:$AS$1,0),FALSE)=0,#N/A,VLOOKUP(A53,Database!$A:$AS,MATCH($G$1,Database!$A$1:$AS$1,0),FALSE))</f>
        <v/>
      </c>
      <c r="H53" s="77">
        <f>(((Table134567891011121314151617343[[#This Row],[ITA]]-VLOOKUP($U$1,A:B,2,))/VLOOKUP($U$1,A:B,2,))*100)+100</f>
        <v/>
      </c>
      <c r="I53" s="77">
        <f>(((Table134567891011121314151617343[[#This Row],[FRA]]-VLOOKUP($U$1,A:C,3,))/VLOOKUP($U$1,A:C,3,))*100)+100</f>
        <v/>
      </c>
      <c r="J53" s="77">
        <f>(((Table134567891011121314151617343[[#This Row],[DEU]]-VLOOKUP($U$1,A:D,4,))/VLOOKUP($U$1,A:D,4,))*100)+100</f>
        <v/>
      </c>
      <c r="K53" s="77">
        <f>(((Table134567891011121314151617343[[#This Row],[ESP]]-VLOOKUP($U$1,A:E,5,))/VLOOKUP($U$1,A:E,5,))*100)+100</f>
        <v/>
      </c>
      <c r="L53" s="77">
        <f>(((Table134567891011121314151617343[[#This Row],[EA19]]-VLOOKUP($U$1,A:F,6,))/VLOOKUP($U$1,A:F,6,))*100)+100</f>
        <v/>
      </c>
      <c r="M53" s="77">
        <f>(((Table134567891011121314151617343[[#This Row],[GBR]]-VLOOKUP($U$1,A:G,7,))/VLOOKUP($U$1,A:G,7,))*100)+100</f>
        <v/>
      </c>
      <c r="N53" s="77">
        <f>IF(VLOOKUP(A53,Database!$A:$AU,MATCH($N$1,Database!$A$1:$AU$1,0),FALSE)=0,#N/A,VLOOKUP(A53,Database!$A:$AU,MATCH($N$1,Database!$A$1:$AU$1,0),FALSE))</f>
        <v/>
      </c>
      <c r="O53" s="77">
        <f>(((Table134567891011121314151617343[[#This Row],[USA]]-VLOOKUP($U$1,A:N,14,))/VLOOKUP($U$1,A:N,14,))*100)+100</f>
        <v/>
      </c>
      <c r="P53" s="77">
        <f>IF(VLOOKUP(A53,Database!$A:$AS,MATCH($P$1,Database!$A$1:$AS$1,0),FALSE)=0,#N/A,VLOOKUP(A53,Database!$A:$AS,MATCH($P$1,Database!$A$1:$AS$1,0),FALSE))</f>
        <v/>
      </c>
      <c r="Q53" s="77">
        <f>(((Table134567891011121314151617343[[#This Row],[JPN]]-VLOOKUP($U$1,A:Q,16,))/VLOOKUP($U$1,A:Q,16,))*100)+100</f>
        <v/>
      </c>
    </row>
    <row r="54" customFormat="1" s="87">
      <c r="A54" s="21" t="n">
        <v>34455</v>
      </c>
      <c r="B54" s="77">
        <f>IF(VLOOKUP(A54,Database!$A:$AS,MATCH($B$1,Database!$A$1:$AS$1,0),FALSE)=0,#N/A,VLOOKUP(A54,Database!$A:$AS,MATCH($B$1,Database!$A$1:$AS$1,0),FALSE))</f>
        <v/>
      </c>
      <c r="C54" s="77">
        <f>IF(VLOOKUP(A54,Database!$A:$AS,MATCH($C$1,Database!$A$1:$AS$1,0),FALSE)=0,#N/A,VLOOKUP(A54,Database!$A:$AS,MATCH($C$1,Database!$A$1:$AS$1,0),FALSE))</f>
        <v/>
      </c>
      <c r="D54" s="77">
        <f>IF(VLOOKUP(A54,Database!$A:$AS,MATCH($D$1,Database!$A$1:$AS$1,0),FALSE)=0,#N/A,VLOOKUP(A54,Database!$A:$AS,MATCH($D$1,Database!$A$1:$AS$1,0),FALSE))</f>
        <v/>
      </c>
      <c r="E54" s="77">
        <f>IF(VLOOKUP(A54,Database!$A:$AS,MATCH($E$1,Database!$A$1:$AS$1,0),FALSE)=0,#N/A,VLOOKUP(A54,Database!$A:$AS,MATCH($E$1,Database!$A$1:$AS$1,0),FALSE))</f>
        <v/>
      </c>
      <c r="F54" s="77">
        <f>IF(VLOOKUP(A54,Database!$A:$AS,MATCH($F$1,Database!$A$1:$AS$1,0),FALSE)=0,#N/A,VLOOKUP(A54,Database!$A:$AS,MATCH($F$1,Database!$A$1:$AS$1,0),FALSE))</f>
        <v/>
      </c>
      <c r="G54" s="77">
        <f>IF(VLOOKUP(A54,Database!$A:$AS,MATCH($G$1,Database!$A$1:$AS$1,0),FALSE)=0,#N/A,VLOOKUP(A54,Database!$A:$AS,MATCH($G$1,Database!$A$1:$AS$1,0),FALSE))</f>
        <v/>
      </c>
      <c r="H54" s="77">
        <f>(((Table134567891011121314151617343[[#This Row],[ITA]]-VLOOKUP($U$1,A:B,2,))/VLOOKUP($U$1,A:B,2,))*100)+100</f>
        <v/>
      </c>
      <c r="I54" s="77">
        <f>(((Table134567891011121314151617343[[#This Row],[FRA]]-VLOOKUP($U$1,A:C,3,))/VLOOKUP($U$1,A:C,3,))*100)+100</f>
        <v/>
      </c>
      <c r="J54" s="77">
        <f>(((Table134567891011121314151617343[[#This Row],[DEU]]-VLOOKUP($U$1,A:D,4,))/VLOOKUP($U$1,A:D,4,))*100)+100</f>
        <v/>
      </c>
      <c r="K54" s="77">
        <f>(((Table134567891011121314151617343[[#This Row],[ESP]]-VLOOKUP($U$1,A:E,5,))/VLOOKUP($U$1,A:E,5,))*100)+100</f>
        <v/>
      </c>
      <c r="L54" s="77">
        <f>(((Table134567891011121314151617343[[#This Row],[EA19]]-VLOOKUP($U$1,A:F,6,))/VLOOKUP($U$1,A:F,6,))*100)+100</f>
        <v/>
      </c>
      <c r="M54" s="77">
        <f>(((Table134567891011121314151617343[[#This Row],[GBR]]-VLOOKUP($U$1,A:G,7,))/VLOOKUP($U$1,A:G,7,))*100)+100</f>
        <v/>
      </c>
      <c r="N54" s="77">
        <f>IF(VLOOKUP(A54,Database!$A:$AU,MATCH($N$1,Database!$A$1:$AU$1,0),FALSE)=0,#N/A,VLOOKUP(A54,Database!$A:$AU,MATCH($N$1,Database!$A$1:$AU$1,0),FALSE))</f>
        <v/>
      </c>
      <c r="O54" s="77">
        <f>(((Table134567891011121314151617343[[#This Row],[USA]]-VLOOKUP($U$1,A:N,14,))/VLOOKUP($U$1,A:N,14,))*100)+100</f>
        <v/>
      </c>
      <c r="P54" s="77">
        <f>IF(VLOOKUP(A54,Database!$A:$AS,MATCH($P$1,Database!$A$1:$AS$1,0),FALSE)=0,#N/A,VLOOKUP(A54,Database!$A:$AS,MATCH($P$1,Database!$A$1:$AS$1,0),FALSE))</f>
        <v/>
      </c>
      <c r="Q54" s="77">
        <f>(((Table134567891011121314151617343[[#This Row],[JPN]]-VLOOKUP($U$1,A:Q,16,))/VLOOKUP($U$1,A:Q,16,))*100)+100</f>
        <v/>
      </c>
    </row>
    <row r="55" customFormat="1" s="87">
      <c r="A55" s="21" t="n">
        <v>34486</v>
      </c>
      <c r="B55" s="77">
        <f>IF(VLOOKUP(A55,Database!$A:$AS,MATCH($B$1,Database!$A$1:$AS$1,0),FALSE)=0,#N/A,VLOOKUP(A55,Database!$A:$AS,MATCH($B$1,Database!$A$1:$AS$1,0),FALSE))</f>
        <v/>
      </c>
      <c r="C55" s="77">
        <f>IF(VLOOKUP(A55,Database!$A:$AS,MATCH($C$1,Database!$A$1:$AS$1,0),FALSE)=0,#N/A,VLOOKUP(A55,Database!$A:$AS,MATCH($C$1,Database!$A$1:$AS$1,0),FALSE))</f>
        <v/>
      </c>
      <c r="D55" s="77">
        <f>IF(VLOOKUP(A55,Database!$A:$AS,MATCH($D$1,Database!$A$1:$AS$1,0),FALSE)=0,#N/A,VLOOKUP(A55,Database!$A:$AS,MATCH($D$1,Database!$A$1:$AS$1,0),FALSE))</f>
        <v/>
      </c>
      <c r="E55" s="77">
        <f>IF(VLOOKUP(A55,Database!$A:$AS,MATCH($E$1,Database!$A$1:$AS$1,0),FALSE)=0,#N/A,VLOOKUP(A55,Database!$A:$AS,MATCH($E$1,Database!$A$1:$AS$1,0),FALSE))</f>
        <v/>
      </c>
      <c r="F55" s="77">
        <f>IF(VLOOKUP(A55,Database!$A:$AS,MATCH($F$1,Database!$A$1:$AS$1,0),FALSE)=0,#N/A,VLOOKUP(A55,Database!$A:$AS,MATCH($F$1,Database!$A$1:$AS$1,0),FALSE))</f>
        <v/>
      </c>
      <c r="G55" s="77">
        <f>IF(VLOOKUP(A55,Database!$A:$AS,MATCH($G$1,Database!$A$1:$AS$1,0),FALSE)=0,#N/A,VLOOKUP(A55,Database!$A:$AS,MATCH($G$1,Database!$A$1:$AS$1,0),FALSE))</f>
        <v/>
      </c>
      <c r="H55" s="77">
        <f>(((Table134567891011121314151617343[[#This Row],[ITA]]-VLOOKUP($U$1,A:B,2,))/VLOOKUP($U$1,A:B,2,))*100)+100</f>
        <v/>
      </c>
      <c r="I55" s="77">
        <f>(((Table134567891011121314151617343[[#This Row],[FRA]]-VLOOKUP($U$1,A:C,3,))/VLOOKUP($U$1,A:C,3,))*100)+100</f>
        <v/>
      </c>
      <c r="J55" s="77">
        <f>(((Table134567891011121314151617343[[#This Row],[DEU]]-VLOOKUP($U$1,A:D,4,))/VLOOKUP($U$1,A:D,4,))*100)+100</f>
        <v/>
      </c>
      <c r="K55" s="77">
        <f>(((Table134567891011121314151617343[[#This Row],[ESP]]-VLOOKUP($U$1,A:E,5,))/VLOOKUP($U$1,A:E,5,))*100)+100</f>
        <v/>
      </c>
      <c r="L55" s="77">
        <f>(((Table134567891011121314151617343[[#This Row],[EA19]]-VLOOKUP($U$1,A:F,6,))/VLOOKUP($U$1,A:F,6,))*100)+100</f>
        <v/>
      </c>
      <c r="M55" s="77">
        <f>(((Table134567891011121314151617343[[#This Row],[GBR]]-VLOOKUP($U$1,A:G,7,))/VLOOKUP($U$1,A:G,7,))*100)+100</f>
        <v/>
      </c>
      <c r="N55" s="77">
        <f>IF(VLOOKUP(A55,Database!$A:$AU,MATCH($N$1,Database!$A$1:$AU$1,0),FALSE)=0,#N/A,VLOOKUP(A55,Database!$A:$AU,MATCH($N$1,Database!$A$1:$AU$1,0),FALSE))</f>
        <v/>
      </c>
      <c r="O55" s="77">
        <f>(((Table134567891011121314151617343[[#This Row],[USA]]-VLOOKUP($U$1,A:N,14,))/VLOOKUP($U$1,A:N,14,))*100)+100</f>
        <v/>
      </c>
      <c r="P55" s="77">
        <f>IF(VLOOKUP(A55,Database!$A:$AS,MATCH($P$1,Database!$A$1:$AS$1,0),FALSE)=0,#N/A,VLOOKUP(A55,Database!$A:$AS,MATCH($P$1,Database!$A$1:$AS$1,0),FALSE))</f>
        <v/>
      </c>
      <c r="Q55" s="77">
        <f>(((Table134567891011121314151617343[[#This Row],[JPN]]-VLOOKUP($U$1,A:Q,16,))/VLOOKUP($U$1,A:Q,16,))*100)+100</f>
        <v/>
      </c>
    </row>
    <row r="56" customFormat="1" s="87">
      <c r="A56" s="21" t="n">
        <v>34516</v>
      </c>
      <c r="B56" s="77">
        <f>IF(VLOOKUP(A56,Database!$A:$AS,MATCH($B$1,Database!$A$1:$AS$1,0),FALSE)=0,#N/A,VLOOKUP(A56,Database!$A:$AS,MATCH($B$1,Database!$A$1:$AS$1,0),FALSE))</f>
        <v/>
      </c>
      <c r="C56" s="77">
        <f>IF(VLOOKUP(A56,Database!$A:$AS,MATCH($C$1,Database!$A$1:$AS$1,0),FALSE)=0,#N/A,VLOOKUP(A56,Database!$A:$AS,MATCH($C$1,Database!$A$1:$AS$1,0),FALSE))</f>
        <v/>
      </c>
      <c r="D56" s="77">
        <f>IF(VLOOKUP(A56,Database!$A:$AS,MATCH($D$1,Database!$A$1:$AS$1,0),FALSE)=0,#N/A,VLOOKUP(A56,Database!$A:$AS,MATCH($D$1,Database!$A$1:$AS$1,0),FALSE))</f>
        <v/>
      </c>
      <c r="E56" s="77">
        <f>IF(VLOOKUP(A56,Database!$A:$AS,MATCH($E$1,Database!$A$1:$AS$1,0),FALSE)=0,#N/A,VLOOKUP(A56,Database!$A:$AS,MATCH($E$1,Database!$A$1:$AS$1,0),FALSE))</f>
        <v/>
      </c>
      <c r="F56" s="77">
        <f>IF(VLOOKUP(A56,Database!$A:$AS,MATCH($F$1,Database!$A$1:$AS$1,0),FALSE)=0,#N/A,VLOOKUP(A56,Database!$A:$AS,MATCH($F$1,Database!$A$1:$AS$1,0),FALSE))</f>
        <v/>
      </c>
      <c r="G56" s="77">
        <f>IF(VLOOKUP(A56,Database!$A:$AS,MATCH($G$1,Database!$A$1:$AS$1,0),FALSE)=0,#N/A,VLOOKUP(A56,Database!$A:$AS,MATCH($G$1,Database!$A$1:$AS$1,0),FALSE))</f>
        <v/>
      </c>
      <c r="H56" s="77">
        <f>(((Table134567891011121314151617343[[#This Row],[ITA]]-VLOOKUP($U$1,A:B,2,))/VLOOKUP($U$1,A:B,2,))*100)+100</f>
        <v/>
      </c>
      <c r="I56" s="77">
        <f>(((Table134567891011121314151617343[[#This Row],[FRA]]-VLOOKUP($U$1,A:C,3,))/VLOOKUP($U$1,A:C,3,))*100)+100</f>
        <v/>
      </c>
      <c r="J56" s="77">
        <f>(((Table134567891011121314151617343[[#This Row],[DEU]]-VLOOKUP($U$1,A:D,4,))/VLOOKUP($U$1,A:D,4,))*100)+100</f>
        <v/>
      </c>
      <c r="K56" s="77">
        <f>(((Table134567891011121314151617343[[#This Row],[ESP]]-VLOOKUP($U$1,A:E,5,))/VLOOKUP($U$1,A:E,5,))*100)+100</f>
        <v/>
      </c>
      <c r="L56" s="77">
        <f>(((Table134567891011121314151617343[[#This Row],[EA19]]-VLOOKUP($U$1,A:F,6,))/VLOOKUP($U$1,A:F,6,))*100)+100</f>
        <v/>
      </c>
      <c r="M56" s="77">
        <f>(((Table134567891011121314151617343[[#This Row],[GBR]]-VLOOKUP($U$1,A:G,7,))/VLOOKUP($U$1,A:G,7,))*100)+100</f>
        <v/>
      </c>
      <c r="N56" s="77">
        <f>IF(VLOOKUP(A56,Database!$A:$AU,MATCH($N$1,Database!$A$1:$AU$1,0),FALSE)=0,#N/A,VLOOKUP(A56,Database!$A:$AU,MATCH($N$1,Database!$A$1:$AU$1,0),FALSE))</f>
        <v/>
      </c>
      <c r="O56" s="77">
        <f>(((Table134567891011121314151617343[[#This Row],[USA]]-VLOOKUP($U$1,A:N,14,))/VLOOKUP($U$1,A:N,14,))*100)+100</f>
        <v/>
      </c>
      <c r="P56" s="77">
        <f>IF(VLOOKUP(A56,Database!$A:$AS,MATCH($P$1,Database!$A$1:$AS$1,0),FALSE)=0,#N/A,VLOOKUP(A56,Database!$A:$AS,MATCH($P$1,Database!$A$1:$AS$1,0),FALSE))</f>
        <v/>
      </c>
      <c r="Q56" s="77">
        <f>(((Table134567891011121314151617343[[#This Row],[JPN]]-VLOOKUP($U$1,A:Q,16,))/VLOOKUP($U$1,A:Q,16,))*100)+100</f>
        <v/>
      </c>
    </row>
    <row r="57" customFormat="1" s="87">
      <c r="A57" s="21" t="n">
        <v>34547</v>
      </c>
      <c r="B57" s="77">
        <f>IF(VLOOKUP(A57,Database!$A:$AS,MATCH($B$1,Database!$A$1:$AS$1,0),FALSE)=0,#N/A,VLOOKUP(A57,Database!$A:$AS,MATCH($B$1,Database!$A$1:$AS$1,0),FALSE))</f>
        <v/>
      </c>
      <c r="C57" s="77">
        <f>IF(VLOOKUP(A57,Database!$A:$AS,MATCH($C$1,Database!$A$1:$AS$1,0),FALSE)=0,#N/A,VLOOKUP(A57,Database!$A:$AS,MATCH($C$1,Database!$A$1:$AS$1,0),FALSE))</f>
        <v/>
      </c>
      <c r="D57" s="77">
        <f>IF(VLOOKUP(A57,Database!$A:$AS,MATCH($D$1,Database!$A$1:$AS$1,0),FALSE)=0,#N/A,VLOOKUP(A57,Database!$A:$AS,MATCH($D$1,Database!$A$1:$AS$1,0),FALSE))</f>
        <v/>
      </c>
      <c r="E57" s="77">
        <f>IF(VLOOKUP(A57,Database!$A:$AS,MATCH($E$1,Database!$A$1:$AS$1,0),FALSE)=0,#N/A,VLOOKUP(A57,Database!$A:$AS,MATCH($E$1,Database!$A$1:$AS$1,0),FALSE))</f>
        <v/>
      </c>
      <c r="F57" s="77">
        <f>IF(VLOOKUP(A57,Database!$A:$AS,MATCH($F$1,Database!$A$1:$AS$1,0),FALSE)=0,#N/A,VLOOKUP(A57,Database!$A:$AS,MATCH($F$1,Database!$A$1:$AS$1,0),FALSE))</f>
        <v/>
      </c>
      <c r="G57" s="77">
        <f>IF(VLOOKUP(A57,Database!$A:$AS,MATCH($G$1,Database!$A$1:$AS$1,0),FALSE)=0,#N/A,VLOOKUP(A57,Database!$A:$AS,MATCH($G$1,Database!$A$1:$AS$1,0),FALSE))</f>
        <v/>
      </c>
      <c r="H57" s="77">
        <f>(((Table134567891011121314151617343[[#This Row],[ITA]]-VLOOKUP($U$1,A:B,2,))/VLOOKUP($U$1,A:B,2,))*100)+100</f>
        <v/>
      </c>
      <c r="I57" s="77">
        <f>(((Table134567891011121314151617343[[#This Row],[FRA]]-VLOOKUP($U$1,A:C,3,))/VLOOKUP($U$1,A:C,3,))*100)+100</f>
        <v/>
      </c>
      <c r="J57" s="77">
        <f>(((Table134567891011121314151617343[[#This Row],[DEU]]-VLOOKUP($U$1,A:D,4,))/VLOOKUP($U$1,A:D,4,))*100)+100</f>
        <v/>
      </c>
      <c r="K57" s="77">
        <f>(((Table134567891011121314151617343[[#This Row],[ESP]]-VLOOKUP($U$1,A:E,5,))/VLOOKUP($U$1,A:E,5,))*100)+100</f>
        <v/>
      </c>
      <c r="L57" s="77">
        <f>(((Table134567891011121314151617343[[#This Row],[EA19]]-VLOOKUP($U$1,A:F,6,))/VLOOKUP($U$1,A:F,6,))*100)+100</f>
        <v/>
      </c>
      <c r="M57" s="77">
        <f>(((Table134567891011121314151617343[[#This Row],[GBR]]-VLOOKUP($U$1,A:G,7,))/VLOOKUP($U$1,A:G,7,))*100)+100</f>
        <v/>
      </c>
      <c r="N57" s="77">
        <f>IF(VLOOKUP(A57,Database!$A:$AU,MATCH($N$1,Database!$A$1:$AU$1,0),FALSE)=0,#N/A,VLOOKUP(A57,Database!$A:$AU,MATCH($N$1,Database!$A$1:$AU$1,0),FALSE))</f>
        <v/>
      </c>
      <c r="O57" s="77">
        <f>(((Table134567891011121314151617343[[#This Row],[USA]]-VLOOKUP($U$1,A:N,14,))/VLOOKUP($U$1,A:N,14,))*100)+100</f>
        <v/>
      </c>
      <c r="P57" s="77">
        <f>IF(VLOOKUP(A57,Database!$A:$AS,MATCH($P$1,Database!$A$1:$AS$1,0),FALSE)=0,#N/A,VLOOKUP(A57,Database!$A:$AS,MATCH($P$1,Database!$A$1:$AS$1,0),FALSE))</f>
        <v/>
      </c>
      <c r="Q57" s="77">
        <f>(((Table134567891011121314151617343[[#This Row],[JPN]]-VLOOKUP($U$1,A:Q,16,))/VLOOKUP($U$1,A:Q,16,))*100)+100</f>
        <v/>
      </c>
    </row>
    <row r="58" customFormat="1" s="87">
      <c r="A58" s="21" t="n">
        <v>34578</v>
      </c>
      <c r="B58" s="77">
        <f>IF(VLOOKUP(A58,Database!$A:$AS,MATCH($B$1,Database!$A$1:$AS$1,0),FALSE)=0,#N/A,VLOOKUP(A58,Database!$A:$AS,MATCH($B$1,Database!$A$1:$AS$1,0),FALSE))</f>
        <v/>
      </c>
      <c r="C58" s="77">
        <f>IF(VLOOKUP(A58,Database!$A:$AS,MATCH($C$1,Database!$A$1:$AS$1,0),FALSE)=0,#N/A,VLOOKUP(A58,Database!$A:$AS,MATCH($C$1,Database!$A$1:$AS$1,0),FALSE))</f>
        <v/>
      </c>
      <c r="D58" s="77">
        <f>IF(VLOOKUP(A58,Database!$A:$AS,MATCH($D$1,Database!$A$1:$AS$1,0),FALSE)=0,#N/A,VLOOKUP(A58,Database!$A:$AS,MATCH($D$1,Database!$A$1:$AS$1,0),FALSE))</f>
        <v/>
      </c>
      <c r="E58" s="77">
        <f>IF(VLOOKUP(A58,Database!$A:$AS,MATCH($E$1,Database!$A$1:$AS$1,0),FALSE)=0,#N/A,VLOOKUP(A58,Database!$A:$AS,MATCH($E$1,Database!$A$1:$AS$1,0),FALSE))</f>
        <v/>
      </c>
      <c r="F58" s="77">
        <f>IF(VLOOKUP(A58,Database!$A:$AS,MATCH($F$1,Database!$A$1:$AS$1,0),FALSE)=0,#N/A,VLOOKUP(A58,Database!$A:$AS,MATCH($F$1,Database!$A$1:$AS$1,0),FALSE))</f>
        <v/>
      </c>
      <c r="G58" s="77">
        <f>IF(VLOOKUP(A58,Database!$A:$AS,MATCH($G$1,Database!$A$1:$AS$1,0),FALSE)=0,#N/A,VLOOKUP(A58,Database!$A:$AS,MATCH($G$1,Database!$A$1:$AS$1,0),FALSE))</f>
        <v/>
      </c>
      <c r="H58" s="77">
        <f>(((Table134567891011121314151617343[[#This Row],[ITA]]-VLOOKUP($U$1,A:B,2,))/VLOOKUP($U$1,A:B,2,))*100)+100</f>
        <v/>
      </c>
      <c r="I58" s="77">
        <f>(((Table134567891011121314151617343[[#This Row],[FRA]]-VLOOKUP($U$1,A:C,3,))/VLOOKUP($U$1,A:C,3,))*100)+100</f>
        <v/>
      </c>
      <c r="J58" s="77">
        <f>(((Table134567891011121314151617343[[#This Row],[DEU]]-VLOOKUP($U$1,A:D,4,))/VLOOKUP($U$1,A:D,4,))*100)+100</f>
        <v/>
      </c>
      <c r="K58" s="77">
        <f>(((Table134567891011121314151617343[[#This Row],[ESP]]-VLOOKUP($U$1,A:E,5,))/VLOOKUP($U$1,A:E,5,))*100)+100</f>
        <v/>
      </c>
      <c r="L58" s="77">
        <f>(((Table134567891011121314151617343[[#This Row],[EA19]]-VLOOKUP($U$1,A:F,6,))/VLOOKUP($U$1,A:F,6,))*100)+100</f>
        <v/>
      </c>
      <c r="M58" s="77">
        <f>(((Table134567891011121314151617343[[#This Row],[GBR]]-VLOOKUP($U$1,A:G,7,))/VLOOKUP($U$1,A:G,7,))*100)+100</f>
        <v/>
      </c>
      <c r="N58" s="77">
        <f>IF(VLOOKUP(A58,Database!$A:$AU,MATCH($N$1,Database!$A$1:$AU$1,0),FALSE)=0,#N/A,VLOOKUP(A58,Database!$A:$AU,MATCH($N$1,Database!$A$1:$AU$1,0),FALSE))</f>
        <v/>
      </c>
      <c r="O58" s="77">
        <f>(((Table134567891011121314151617343[[#This Row],[USA]]-VLOOKUP($U$1,A:N,14,))/VLOOKUP($U$1,A:N,14,))*100)+100</f>
        <v/>
      </c>
      <c r="P58" s="77">
        <f>IF(VLOOKUP(A58,Database!$A:$AS,MATCH($P$1,Database!$A$1:$AS$1,0),FALSE)=0,#N/A,VLOOKUP(A58,Database!$A:$AS,MATCH($P$1,Database!$A$1:$AS$1,0),FALSE))</f>
        <v/>
      </c>
      <c r="Q58" s="77">
        <f>(((Table134567891011121314151617343[[#This Row],[JPN]]-VLOOKUP($U$1,A:Q,16,))/VLOOKUP($U$1,A:Q,16,))*100)+100</f>
        <v/>
      </c>
    </row>
    <row r="59" customFormat="1" s="87">
      <c r="A59" s="21" t="n">
        <v>34608</v>
      </c>
      <c r="B59" s="77">
        <f>IF(VLOOKUP(A59,Database!$A:$AS,MATCH($B$1,Database!$A$1:$AS$1,0),FALSE)=0,#N/A,VLOOKUP(A59,Database!$A:$AS,MATCH($B$1,Database!$A$1:$AS$1,0),FALSE))</f>
        <v/>
      </c>
      <c r="C59" s="77">
        <f>IF(VLOOKUP(A59,Database!$A:$AS,MATCH($C$1,Database!$A$1:$AS$1,0),FALSE)=0,#N/A,VLOOKUP(A59,Database!$A:$AS,MATCH($C$1,Database!$A$1:$AS$1,0),FALSE))</f>
        <v/>
      </c>
      <c r="D59" s="77">
        <f>IF(VLOOKUP(A59,Database!$A:$AS,MATCH($D$1,Database!$A$1:$AS$1,0),FALSE)=0,#N/A,VLOOKUP(A59,Database!$A:$AS,MATCH($D$1,Database!$A$1:$AS$1,0),FALSE))</f>
        <v/>
      </c>
      <c r="E59" s="77">
        <f>IF(VLOOKUP(A59,Database!$A:$AS,MATCH($E$1,Database!$A$1:$AS$1,0),FALSE)=0,#N/A,VLOOKUP(A59,Database!$A:$AS,MATCH($E$1,Database!$A$1:$AS$1,0),FALSE))</f>
        <v/>
      </c>
      <c r="F59" s="77">
        <f>IF(VLOOKUP(A59,Database!$A:$AS,MATCH($F$1,Database!$A$1:$AS$1,0),FALSE)=0,#N/A,VLOOKUP(A59,Database!$A:$AS,MATCH($F$1,Database!$A$1:$AS$1,0),FALSE))</f>
        <v/>
      </c>
      <c r="G59" s="77">
        <f>IF(VLOOKUP(A59,Database!$A:$AS,MATCH($G$1,Database!$A$1:$AS$1,0),FALSE)=0,#N/A,VLOOKUP(A59,Database!$A:$AS,MATCH($G$1,Database!$A$1:$AS$1,0),FALSE))</f>
        <v/>
      </c>
      <c r="H59" s="77">
        <f>(((Table134567891011121314151617343[[#This Row],[ITA]]-VLOOKUP($U$1,A:B,2,))/VLOOKUP($U$1,A:B,2,))*100)+100</f>
        <v/>
      </c>
      <c r="I59" s="77">
        <f>(((Table134567891011121314151617343[[#This Row],[FRA]]-VLOOKUP($U$1,A:C,3,))/VLOOKUP($U$1,A:C,3,))*100)+100</f>
        <v/>
      </c>
      <c r="J59" s="77">
        <f>(((Table134567891011121314151617343[[#This Row],[DEU]]-VLOOKUP($U$1,A:D,4,))/VLOOKUP($U$1,A:D,4,))*100)+100</f>
        <v/>
      </c>
      <c r="K59" s="77">
        <f>(((Table134567891011121314151617343[[#This Row],[ESP]]-VLOOKUP($U$1,A:E,5,))/VLOOKUP($U$1,A:E,5,))*100)+100</f>
        <v/>
      </c>
      <c r="L59" s="77">
        <f>(((Table134567891011121314151617343[[#This Row],[EA19]]-VLOOKUP($U$1,A:F,6,))/VLOOKUP($U$1,A:F,6,))*100)+100</f>
        <v/>
      </c>
      <c r="M59" s="77">
        <f>(((Table134567891011121314151617343[[#This Row],[GBR]]-VLOOKUP($U$1,A:G,7,))/VLOOKUP($U$1,A:G,7,))*100)+100</f>
        <v/>
      </c>
      <c r="N59" s="77">
        <f>IF(VLOOKUP(A59,Database!$A:$AU,MATCH($N$1,Database!$A$1:$AU$1,0),FALSE)=0,#N/A,VLOOKUP(A59,Database!$A:$AU,MATCH($N$1,Database!$A$1:$AU$1,0),FALSE))</f>
        <v/>
      </c>
      <c r="O59" s="77">
        <f>(((Table134567891011121314151617343[[#This Row],[USA]]-VLOOKUP($U$1,A:N,14,))/VLOOKUP($U$1,A:N,14,))*100)+100</f>
        <v/>
      </c>
      <c r="P59" s="77">
        <f>IF(VLOOKUP(A59,Database!$A:$AS,MATCH($P$1,Database!$A$1:$AS$1,0),FALSE)=0,#N/A,VLOOKUP(A59,Database!$A:$AS,MATCH($P$1,Database!$A$1:$AS$1,0),FALSE))</f>
        <v/>
      </c>
      <c r="Q59" s="77">
        <f>(((Table134567891011121314151617343[[#This Row],[JPN]]-VLOOKUP($U$1,A:Q,16,))/VLOOKUP($U$1,A:Q,16,))*100)+100</f>
        <v/>
      </c>
    </row>
    <row r="60" customFormat="1" s="87">
      <c r="A60" s="21" t="n">
        <v>34639</v>
      </c>
      <c r="B60" s="77">
        <f>IF(VLOOKUP(A60,Database!$A:$AS,MATCH($B$1,Database!$A$1:$AS$1,0),FALSE)=0,#N/A,VLOOKUP(A60,Database!$A:$AS,MATCH($B$1,Database!$A$1:$AS$1,0),FALSE))</f>
        <v/>
      </c>
      <c r="C60" s="77">
        <f>IF(VLOOKUP(A60,Database!$A:$AS,MATCH($C$1,Database!$A$1:$AS$1,0),FALSE)=0,#N/A,VLOOKUP(A60,Database!$A:$AS,MATCH($C$1,Database!$A$1:$AS$1,0),FALSE))</f>
        <v/>
      </c>
      <c r="D60" s="77">
        <f>IF(VLOOKUP(A60,Database!$A:$AS,MATCH($D$1,Database!$A$1:$AS$1,0),FALSE)=0,#N/A,VLOOKUP(A60,Database!$A:$AS,MATCH($D$1,Database!$A$1:$AS$1,0),FALSE))</f>
        <v/>
      </c>
      <c r="E60" s="77">
        <f>IF(VLOOKUP(A60,Database!$A:$AS,MATCH($E$1,Database!$A$1:$AS$1,0),FALSE)=0,#N/A,VLOOKUP(A60,Database!$A:$AS,MATCH($E$1,Database!$A$1:$AS$1,0),FALSE))</f>
        <v/>
      </c>
      <c r="F60" s="77">
        <f>IF(VLOOKUP(A60,Database!$A:$AS,MATCH($F$1,Database!$A$1:$AS$1,0),FALSE)=0,#N/A,VLOOKUP(A60,Database!$A:$AS,MATCH($F$1,Database!$A$1:$AS$1,0),FALSE))</f>
        <v/>
      </c>
      <c r="G60" s="77">
        <f>IF(VLOOKUP(A60,Database!$A:$AS,MATCH($G$1,Database!$A$1:$AS$1,0),FALSE)=0,#N/A,VLOOKUP(A60,Database!$A:$AS,MATCH($G$1,Database!$A$1:$AS$1,0),FALSE))</f>
        <v/>
      </c>
      <c r="H60" s="77">
        <f>(((Table134567891011121314151617343[[#This Row],[ITA]]-VLOOKUP($U$1,A:B,2,))/VLOOKUP($U$1,A:B,2,))*100)+100</f>
        <v/>
      </c>
      <c r="I60" s="77">
        <f>(((Table134567891011121314151617343[[#This Row],[FRA]]-VLOOKUP($U$1,A:C,3,))/VLOOKUP($U$1,A:C,3,))*100)+100</f>
        <v/>
      </c>
      <c r="J60" s="77">
        <f>(((Table134567891011121314151617343[[#This Row],[DEU]]-VLOOKUP($U$1,A:D,4,))/VLOOKUP($U$1,A:D,4,))*100)+100</f>
        <v/>
      </c>
      <c r="K60" s="77">
        <f>(((Table134567891011121314151617343[[#This Row],[ESP]]-VLOOKUP($U$1,A:E,5,))/VLOOKUP($U$1,A:E,5,))*100)+100</f>
        <v/>
      </c>
      <c r="L60" s="77">
        <f>(((Table134567891011121314151617343[[#This Row],[EA19]]-VLOOKUP($U$1,A:F,6,))/VLOOKUP($U$1,A:F,6,))*100)+100</f>
        <v/>
      </c>
      <c r="M60" s="77">
        <f>(((Table134567891011121314151617343[[#This Row],[GBR]]-VLOOKUP($U$1,A:G,7,))/VLOOKUP($U$1,A:G,7,))*100)+100</f>
        <v/>
      </c>
      <c r="N60" s="77">
        <f>IF(VLOOKUP(A60,Database!$A:$AU,MATCH($N$1,Database!$A$1:$AU$1,0),FALSE)=0,#N/A,VLOOKUP(A60,Database!$A:$AU,MATCH($N$1,Database!$A$1:$AU$1,0),FALSE))</f>
        <v/>
      </c>
      <c r="O60" s="77">
        <f>(((Table134567891011121314151617343[[#This Row],[USA]]-VLOOKUP($U$1,A:N,14,))/VLOOKUP($U$1,A:N,14,))*100)+100</f>
        <v/>
      </c>
      <c r="P60" s="77">
        <f>IF(VLOOKUP(A60,Database!$A:$AS,MATCH($P$1,Database!$A$1:$AS$1,0),FALSE)=0,#N/A,VLOOKUP(A60,Database!$A:$AS,MATCH($P$1,Database!$A$1:$AS$1,0),FALSE))</f>
        <v/>
      </c>
      <c r="Q60" s="77">
        <f>(((Table134567891011121314151617343[[#This Row],[JPN]]-VLOOKUP($U$1,A:Q,16,))/VLOOKUP($U$1,A:Q,16,))*100)+100</f>
        <v/>
      </c>
    </row>
    <row r="61" customFormat="1" s="87">
      <c r="A61" s="21" t="n">
        <v>34669</v>
      </c>
      <c r="B61" s="77">
        <f>IF(VLOOKUP(A61,Database!$A:$AS,MATCH($B$1,Database!$A$1:$AS$1,0),FALSE)=0,#N/A,VLOOKUP(A61,Database!$A:$AS,MATCH($B$1,Database!$A$1:$AS$1,0),FALSE))</f>
        <v/>
      </c>
      <c r="C61" s="77">
        <f>IF(VLOOKUP(A61,Database!$A:$AS,MATCH($C$1,Database!$A$1:$AS$1,0),FALSE)=0,#N/A,VLOOKUP(A61,Database!$A:$AS,MATCH($C$1,Database!$A$1:$AS$1,0),FALSE))</f>
        <v/>
      </c>
      <c r="D61" s="77">
        <f>IF(VLOOKUP(A61,Database!$A:$AS,MATCH($D$1,Database!$A$1:$AS$1,0),FALSE)=0,#N/A,VLOOKUP(A61,Database!$A:$AS,MATCH($D$1,Database!$A$1:$AS$1,0),FALSE))</f>
        <v/>
      </c>
      <c r="E61" s="77">
        <f>IF(VLOOKUP(A61,Database!$A:$AS,MATCH($E$1,Database!$A$1:$AS$1,0),FALSE)=0,#N/A,VLOOKUP(A61,Database!$A:$AS,MATCH($E$1,Database!$A$1:$AS$1,0),FALSE))</f>
        <v/>
      </c>
      <c r="F61" s="77">
        <f>IF(VLOOKUP(A61,Database!$A:$AS,MATCH($F$1,Database!$A$1:$AS$1,0),FALSE)=0,#N/A,VLOOKUP(A61,Database!$A:$AS,MATCH($F$1,Database!$A$1:$AS$1,0),FALSE))</f>
        <v/>
      </c>
      <c r="G61" s="77">
        <f>IF(VLOOKUP(A61,Database!$A:$AS,MATCH($G$1,Database!$A$1:$AS$1,0),FALSE)=0,#N/A,VLOOKUP(A61,Database!$A:$AS,MATCH($G$1,Database!$A$1:$AS$1,0),FALSE))</f>
        <v/>
      </c>
      <c r="H61" s="77">
        <f>(((Table134567891011121314151617343[[#This Row],[ITA]]-VLOOKUP($U$1,A:B,2,))/VLOOKUP($U$1,A:B,2,))*100)+100</f>
        <v/>
      </c>
      <c r="I61" s="77">
        <f>(((Table134567891011121314151617343[[#This Row],[FRA]]-VLOOKUP($U$1,A:C,3,))/VLOOKUP($U$1,A:C,3,))*100)+100</f>
        <v/>
      </c>
      <c r="J61" s="77">
        <f>(((Table134567891011121314151617343[[#This Row],[DEU]]-VLOOKUP($U$1,A:D,4,))/VLOOKUP($U$1,A:D,4,))*100)+100</f>
        <v/>
      </c>
      <c r="K61" s="77">
        <f>(((Table134567891011121314151617343[[#This Row],[ESP]]-VLOOKUP($U$1,A:E,5,))/VLOOKUP($U$1,A:E,5,))*100)+100</f>
        <v/>
      </c>
      <c r="L61" s="77">
        <f>(((Table134567891011121314151617343[[#This Row],[EA19]]-VLOOKUP($U$1,A:F,6,))/VLOOKUP($U$1,A:F,6,))*100)+100</f>
        <v/>
      </c>
      <c r="M61" s="77">
        <f>(((Table134567891011121314151617343[[#This Row],[GBR]]-VLOOKUP($U$1,A:G,7,))/VLOOKUP($U$1,A:G,7,))*100)+100</f>
        <v/>
      </c>
      <c r="N61" s="77">
        <f>IF(VLOOKUP(A61,Database!$A:$AU,MATCH($N$1,Database!$A$1:$AU$1,0),FALSE)=0,#N/A,VLOOKUP(A61,Database!$A:$AU,MATCH($N$1,Database!$A$1:$AU$1,0),FALSE))</f>
        <v/>
      </c>
      <c r="O61" s="77">
        <f>(((Table134567891011121314151617343[[#This Row],[USA]]-VLOOKUP($U$1,A:N,14,))/VLOOKUP($U$1,A:N,14,))*100)+100</f>
        <v/>
      </c>
      <c r="P61" s="77">
        <f>IF(VLOOKUP(A61,Database!$A:$AS,MATCH($P$1,Database!$A$1:$AS$1,0),FALSE)=0,#N/A,VLOOKUP(A61,Database!$A:$AS,MATCH($P$1,Database!$A$1:$AS$1,0),FALSE))</f>
        <v/>
      </c>
      <c r="Q61" s="77">
        <f>(((Table134567891011121314151617343[[#This Row],[JPN]]-VLOOKUP($U$1,A:Q,16,))/VLOOKUP($U$1,A:Q,16,))*100)+100</f>
        <v/>
      </c>
    </row>
    <row r="62" customFormat="1" s="87">
      <c r="A62" s="21" t="n">
        <v>34700</v>
      </c>
      <c r="B62" s="77">
        <f>IF(VLOOKUP(A62,Database!$A:$AS,MATCH($B$1,Database!$A$1:$AS$1,0),FALSE)=0,#N/A,VLOOKUP(A62,Database!$A:$AS,MATCH($B$1,Database!$A$1:$AS$1,0),FALSE))</f>
        <v/>
      </c>
      <c r="C62" s="77">
        <f>IF(VLOOKUP(A62,Database!$A:$AS,MATCH($C$1,Database!$A$1:$AS$1,0),FALSE)=0,#N/A,VLOOKUP(A62,Database!$A:$AS,MATCH($C$1,Database!$A$1:$AS$1,0),FALSE))</f>
        <v/>
      </c>
      <c r="D62" s="77">
        <f>IF(VLOOKUP(A62,Database!$A:$AS,MATCH($D$1,Database!$A$1:$AS$1,0),FALSE)=0,#N/A,VLOOKUP(A62,Database!$A:$AS,MATCH($D$1,Database!$A$1:$AS$1,0),FALSE))</f>
        <v/>
      </c>
      <c r="E62" s="77">
        <f>IF(VLOOKUP(A62,Database!$A:$AS,MATCH($E$1,Database!$A$1:$AS$1,0),FALSE)=0,#N/A,VLOOKUP(A62,Database!$A:$AS,MATCH($E$1,Database!$A$1:$AS$1,0),FALSE))</f>
        <v/>
      </c>
      <c r="F62" s="77">
        <f>IF(VLOOKUP(A62,Database!$A:$AS,MATCH($F$1,Database!$A$1:$AS$1,0),FALSE)=0,#N/A,VLOOKUP(A62,Database!$A:$AS,MATCH($F$1,Database!$A$1:$AS$1,0),FALSE))</f>
        <v/>
      </c>
      <c r="G62" s="77">
        <f>IF(VLOOKUP(A62,Database!$A:$AS,MATCH($G$1,Database!$A$1:$AS$1,0),FALSE)=0,#N/A,VLOOKUP(A62,Database!$A:$AS,MATCH($G$1,Database!$A$1:$AS$1,0),FALSE))</f>
        <v/>
      </c>
      <c r="H62" s="77">
        <f>(((Table134567891011121314151617343[[#This Row],[ITA]]-VLOOKUP($U$1,A:B,2,))/VLOOKUP($U$1,A:B,2,))*100)+100</f>
        <v/>
      </c>
      <c r="I62" s="77">
        <f>(((Table134567891011121314151617343[[#This Row],[FRA]]-VLOOKUP($U$1,A:C,3,))/VLOOKUP($U$1,A:C,3,))*100)+100</f>
        <v/>
      </c>
      <c r="J62" s="77">
        <f>(((Table134567891011121314151617343[[#This Row],[DEU]]-VLOOKUP($U$1,A:D,4,))/VLOOKUP($U$1,A:D,4,))*100)+100</f>
        <v/>
      </c>
      <c r="K62" s="77">
        <f>(((Table134567891011121314151617343[[#This Row],[ESP]]-VLOOKUP($U$1,A:E,5,))/VLOOKUP($U$1,A:E,5,))*100)+100</f>
        <v/>
      </c>
      <c r="L62" s="77">
        <f>(((Table134567891011121314151617343[[#This Row],[EA19]]-VLOOKUP($U$1,A:F,6,))/VLOOKUP($U$1,A:F,6,))*100)+100</f>
        <v/>
      </c>
      <c r="M62" s="77">
        <f>(((Table134567891011121314151617343[[#This Row],[GBR]]-VLOOKUP($U$1,A:G,7,))/VLOOKUP($U$1,A:G,7,))*100)+100</f>
        <v/>
      </c>
      <c r="N62" s="77">
        <f>IF(VLOOKUP(A62,Database!$A:$AU,MATCH($N$1,Database!$A$1:$AU$1,0),FALSE)=0,#N/A,VLOOKUP(A62,Database!$A:$AU,MATCH($N$1,Database!$A$1:$AU$1,0),FALSE))</f>
        <v/>
      </c>
      <c r="O62" s="77">
        <f>(((Table134567891011121314151617343[[#This Row],[USA]]-VLOOKUP($U$1,A:N,14,))/VLOOKUP($U$1,A:N,14,))*100)+100</f>
        <v/>
      </c>
      <c r="P62" s="77">
        <f>IF(VLOOKUP(A62,Database!$A:$AS,MATCH($P$1,Database!$A$1:$AS$1,0),FALSE)=0,#N/A,VLOOKUP(A62,Database!$A:$AS,MATCH($P$1,Database!$A$1:$AS$1,0),FALSE))</f>
        <v/>
      </c>
      <c r="Q62" s="77">
        <f>(((Table134567891011121314151617343[[#This Row],[JPN]]-VLOOKUP($U$1,A:Q,16,))/VLOOKUP($U$1,A:Q,16,))*100)+100</f>
        <v/>
      </c>
    </row>
    <row r="63" customFormat="1" s="87">
      <c r="A63" s="21" t="n">
        <v>34731</v>
      </c>
      <c r="B63" s="77">
        <f>IF(VLOOKUP(A63,Database!$A:$AS,MATCH($B$1,Database!$A$1:$AS$1,0),FALSE)=0,#N/A,VLOOKUP(A63,Database!$A:$AS,MATCH($B$1,Database!$A$1:$AS$1,0),FALSE))</f>
        <v/>
      </c>
      <c r="C63" s="77">
        <f>IF(VLOOKUP(A63,Database!$A:$AS,MATCH($C$1,Database!$A$1:$AS$1,0),FALSE)=0,#N/A,VLOOKUP(A63,Database!$A:$AS,MATCH($C$1,Database!$A$1:$AS$1,0),FALSE))</f>
        <v/>
      </c>
      <c r="D63" s="77">
        <f>IF(VLOOKUP(A63,Database!$A:$AS,MATCH($D$1,Database!$A$1:$AS$1,0),FALSE)=0,#N/A,VLOOKUP(A63,Database!$A:$AS,MATCH($D$1,Database!$A$1:$AS$1,0),FALSE))</f>
        <v/>
      </c>
      <c r="E63" s="77">
        <f>IF(VLOOKUP(A63,Database!$A:$AS,MATCH($E$1,Database!$A$1:$AS$1,0),FALSE)=0,#N/A,VLOOKUP(A63,Database!$A:$AS,MATCH($E$1,Database!$A$1:$AS$1,0),FALSE))</f>
        <v/>
      </c>
      <c r="F63" s="77">
        <f>IF(VLOOKUP(A63,Database!$A:$AS,MATCH($F$1,Database!$A$1:$AS$1,0),FALSE)=0,#N/A,VLOOKUP(A63,Database!$A:$AS,MATCH($F$1,Database!$A$1:$AS$1,0),FALSE))</f>
        <v/>
      </c>
      <c r="G63" s="77">
        <f>IF(VLOOKUP(A63,Database!$A:$AS,MATCH($G$1,Database!$A$1:$AS$1,0),FALSE)=0,#N/A,VLOOKUP(A63,Database!$A:$AS,MATCH($G$1,Database!$A$1:$AS$1,0),FALSE))</f>
        <v/>
      </c>
      <c r="H63" s="77">
        <f>(((Table134567891011121314151617343[[#This Row],[ITA]]-VLOOKUP($U$1,A:B,2,))/VLOOKUP($U$1,A:B,2,))*100)+100</f>
        <v/>
      </c>
      <c r="I63" s="77">
        <f>(((Table134567891011121314151617343[[#This Row],[FRA]]-VLOOKUP($U$1,A:C,3,))/VLOOKUP($U$1,A:C,3,))*100)+100</f>
        <v/>
      </c>
      <c r="J63" s="77">
        <f>(((Table134567891011121314151617343[[#This Row],[DEU]]-VLOOKUP($U$1,A:D,4,))/VLOOKUP($U$1,A:D,4,))*100)+100</f>
        <v/>
      </c>
      <c r="K63" s="77">
        <f>(((Table134567891011121314151617343[[#This Row],[ESP]]-VLOOKUP($U$1,A:E,5,))/VLOOKUP($U$1,A:E,5,))*100)+100</f>
        <v/>
      </c>
      <c r="L63" s="77">
        <f>(((Table134567891011121314151617343[[#This Row],[EA19]]-VLOOKUP($U$1,A:F,6,))/VLOOKUP($U$1,A:F,6,))*100)+100</f>
        <v/>
      </c>
      <c r="M63" s="77">
        <f>(((Table134567891011121314151617343[[#This Row],[GBR]]-VLOOKUP($U$1,A:G,7,))/VLOOKUP($U$1,A:G,7,))*100)+100</f>
        <v/>
      </c>
      <c r="N63" s="77">
        <f>IF(VLOOKUP(A63,Database!$A:$AU,MATCH($N$1,Database!$A$1:$AU$1,0),FALSE)=0,#N/A,VLOOKUP(A63,Database!$A:$AU,MATCH($N$1,Database!$A$1:$AU$1,0),FALSE))</f>
        <v/>
      </c>
      <c r="O63" s="77">
        <f>(((Table134567891011121314151617343[[#This Row],[USA]]-VLOOKUP($U$1,A:N,14,))/VLOOKUP($U$1,A:N,14,))*100)+100</f>
        <v/>
      </c>
      <c r="P63" s="77">
        <f>IF(VLOOKUP(A63,Database!$A:$AS,MATCH($P$1,Database!$A$1:$AS$1,0),FALSE)=0,#N/A,VLOOKUP(A63,Database!$A:$AS,MATCH($P$1,Database!$A$1:$AS$1,0),FALSE))</f>
        <v/>
      </c>
      <c r="Q63" s="77">
        <f>(((Table134567891011121314151617343[[#This Row],[JPN]]-VLOOKUP($U$1,A:Q,16,))/VLOOKUP($U$1,A:Q,16,))*100)+100</f>
        <v/>
      </c>
    </row>
    <row r="64" customFormat="1" s="87">
      <c r="A64" s="21" t="n">
        <v>34759</v>
      </c>
      <c r="B64" s="77">
        <f>IF(VLOOKUP(A64,Database!$A:$AS,MATCH($B$1,Database!$A$1:$AS$1,0),FALSE)=0,#N/A,VLOOKUP(A64,Database!$A:$AS,MATCH($B$1,Database!$A$1:$AS$1,0),FALSE))</f>
        <v/>
      </c>
      <c r="C64" s="77">
        <f>IF(VLOOKUP(A64,Database!$A:$AS,MATCH($C$1,Database!$A$1:$AS$1,0),FALSE)=0,#N/A,VLOOKUP(A64,Database!$A:$AS,MATCH($C$1,Database!$A$1:$AS$1,0),FALSE))</f>
        <v/>
      </c>
      <c r="D64" s="77">
        <f>IF(VLOOKUP(A64,Database!$A:$AS,MATCH($D$1,Database!$A$1:$AS$1,0),FALSE)=0,#N/A,VLOOKUP(A64,Database!$A:$AS,MATCH($D$1,Database!$A$1:$AS$1,0),FALSE))</f>
        <v/>
      </c>
      <c r="E64" s="77">
        <f>IF(VLOOKUP(A64,Database!$A:$AS,MATCH($E$1,Database!$A$1:$AS$1,0),FALSE)=0,#N/A,VLOOKUP(A64,Database!$A:$AS,MATCH($E$1,Database!$A$1:$AS$1,0),FALSE))</f>
        <v/>
      </c>
      <c r="F64" s="77">
        <f>IF(VLOOKUP(A64,Database!$A:$AS,MATCH($F$1,Database!$A$1:$AS$1,0),FALSE)=0,#N/A,VLOOKUP(A64,Database!$A:$AS,MATCH($F$1,Database!$A$1:$AS$1,0),FALSE))</f>
        <v/>
      </c>
      <c r="G64" s="77">
        <f>IF(VLOOKUP(A64,Database!$A:$AS,MATCH($G$1,Database!$A$1:$AS$1,0),FALSE)=0,#N/A,VLOOKUP(A64,Database!$A:$AS,MATCH($G$1,Database!$A$1:$AS$1,0),FALSE))</f>
        <v/>
      </c>
      <c r="H64" s="77">
        <f>(((Table134567891011121314151617343[[#This Row],[ITA]]-VLOOKUP($U$1,A:B,2,))/VLOOKUP($U$1,A:B,2,))*100)+100</f>
        <v/>
      </c>
      <c r="I64" s="77">
        <f>(((Table134567891011121314151617343[[#This Row],[FRA]]-VLOOKUP($U$1,A:C,3,))/VLOOKUP($U$1,A:C,3,))*100)+100</f>
        <v/>
      </c>
      <c r="J64" s="77">
        <f>(((Table134567891011121314151617343[[#This Row],[DEU]]-VLOOKUP($U$1,A:D,4,))/VLOOKUP($U$1,A:D,4,))*100)+100</f>
        <v/>
      </c>
      <c r="K64" s="77">
        <f>(((Table134567891011121314151617343[[#This Row],[ESP]]-VLOOKUP($U$1,A:E,5,))/VLOOKUP($U$1,A:E,5,))*100)+100</f>
        <v/>
      </c>
      <c r="L64" s="77">
        <f>(((Table134567891011121314151617343[[#This Row],[EA19]]-VLOOKUP($U$1,A:F,6,))/VLOOKUP($U$1,A:F,6,))*100)+100</f>
        <v/>
      </c>
      <c r="M64" s="77">
        <f>(((Table134567891011121314151617343[[#This Row],[GBR]]-VLOOKUP($U$1,A:G,7,))/VLOOKUP($U$1,A:G,7,))*100)+100</f>
        <v/>
      </c>
      <c r="N64" s="77">
        <f>IF(VLOOKUP(A64,Database!$A:$AU,MATCH($N$1,Database!$A$1:$AU$1,0),FALSE)=0,#N/A,VLOOKUP(A64,Database!$A:$AU,MATCH($N$1,Database!$A$1:$AU$1,0),FALSE))</f>
        <v/>
      </c>
      <c r="O64" s="77">
        <f>(((Table134567891011121314151617343[[#This Row],[USA]]-VLOOKUP($U$1,A:N,14,))/VLOOKUP($U$1,A:N,14,))*100)+100</f>
        <v/>
      </c>
      <c r="P64" s="77">
        <f>IF(VLOOKUP(A64,Database!$A:$AS,MATCH($P$1,Database!$A$1:$AS$1,0),FALSE)=0,#N/A,VLOOKUP(A64,Database!$A:$AS,MATCH($P$1,Database!$A$1:$AS$1,0),FALSE))</f>
        <v/>
      </c>
      <c r="Q64" s="77">
        <f>(((Table134567891011121314151617343[[#This Row],[JPN]]-VLOOKUP($U$1,A:Q,16,))/VLOOKUP($U$1,A:Q,16,))*100)+100</f>
        <v/>
      </c>
    </row>
    <row r="65" customFormat="1" s="87">
      <c r="A65" s="21" t="n">
        <v>34790</v>
      </c>
      <c r="B65" s="77">
        <f>IF(VLOOKUP(A65,Database!$A:$AS,MATCH($B$1,Database!$A$1:$AS$1,0),FALSE)=0,#N/A,VLOOKUP(A65,Database!$A:$AS,MATCH($B$1,Database!$A$1:$AS$1,0),FALSE))</f>
        <v/>
      </c>
      <c r="C65" s="77">
        <f>IF(VLOOKUP(A65,Database!$A:$AS,MATCH($C$1,Database!$A$1:$AS$1,0),FALSE)=0,#N/A,VLOOKUP(A65,Database!$A:$AS,MATCH($C$1,Database!$A$1:$AS$1,0),FALSE))</f>
        <v/>
      </c>
      <c r="D65" s="77">
        <f>IF(VLOOKUP(A65,Database!$A:$AS,MATCH($D$1,Database!$A$1:$AS$1,0),FALSE)=0,#N/A,VLOOKUP(A65,Database!$A:$AS,MATCH($D$1,Database!$A$1:$AS$1,0),FALSE))</f>
        <v/>
      </c>
      <c r="E65" s="77">
        <f>IF(VLOOKUP(A65,Database!$A:$AS,MATCH($E$1,Database!$A$1:$AS$1,0),FALSE)=0,#N/A,VLOOKUP(A65,Database!$A:$AS,MATCH($E$1,Database!$A$1:$AS$1,0),FALSE))</f>
        <v/>
      </c>
      <c r="F65" s="77">
        <f>IF(VLOOKUP(A65,Database!$A:$AS,MATCH($F$1,Database!$A$1:$AS$1,0),FALSE)=0,#N/A,VLOOKUP(A65,Database!$A:$AS,MATCH($F$1,Database!$A$1:$AS$1,0),FALSE))</f>
        <v/>
      </c>
      <c r="G65" s="77">
        <f>IF(VLOOKUP(A65,Database!$A:$AS,MATCH($G$1,Database!$A$1:$AS$1,0),FALSE)=0,#N/A,VLOOKUP(A65,Database!$A:$AS,MATCH($G$1,Database!$A$1:$AS$1,0),FALSE))</f>
        <v/>
      </c>
      <c r="H65" s="77">
        <f>(((Table134567891011121314151617343[[#This Row],[ITA]]-VLOOKUP($U$1,A:B,2,))/VLOOKUP($U$1,A:B,2,))*100)+100</f>
        <v/>
      </c>
      <c r="I65" s="77">
        <f>(((Table134567891011121314151617343[[#This Row],[FRA]]-VLOOKUP($U$1,A:C,3,))/VLOOKUP($U$1,A:C,3,))*100)+100</f>
        <v/>
      </c>
      <c r="J65" s="77">
        <f>(((Table134567891011121314151617343[[#This Row],[DEU]]-VLOOKUP($U$1,A:D,4,))/VLOOKUP($U$1,A:D,4,))*100)+100</f>
        <v/>
      </c>
      <c r="K65" s="77">
        <f>(((Table134567891011121314151617343[[#This Row],[ESP]]-VLOOKUP($U$1,A:E,5,))/VLOOKUP($U$1,A:E,5,))*100)+100</f>
        <v/>
      </c>
      <c r="L65" s="77">
        <f>(((Table134567891011121314151617343[[#This Row],[EA19]]-VLOOKUP($U$1,A:F,6,))/VLOOKUP($U$1,A:F,6,))*100)+100</f>
        <v/>
      </c>
      <c r="M65" s="77">
        <f>(((Table134567891011121314151617343[[#This Row],[GBR]]-VLOOKUP($U$1,A:G,7,))/VLOOKUP($U$1,A:G,7,))*100)+100</f>
        <v/>
      </c>
      <c r="N65" s="77">
        <f>IF(VLOOKUP(A65,Database!$A:$AU,MATCH($N$1,Database!$A$1:$AU$1,0),FALSE)=0,#N/A,VLOOKUP(A65,Database!$A:$AU,MATCH($N$1,Database!$A$1:$AU$1,0),FALSE))</f>
        <v/>
      </c>
      <c r="O65" s="77">
        <f>(((Table134567891011121314151617343[[#This Row],[USA]]-VLOOKUP($U$1,A:N,14,))/VLOOKUP($U$1,A:N,14,))*100)+100</f>
        <v/>
      </c>
      <c r="P65" s="77">
        <f>IF(VLOOKUP(A65,Database!$A:$AS,MATCH($P$1,Database!$A$1:$AS$1,0),FALSE)=0,#N/A,VLOOKUP(A65,Database!$A:$AS,MATCH($P$1,Database!$A$1:$AS$1,0),FALSE))</f>
        <v/>
      </c>
      <c r="Q65" s="77">
        <f>(((Table134567891011121314151617343[[#This Row],[JPN]]-VLOOKUP($U$1,A:Q,16,))/VLOOKUP($U$1,A:Q,16,))*100)+100</f>
        <v/>
      </c>
    </row>
    <row r="66" customFormat="1" s="87">
      <c r="A66" s="21" t="n">
        <v>34820</v>
      </c>
      <c r="B66" s="77">
        <f>IF(VLOOKUP(A66,Database!$A:$AS,MATCH($B$1,Database!$A$1:$AS$1,0),FALSE)=0,#N/A,VLOOKUP(A66,Database!$A:$AS,MATCH($B$1,Database!$A$1:$AS$1,0),FALSE))</f>
        <v/>
      </c>
      <c r="C66" s="77">
        <f>IF(VLOOKUP(A66,Database!$A:$AS,MATCH($C$1,Database!$A$1:$AS$1,0),FALSE)=0,#N/A,VLOOKUP(A66,Database!$A:$AS,MATCH($C$1,Database!$A$1:$AS$1,0),FALSE))</f>
        <v/>
      </c>
      <c r="D66" s="77">
        <f>IF(VLOOKUP(A66,Database!$A:$AS,MATCH($D$1,Database!$A$1:$AS$1,0),FALSE)=0,#N/A,VLOOKUP(A66,Database!$A:$AS,MATCH($D$1,Database!$A$1:$AS$1,0),FALSE))</f>
        <v/>
      </c>
      <c r="E66" s="77">
        <f>IF(VLOOKUP(A66,Database!$A:$AS,MATCH($E$1,Database!$A$1:$AS$1,0),FALSE)=0,#N/A,VLOOKUP(A66,Database!$A:$AS,MATCH($E$1,Database!$A$1:$AS$1,0),FALSE))</f>
        <v/>
      </c>
      <c r="F66" s="77">
        <f>IF(VLOOKUP(A66,Database!$A:$AS,MATCH($F$1,Database!$A$1:$AS$1,0),FALSE)=0,#N/A,VLOOKUP(A66,Database!$A:$AS,MATCH($F$1,Database!$A$1:$AS$1,0),FALSE))</f>
        <v/>
      </c>
      <c r="G66" s="77">
        <f>IF(VLOOKUP(A66,Database!$A:$AS,MATCH($G$1,Database!$A$1:$AS$1,0),FALSE)=0,#N/A,VLOOKUP(A66,Database!$A:$AS,MATCH($G$1,Database!$A$1:$AS$1,0),FALSE))</f>
        <v/>
      </c>
      <c r="H66" s="77">
        <f>(((Table134567891011121314151617343[[#This Row],[ITA]]-VLOOKUP($U$1,A:B,2,))/VLOOKUP($U$1,A:B,2,))*100)+100</f>
        <v/>
      </c>
      <c r="I66" s="77">
        <f>(((Table134567891011121314151617343[[#This Row],[FRA]]-VLOOKUP($U$1,A:C,3,))/VLOOKUP($U$1,A:C,3,))*100)+100</f>
        <v/>
      </c>
      <c r="J66" s="77">
        <f>(((Table134567891011121314151617343[[#This Row],[DEU]]-VLOOKUP($U$1,A:D,4,))/VLOOKUP($U$1,A:D,4,))*100)+100</f>
        <v/>
      </c>
      <c r="K66" s="77">
        <f>(((Table134567891011121314151617343[[#This Row],[ESP]]-VLOOKUP($U$1,A:E,5,))/VLOOKUP($U$1,A:E,5,))*100)+100</f>
        <v/>
      </c>
      <c r="L66" s="77">
        <f>(((Table134567891011121314151617343[[#This Row],[EA19]]-VLOOKUP($U$1,A:F,6,))/VLOOKUP($U$1,A:F,6,))*100)+100</f>
        <v/>
      </c>
      <c r="M66" s="77">
        <f>(((Table134567891011121314151617343[[#This Row],[GBR]]-VLOOKUP($U$1,A:G,7,))/VLOOKUP($U$1,A:G,7,))*100)+100</f>
        <v/>
      </c>
      <c r="N66" s="77">
        <f>IF(VLOOKUP(A66,Database!$A:$AU,MATCH($N$1,Database!$A$1:$AU$1,0),FALSE)=0,#N/A,VLOOKUP(A66,Database!$A:$AU,MATCH($N$1,Database!$A$1:$AU$1,0),FALSE))</f>
        <v/>
      </c>
      <c r="O66" s="77">
        <f>(((Table134567891011121314151617343[[#This Row],[USA]]-VLOOKUP($U$1,A:N,14,))/VLOOKUP($U$1,A:N,14,))*100)+100</f>
        <v/>
      </c>
      <c r="P66" s="77">
        <f>IF(VLOOKUP(A66,Database!$A:$AS,MATCH($P$1,Database!$A$1:$AS$1,0),FALSE)=0,#N/A,VLOOKUP(A66,Database!$A:$AS,MATCH($P$1,Database!$A$1:$AS$1,0),FALSE))</f>
        <v/>
      </c>
      <c r="Q66" s="77">
        <f>(((Table134567891011121314151617343[[#This Row],[JPN]]-VLOOKUP($U$1,A:Q,16,))/VLOOKUP($U$1,A:Q,16,))*100)+100</f>
        <v/>
      </c>
    </row>
    <row r="67" customFormat="1" s="87">
      <c r="A67" s="21" t="n">
        <v>34851</v>
      </c>
      <c r="B67" s="77">
        <f>IF(VLOOKUP(A67,Database!$A:$AS,MATCH($B$1,Database!$A$1:$AS$1,0),FALSE)=0,#N/A,VLOOKUP(A67,Database!$A:$AS,MATCH($B$1,Database!$A$1:$AS$1,0),FALSE))</f>
        <v/>
      </c>
      <c r="C67" s="77">
        <f>IF(VLOOKUP(A67,Database!$A:$AS,MATCH($C$1,Database!$A$1:$AS$1,0),FALSE)=0,#N/A,VLOOKUP(A67,Database!$A:$AS,MATCH($C$1,Database!$A$1:$AS$1,0),FALSE))</f>
        <v/>
      </c>
      <c r="D67" s="77">
        <f>IF(VLOOKUP(A67,Database!$A:$AS,MATCH($D$1,Database!$A$1:$AS$1,0),FALSE)=0,#N/A,VLOOKUP(A67,Database!$A:$AS,MATCH($D$1,Database!$A$1:$AS$1,0),FALSE))</f>
        <v/>
      </c>
      <c r="E67" s="77">
        <f>IF(VLOOKUP(A67,Database!$A:$AS,MATCH($E$1,Database!$A$1:$AS$1,0),FALSE)=0,#N/A,VLOOKUP(A67,Database!$A:$AS,MATCH($E$1,Database!$A$1:$AS$1,0),FALSE))</f>
        <v/>
      </c>
      <c r="F67" s="77">
        <f>IF(VLOOKUP(A67,Database!$A:$AS,MATCH($F$1,Database!$A$1:$AS$1,0),FALSE)=0,#N/A,VLOOKUP(A67,Database!$A:$AS,MATCH($F$1,Database!$A$1:$AS$1,0),FALSE))</f>
        <v/>
      </c>
      <c r="G67" s="77">
        <f>IF(VLOOKUP(A67,Database!$A:$AS,MATCH($G$1,Database!$A$1:$AS$1,0),FALSE)=0,#N/A,VLOOKUP(A67,Database!$A:$AS,MATCH($G$1,Database!$A$1:$AS$1,0),FALSE))</f>
        <v/>
      </c>
      <c r="H67" s="77">
        <f>(((Table134567891011121314151617343[[#This Row],[ITA]]-VLOOKUP($U$1,A:B,2,))/VLOOKUP($U$1,A:B,2,))*100)+100</f>
        <v/>
      </c>
      <c r="I67" s="77">
        <f>(((Table134567891011121314151617343[[#This Row],[FRA]]-VLOOKUP($U$1,A:C,3,))/VLOOKUP($U$1,A:C,3,))*100)+100</f>
        <v/>
      </c>
      <c r="J67" s="77">
        <f>(((Table134567891011121314151617343[[#This Row],[DEU]]-VLOOKUP($U$1,A:D,4,))/VLOOKUP($U$1,A:D,4,))*100)+100</f>
        <v/>
      </c>
      <c r="K67" s="77">
        <f>(((Table134567891011121314151617343[[#This Row],[ESP]]-VLOOKUP($U$1,A:E,5,))/VLOOKUP($U$1,A:E,5,))*100)+100</f>
        <v/>
      </c>
      <c r="L67" s="77">
        <f>(((Table134567891011121314151617343[[#This Row],[EA19]]-VLOOKUP($U$1,A:F,6,))/VLOOKUP($U$1,A:F,6,))*100)+100</f>
        <v/>
      </c>
      <c r="M67" s="77">
        <f>(((Table134567891011121314151617343[[#This Row],[GBR]]-VLOOKUP($U$1,A:G,7,))/VLOOKUP($U$1,A:G,7,))*100)+100</f>
        <v/>
      </c>
      <c r="N67" s="77">
        <f>IF(VLOOKUP(A67,Database!$A:$AU,MATCH($N$1,Database!$A$1:$AU$1,0),FALSE)=0,#N/A,VLOOKUP(A67,Database!$A:$AU,MATCH($N$1,Database!$A$1:$AU$1,0),FALSE))</f>
        <v/>
      </c>
      <c r="O67" s="77">
        <f>(((Table134567891011121314151617343[[#This Row],[USA]]-VLOOKUP($U$1,A:N,14,))/VLOOKUP($U$1,A:N,14,))*100)+100</f>
        <v/>
      </c>
      <c r="P67" s="77">
        <f>IF(VLOOKUP(A67,Database!$A:$AS,MATCH($P$1,Database!$A$1:$AS$1,0),FALSE)=0,#N/A,VLOOKUP(A67,Database!$A:$AS,MATCH($P$1,Database!$A$1:$AS$1,0),FALSE))</f>
        <v/>
      </c>
      <c r="Q67" s="77">
        <f>(((Table134567891011121314151617343[[#This Row],[JPN]]-VLOOKUP($U$1,A:Q,16,))/VLOOKUP($U$1,A:Q,16,))*100)+100</f>
        <v/>
      </c>
    </row>
    <row r="68" customFormat="1" s="87">
      <c r="A68" s="21" t="n">
        <v>34881</v>
      </c>
      <c r="B68" s="77">
        <f>IF(VLOOKUP(A68,Database!$A:$AS,MATCH($B$1,Database!$A$1:$AS$1,0),FALSE)=0,#N/A,VLOOKUP(A68,Database!$A:$AS,MATCH($B$1,Database!$A$1:$AS$1,0),FALSE))</f>
        <v/>
      </c>
      <c r="C68" s="77">
        <f>IF(VLOOKUP(A68,Database!$A:$AS,MATCH($C$1,Database!$A$1:$AS$1,0),FALSE)=0,#N/A,VLOOKUP(A68,Database!$A:$AS,MATCH($C$1,Database!$A$1:$AS$1,0),FALSE))</f>
        <v/>
      </c>
      <c r="D68" s="77">
        <f>IF(VLOOKUP(A68,Database!$A:$AS,MATCH($D$1,Database!$A$1:$AS$1,0),FALSE)=0,#N/A,VLOOKUP(A68,Database!$A:$AS,MATCH($D$1,Database!$A$1:$AS$1,0),FALSE))</f>
        <v/>
      </c>
      <c r="E68" s="77">
        <f>IF(VLOOKUP(A68,Database!$A:$AS,MATCH($E$1,Database!$A$1:$AS$1,0),FALSE)=0,#N/A,VLOOKUP(A68,Database!$A:$AS,MATCH($E$1,Database!$A$1:$AS$1,0),FALSE))</f>
        <v/>
      </c>
      <c r="F68" s="77">
        <f>IF(VLOOKUP(A68,Database!$A:$AS,MATCH($F$1,Database!$A$1:$AS$1,0),FALSE)=0,#N/A,VLOOKUP(A68,Database!$A:$AS,MATCH($F$1,Database!$A$1:$AS$1,0),FALSE))</f>
        <v/>
      </c>
      <c r="G68" s="77">
        <f>IF(VLOOKUP(A68,Database!$A:$AS,MATCH($G$1,Database!$A$1:$AS$1,0),FALSE)=0,#N/A,VLOOKUP(A68,Database!$A:$AS,MATCH($G$1,Database!$A$1:$AS$1,0),FALSE))</f>
        <v/>
      </c>
      <c r="H68" s="77">
        <f>(((Table134567891011121314151617343[[#This Row],[ITA]]-VLOOKUP($U$1,A:B,2,))/VLOOKUP($U$1,A:B,2,))*100)+100</f>
        <v/>
      </c>
      <c r="I68" s="77">
        <f>(((Table134567891011121314151617343[[#This Row],[FRA]]-VLOOKUP($U$1,A:C,3,))/VLOOKUP($U$1,A:C,3,))*100)+100</f>
        <v/>
      </c>
      <c r="J68" s="77">
        <f>(((Table134567891011121314151617343[[#This Row],[DEU]]-VLOOKUP($U$1,A:D,4,))/VLOOKUP($U$1,A:D,4,))*100)+100</f>
        <v/>
      </c>
      <c r="K68" s="77">
        <f>(((Table134567891011121314151617343[[#This Row],[ESP]]-VLOOKUP($U$1,A:E,5,))/VLOOKUP($U$1,A:E,5,))*100)+100</f>
        <v/>
      </c>
      <c r="L68" s="77">
        <f>(((Table134567891011121314151617343[[#This Row],[EA19]]-VLOOKUP($U$1,A:F,6,))/VLOOKUP($U$1,A:F,6,))*100)+100</f>
        <v/>
      </c>
      <c r="M68" s="77">
        <f>(((Table134567891011121314151617343[[#This Row],[GBR]]-VLOOKUP($U$1,A:G,7,))/VLOOKUP($U$1,A:G,7,))*100)+100</f>
        <v/>
      </c>
      <c r="N68" s="77">
        <f>IF(VLOOKUP(A68,Database!$A:$AU,MATCH($N$1,Database!$A$1:$AU$1,0),FALSE)=0,#N/A,VLOOKUP(A68,Database!$A:$AU,MATCH($N$1,Database!$A$1:$AU$1,0),FALSE))</f>
        <v/>
      </c>
      <c r="O68" s="77">
        <f>(((Table134567891011121314151617343[[#This Row],[USA]]-VLOOKUP($U$1,A:N,14,))/VLOOKUP($U$1,A:N,14,))*100)+100</f>
        <v/>
      </c>
      <c r="P68" s="77">
        <f>IF(VLOOKUP(A68,Database!$A:$AS,MATCH($P$1,Database!$A$1:$AS$1,0),FALSE)=0,#N/A,VLOOKUP(A68,Database!$A:$AS,MATCH($P$1,Database!$A$1:$AS$1,0),FALSE))</f>
        <v/>
      </c>
      <c r="Q68" s="77">
        <f>(((Table134567891011121314151617343[[#This Row],[JPN]]-VLOOKUP($U$1,A:Q,16,))/VLOOKUP($U$1,A:Q,16,))*100)+100</f>
        <v/>
      </c>
    </row>
    <row r="69" customFormat="1" s="87">
      <c r="A69" s="21" t="n">
        <v>34912</v>
      </c>
      <c r="B69" s="77">
        <f>IF(VLOOKUP(A69,Database!$A:$AS,MATCH($B$1,Database!$A$1:$AS$1,0),FALSE)=0,#N/A,VLOOKUP(A69,Database!$A:$AS,MATCH($B$1,Database!$A$1:$AS$1,0),FALSE))</f>
        <v/>
      </c>
      <c r="C69" s="77">
        <f>IF(VLOOKUP(A69,Database!$A:$AS,MATCH($C$1,Database!$A$1:$AS$1,0),FALSE)=0,#N/A,VLOOKUP(A69,Database!$A:$AS,MATCH($C$1,Database!$A$1:$AS$1,0),FALSE))</f>
        <v/>
      </c>
      <c r="D69" s="77">
        <f>IF(VLOOKUP(A69,Database!$A:$AS,MATCH($D$1,Database!$A$1:$AS$1,0),FALSE)=0,#N/A,VLOOKUP(A69,Database!$A:$AS,MATCH($D$1,Database!$A$1:$AS$1,0),FALSE))</f>
        <v/>
      </c>
      <c r="E69" s="77">
        <f>IF(VLOOKUP(A69,Database!$A:$AS,MATCH($E$1,Database!$A$1:$AS$1,0),FALSE)=0,#N/A,VLOOKUP(A69,Database!$A:$AS,MATCH($E$1,Database!$A$1:$AS$1,0),FALSE))</f>
        <v/>
      </c>
      <c r="F69" s="77">
        <f>IF(VLOOKUP(A69,Database!$A:$AS,MATCH($F$1,Database!$A$1:$AS$1,0),FALSE)=0,#N/A,VLOOKUP(A69,Database!$A:$AS,MATCH($F$1,Database!$A$1:$AS$1,0),FALSE))</f>
        <v/>
      </c>
      <c r="G69" s="77">
        <f>IF(VLOOKUP(A69,Database!$A:$AS,MATCH($G$1,Database!$A$1:$AS$1,0),FALSE)=0,#N/A,VLOOKUP(A69,Database!$A:$AS,MATCH($G$1,Database!$A$1:$AS$1,0),FALSE))</f>
        <v/>
      </c>
      <c r="H69" s="77">
        <f>(((Table134567891011121314151617343[[#This Row],[ITA]]-VLOOKUP($U$1,A:B,2,))/VLOOKUP($U$1,A:B,2,))*100)+100</f>
        <v/>
      </c>
      <c r="I69" s="77">
        <f>(((Table134567891011121314151617343[[#This Row],[FRA]]-VLOOKUP($U$1,A:C,3,))/VLOOKUP($U$1,A:C,3,))*100)+100</f>
        <v/>
      </c>
      <c r="J69" s="77">
        <f>(((Table134567891011121314151617343[[#This Row],[DEU]]-VLOOKUP($U$1,A:D,4,))/VLOOKUP($U$1,A:D,4,))*100)+100</f>
        <v/>
      </c>
      <c r="K69" s="77">
        <f>(((Table134567891011121314151617343[[#This Row],[ESP]]-VLOOKUP($U$1,A:E,5,))/VLOOKUP($U$1,A:E,5,))*100)+100</f>
        <v/>
      </c>
      <c r="L69" s="77">
        <f>(((Table134567891011121314151617343[[#This Row],[EA19]]-VLOOKUP($U$1,A:F,6,))/VLOOKUP($U$1,A:F,6,))*100)+100</f>
        <v/>
      </c>
      <c r="M69" s="77">
        <f>(((Table134567891011121314151617343[[#This Row],[GBR]]-VLOOKUP($U$1,A:G,7,))/VLOOKUP($U$1,A:G,7,))*100)+100</f>
        <v/>
      </c>
      <c r="N69" s="77">
        <f>IF(VLOOKUP(A69,Database!$A:$AU,MATCH($N$1,Database!$A$1:$AU$1,0),FALSE)=0,#N/A,VLOOKUP(A69,Database!$A:$AU,MATCH($N$1,Database!$A$1:$AU$1,0),FALSE))</f>
        <v/>
      </c>
      <c r="O69" s="77">
        <f>(((Table134567891011121314151617343[[#This Row],[USA]]-VLOOKUP($U$1,A:N,14,))/VLOOKUP($U$1,A:N,14,))*100)+100</f>
        <v/>
      </c>
      <c r="P69" s="77">
        <f>IF(VLOOKUP(A69,Database!$A:$AS,MATCH($P$1,Database!$A$1:$AS$1,0),FALSE)=0,#N/A,VLOOKUP(A69,Database!$A:$AS,MATCH($P$1,Database!$A$1:$AS$1,0),FALSE))</f>
        <v/>
      </c>
      <c r="Q69" s="77">
        <f>(((Table134567891011121314151617343[[#This Row],[JPN]]-VLOOKUP($U$1,A:Q,16,))/VLOOKUP($U$1,A:Q,16,))*100)+100</f>
        <v/>
      </c>
    </row>
    <row r="70" customFormat="1" s="87">
      <c r="A70" s="21" t="n">
        <v>34943</v>
      </c>
      <c r="B70" s="77">
        <f>IF(VLOOKUP(A70,Database!$A:$AS,MATCH($B$1,Database!$A$1:$AS$1,0),FALSE)=0,#N/A,VLOOKUP(A70,Database!$A:$AS,MATCH($B$1,Database!$A$1:$AS$1,0),FALSE))</f>
        <v/>
      </c>
      <c r="C70" s="77">
        <f>IF(VLOOKUP(A70,Database!$A:$AS,MATCH($C$1,Database!$A$1:$AS$1,0),FALSE)=0,#N/A,VLOOKUP(A70,Database!$A:$AS,MATCH($C$1,Database!$A$1:$AS$1,0),FALSE))</f>
        <v/>
      </c>
      <c r="D70" s="77">
        <f>IF(VLOOKUP(A70,Database!$A:$AS,MATCH($D$1,Database!$A$1:$AS$1,0),FALSE)=0,#N/A,VLOOKUP(A70,Database!$A:$AS,MATCH($D$1,Database!$A$1:$AS$1,0),FALSE))</f>
        <v/>
      </c>
      <c r="E70" s="77">
        <f>IF(VLOOKUP(A70,Database!$A:$AS,MATCH($E$1,Database!$A$1:$AS$1,0),FALSE)=0,#N/A,VLOOKUP(A70,Database!$A:$AS,MATCH($E$1,Database!$A$1:$AS$1,0),FALSE))</f>
        <v/>
      </c>
      <c r="F70" s="77">
        <f>IF(VLOOKUP(A70,Database!$A:$AS,MATCH($F$1,Database!$A$1:$AS$1,0),FALSE)=0,#N/A,VLOOKUP(A70,Database!$A:$AS,MATCH($F$1,Database!$A$1:$AS$1,0),FALSE))</f>
        <v/>
      </c>
      <c r="G70" s="77">
        <f>IF(VLOOKUP(A70,Database!$A:$AS,MATCH($G$1,Database!$A$1:$AS$1,0),FALSE)=0,#N/A,VLOOKUP(A70,Database!$A:$AS,MATCH($G$1,Database!$A$1:$AS$1,0),FALSE))</f>
        <v/>
      </c>
      <c r="H70" s="77">
        <f>(((Table134567891011121314151617343[[#This Row],[ITA]]-VLOOKUP($U$1,A:B,2,))/VLOOKUP($U$1,A:B,2,))*100)+100</f>
        <v/>
      </c>
      <c r="I70" s="77">
        <f>(((Table134567891011121314151617343[[#This Row],[FRA]]-VLOOKUP($U$1,A:C,3,))/VLOOKUP($U$1,A:C,3,))*100)+100</f>
        <v/>
      </c>
      <c r="J70" s="77">
        <f>(((Table134567891011121314151617343[[#This Row],[DEU]]-VLOOKUP($U$1,A:D,4,))/VLOOKUP($U$1,A:D,4,))*100)+100</f>
        <v/>
      </c>
      <c r="K70" s="77">
        <f>(((Table134567891011121314151617343[[#This Row],[ESP]]-VLOOKUP($U$1,A:E,5,))/VLOOKUP($U$1,A:E,5,))*100)+100</f>
        <v/>
      </c>
      <c r="L70" s="77">
        <f>(((Table134567891011121314151617343[[#This Row],[EA19]]-VLOOKUP($U$1,A:F,6,))/VLOOKUP($U$1,A:F,6,))*100)+100</f>
        <v/>
      </c>
      <c r="M70" s="77">
        <f>(((Table134567891011121314151617343[[#This Row],[GBR]]-VLOOKUP($U$1,A:G,7,))/VLOOKUP($U$1,A:G,7,))*100)+100</f>
        <v/>
      </c>
      <c r="N70" s="77">
        <f>IF(VLOOKUP(A70,Database!$A:$AU,MATCH($N$1,Database!$A$1:$AU$1,0),FALSE)=0,#N/A,VLOOKUP(A70,Database!$A:$AU,MATCH($N$1,Database!$A$1:$AU$1,0),FALSE))</f>
        <v/>
      </c>
      <c r="O70" s="77">
        <f>(((Table134567891011121314151617343[[#This Row],[USA]]-VLOOKUP($U$1,A:N,14,))/VLOOKUP($U$1,A:N,14,))*100)+100</f>
        <v/>
      </c>
      <c r="P70" s="77">
        <f>IF(VLOOKUP(A70,Database!$A:$AS,MATCH($P$1,Database!$A$1:$AS$1,0),FALSE)=0,#N/A,VLOOKUP(A70,Database!$A:$AS,MATCH($P$1,Database!$A$1:$AS$1,0),FALSE))</f>
        <v/>
      </c>
      <c r="Q70" s="77">
        <f>(((Table134567891011121314151617343[[#This Row],[JPN]]-VLOOKUP($U$1,A:Q,16,))/VLOOKUP($U$1,A:Q,16,))*100)+100</f>
        <v/>
      </c>
    </row>
    <row r="71" customFormat="1" s="87">
      <c r="A71" s="21" t="n">
        <v>34973</v>
      </c>
      <c r="B71" s="77">
        <f>IF(VLOOKUP(A71,Database!$A:$AS,MATCH($B$1,Database!$A$1:$AS$1,0),FALSE)=0,#N/A,VLOOKUP(A71,Database!$A:$AS,MATCH($B$1,Database!$A$1:$AS$1,0),FALSE))</f>
        <v/>
      </c>
      <c r="C71" s="77">
        <f>IF(VLOOKUP(A71,Database!$A:$AS,MATCH($C$1,Database!$A$1:$AS$1,0),FALSE)=0,#N/A,VLOOKUP(A71,Database!$A:$AS,MATCH($C$1,Database!$A$1:$AS$1,0),FALSE))</f>
        <v/>
      </c>
      <c r="D71" s="77">
        <f>IF(VLOOKUP(A71,Database!$A:$AS,MATCH($D$1,Database!$A$1:$AS$1,0),FALSE)=0,#N/A,VLOOKUP(A71,Database!$A:$AS,MATCH($D$1,Database!$A$1:$AS$1,0),FALSE))</f>
        <v/>
      </c>
      <c r="E71" s="77">
        <f>IF(VLOOKUP(A71,Database!$A:$AS,MATCH($E$1,Database!$A$1:$AS$1,0),FALSE)=0,#N/A,VLOOKUP(A71,Database!$A:$AS,MATCH($E$1,Database!$A$1:$AS$1,0),FALSE))</f>
        <v/>
      </c>
      <c r="F71" s="77">
        <f>IF(VLOOKUP(A71,Database!$A:$AS,MATCH($F$1,Database!$A$1:$AS$1,0),FALSE)=0,#N/A,VLOOKUP(A71,Database!$A:$AS,MATCH($F$1,Database!$A$1:$AS$1,0),FALSE))</f>
        <v/>
      </c>
      <c r="G71" s="77">
        <f>IF(VLOOKUP(A71,Database!$A:$AS,MATCH($G$1,Database!$A$1:$AS$1,0),FALSE)=0,#N/A,VLOOKUP(A71,Database!$A:$AS,MATCH($G$1,Database!$A$1:$AS$1,0),FALSE))</f>
        <v/>
      </c>
      <c r="H71" s="77">
        <f>(((Table134567891011121314151617343[[#This Row],[ITA]]-VLOOKUP($U$1,A:B,2,))/VLOOKUP($U$1,A:B,2,))*100)+100</f>
        <v/>
      </c>
      <c r="I71" s="77">
        <f>(((Table134567891011121314151617343[[#This Row],[FRA]]-VLOOKUP($U$1,A:C,3,))/VLOOKUP($U$1,A:C,3,))*100)+100</f>
        <v/>
      </c>
      <c r="J71" s="77">
        <f>(((Table134567891011121314151617343[[#This Row],[DEU]]-VLOOKUP($U$1,A:D,4,))/VLOOKUP($U$1,A:D,4,))*100)+100</f>
        <v/>
      </c>
      <c r="K71" s="77">
        <f>(((Table134567891011121314151617343[[#This Row],[ESP]]-VLOOKUP($U$1,A:E,5,))/VLOOKUP($U$1,A:E,5,))*100)+100</f>
        <v/>
      </c>
      <c r="L71" s="77">
        <f>(((Table134567891011121314151617343[[#This Row],[EA19]]-VLOOKUP($U$1,A:F,6,))/VLOOKUP($U$1,A:F,6,))*100)+100</f>
        <v/>
      </c>
      <c r="M71" s="77">
        <f>(((Table134567891011121314151617343[[#This Row],[GBR]]-VLOOKUP($U$1,A:G,7,))/VLOOKUP($U$1,A:G,7,))*100)+100</f>
        <v/>
      </c>
      <c r="N71" s="77">
        <f>IF(VLOOKUP(A71,Database!$A:$AU,MATCH($N$1,Database!$A$1:$AU$1,0),FALSE)=0,#N/A,VLOOKUP(A71,Database!$A:$AU,MATCH($N$1,Database!$A$1:$AU$1,0),FALSE))</f>
        <v/>
      </c>
      <c r="O71" s="77">
        <f>(((Table134567891011121314151617343[[#This Row],[USA]]-VLOOKUP($U$1,A:N,14,))/VLOOKUP($U$1,A:N,14,))*100)+100</f>
        <v/>
      </c>
      <c r="P71" s="77">
        <f>IF(VLOOKUP(A71,Database!$A:$AS,MATCH($P$1,Database!$A$1:$AS$1,0),FALSE)=0,#N/A,VLOOKUP(A71,Database!$A:$AS,MATCH($P$1,Database!$A$1:$AS$1,0),FALSE))</f>
        <v/>
      </c>
      <c r="Q71" s="77">
        <f>(((Table134567891011121314151617343[[#This Row],[JPN]]-VLOOKUP($U$1,A:Q,16,))/VLOOKUP($U$1,A:Q,16,))*100)+100</f>
        <v/>
      </c>
    </row>
    <row r="72" customFormat="1" s="87">
      <c r="A72" s="21" t="n">
        <v>35004</v>
      </c>
      <c r="B72" s="77">
        <f>IF(VLOOKUP(A72,Database!$A:$AS,MATCH($B$1,Database!$A$1:$AS$1,0),FALSE)=0,#N/A,VLOOKUP(A72,Database!$A:$AS,MATCH($B$1,Database!$A$1:$AS$1,0),FALSE))</f>
        <v/>
      </c>
      <c r="C72" s="77">
        <f>IF(VLOOKUP(A72,Database!$A:$AS,MATCH($C$1,Database!$A$1:$AS$1,0),FALSE)=0,#N/A,VLOOKUP(A72,Database!$A:$AS,MATCH($C$1,Database!$A$1:$AS$1,0),FALSE))</f>
        <v/>
      </c>
      <c r="D72" s="77">
        <f>IF(VLOOKUP(A72,Database!$A:$AS,MATCH($D$1,Database!$A$1:$AS$1,0),FALSE)=0,#N/A,VLOOKUP(A72,Database!$A:$AS,MATCH($D$1,Database!$A$1:$AS$1,0),FALSE))</f>
        <v/>
      </c>
      <c r="E72" s="77">
        <f>IF(VLOOKUP(A72,Database!$A:$AS,MATCH($E$1,Database!$A$1:$AS$1,0),FALSE)=0,#N/A,VLOOKUP(A72,Database!$A:$AS,MATCH($E$1,Database!$A$1:$AS$1,0),FALSE))</f>
        <v/>
      </c>
      <c r="F72" s="77">
        <f>IF(VLOOKUP(A72,Database!$A:$AS,MATCH($F$1,Database!$A$1:$AS$1,0),FALSE)=0,#N/A,VLOOKUP(A72,Database!$A:$AS,MATCH($F$1,Database!$A$1:$AS$1,0),FALSE))</f>
        <v/>
      </c>
      <c r="G72" s="77">
        <f>IF(VLOOKUP(A72,Database!$A:$AS,MATCH($G$1,Database!$A$1:$AS$1,0),FALSE)=0,#N/A,VLOOKUP(A72,Database!$A:$AS,MATCH($G$1,Database!$A$1:$AS$1,0),FALSE))</f>
        <v/>
      </c>
      <c r="H72" s="77">
        <f>(((Table134567891011121314151617343[[#This Row],[ITA]]-VLOOKUP($U$1,A:B,2,))/VLOOKUP($U$1,A:B,2,))*100)+100</f>
        <v/>
      </c>
      <c r="I72" s="77">
        <f>(((Table134567891011121314151617343[[#This Row],[FRA]]-VLOOKUP($U$1,A:C,3,))/VLOOKUP($U$1,A:C,3,))*100)+100</f>
        <v/>
      </c>
      <c r="J72" s="77">
        <f>(((Table134567891011121314151617343[[#This Row],[DEU]]-VLOOKUP($U$1,A:D,4,))/VLOOKUP($U$1,A:D,4,))*100)+100</f>
        <v/>
      </c>
      <c r="K72" s="77">
        <f>(((Table134567891011121314151617343[[#This Row],[ESP]]-VLOOKUP($U$1,A:E,5,))/VLOOKUP($U$1,A:E,5,))*100)+100</f>
        <v/>
      </c>
      <c r="L72" s="77">
        <f>(((Table134567891011121314151617343[[#This Row],[EA19]]-VLOOKUP($U$1,A:F,6,))/VLOOKUP($U$1,A:F,6,))*100)+100</f>
        <v/>
      </c>
      <c r="M72" s="77">
        <f>(((Table134567891011121314151617343[[#This Row],[GBR]]-VLOOKUP($U$1,A:G,7,))/VLOOKUP($U$1,A:G,7,))*100)+100</f>
        <v/>
      </c>
      <c r="N72" s="77">
        <f>IF(VLOOKUP(A72,Database!$A:$AU,MATCH($N$1,Database!$A$1:$AU$1,0),FALSE)=0,#N/A,VLOOKUP(A72,Database!$A:$AU,MATCH($N$1,Database!$A$1:$AU$1,0),FALSE))</f>
        <v/>
      </c>
      <c r="O72" s="77">
        <f>(((Table134567891011121314151617343[[#This Row],[USA]]-VLOOKUP($U$1,A:N,14,))/VLOOKUP($U$1,A:N,14,))*100)+100</f>
        <v/>
      </c>
      <c r="P72" s="77">
        <f>IF(VLOOKUP(A72,Database!$A:$AS,MATCH($P$1,Database!$A$1:$AS$1,0),FALSE)=0,#N/A,VLOOKUP(A72,Database!$A:$AS,MATCH($P$1,Database!$A$1:$AS$1,0),FALSE))</f>
        <v/>
      </c>
      <c r="Q72" s="77">
        <f>(((Table134567891011121314151617343[[#This Row],[JPN]]-VLOOKUP($U$1,A:Q,16,))/VLOOKUP($U$1,A:Q,16,))*100)+100</f>
        <v/>
      </c>
    </row>
    <row r="73" customFormat="1" s="87">
      <c r="A73" s="21" t="n">
        <v>35034</v>
      </c>
      <c r="B73" s="77">
        <f>IF(VLOOKUP(A73,Database!$A:$AS,MATCH($B$1,Database!$A$1:$AS$1,0),FALSE)=0,#N/A,VLOOKUP(A73,Database!$A:$AS,MATCH($B$1,Database!$A$1:$AS$1,0),FALSE))</f>
        <v/>
      </c>
      <c r="C73" s="77">
        <f>IF(VLOOKUP(A73,Database!$A:$AS,MATCH($C$1,Database!$A$1:$AS$1,0),FALSE)=0,#N/A,VLOOKUP(A73,Database!$A:$AS,MATCH($C$1,Database!$A$1:$AS$1,0),FALSE))</f>
        <v/>
      </c>
      <c r="D73" s="77">
        <f>IF(VLOOKUP(A73,Database!$A:$AS,MATCH($D$1,Database!$A$1:$AS$1,0),FALSE)=0,#N/A,VLOOKUP(A73,Database!$A:$AS,MATCH($D$1,Database!$A$1:$AS$1,0),FALSE))</f>
        <v/>
      </c>
      <c r="E73" s="77">
        <f>IF(VLOOKUP(A73,Database!$A:$AS,MATCH($E$1,Database!$A$1:$AS$1,0),FALSE)=0,#N/A,VLOOKUP(A73,Database!$A:$AS,MATCH($E$1,Database!$A$1:$AS$1,0),FALSE))</f>
        <v/>
      </c>
      <c r="F73" s="77">
        <f>IF(VLOOKUP(A73,Database!$A:$AS,MATCH($F$1,Database!$A$1:$AS$1,0),FALSE)=0,#N/A,VLOOKUP(A73,Database!$A:$AS,MATCH($F$1,Database!$A$1:$AS$1,0),FALSE))</f>
        <v/>
      </c>
      <c r="G73" s="77">
        <f>IF(VLOOKUP(A73,Database!$A:$AS,MATCH($G$1,Database!$A$1:$AS$1,0),FALSE)=0,#N/A,VLOOKUP(A73,Database!$A:$AS,MATCH($G$1,Database!$A$1:$AS$1,0),FALSE))</f>
        <v/>
      </c>
      <c r="H73" s="77">
        <f>(((Table134567891011121314151617343[[#This Row],[ITA]]-VLOOKUP($U$1,A:B,2,))/VLOOKUP($U$1,A:B,2,))*100)+100</f>
        <v/>
      </c>
      <c r="I73" s="77">
        <f>(((Table134567891011121314151617343[[#This Row],[FRA]]-VLOOKUP($U$1,A:C,3,))/VLOOKUP($U$1,A:C,3,))*100)+100</f>
        <v/>
      </c>
      <c r="J73" s="77">
        <f>(((Table134567891011121314151617343[[#This Row],[DEU]]-VLOOKUP($U$1,A:D,4,))/VLOOKUP($U$1,A:D,4,))*100)+100</f>
        <v/>
      </c>
      <c r="K73" s="77">
        <f>(((Table134567891011121314151617343[[#This Row],[ESP]]-VLOOKUP($U$1,A:E,5,))/VLOOKUP($U$1,A:E,5,))*100)+100</f>
        <v/>
      </c>
      <c r="L73" s="77">
        <f>(((Table134567891011121314151617343[[#This Row],[EA19]]-VLOOKUP($U$1,A:F,6,))/VLOOKUP($U$1,A:F,6,))*100)+100</f>
        <v/>
      </c>
      <c r="M73" s="77">
        <f>(((Table134567891011121314151617343[[#This Row],[GBR]]-VLOOKUP($U$1,A:G,7,))/VLOOKUP($U$1,A:G,7,))*100)+100</f>
        <v/>
      </c>
      <c r="N73" s="77">
        <f>IF(VLOOKUP(A73,Database!$A:$AU,MATCH($N$1,Database!$A$1:$AU$1,0),FALSE)=0,#N/A,VLOOKUP(A73,Database!$A:$AU,MATCH($N$1,Database!$A$1:$AU$1,0),FALSE))</f>
        <v/>
      </c>
      <c r="O73" s="77">
        <f>(((Table134567891011121314151617343[[#This Row],[USA]]-VLOOKUP($U$1,A:N,14,))/VLOOKUP($U$1,A:N,14,))*100)+100</f>
        <v/>
      </c>
      <c r="P73" s="77">
        <f>IF(VLOOKUP(A73,Database!$A:$AS,MATCH($P$1,Database!$A$1:$AS$1,0),FALSE)=0,#N/A,VLOOKUP(A73,Database!$A:$AS,MATCH($P$1,Database!$A$1:$AS$1,0),FALSE))</f>
        <v/>
      </c>
      <c r="Q73" s="77">
        <f>(((Table134567891011121314151617343[[#This Row],[JPN]]-VLOOKUP($U$1,A:Q,16,))/VLOOKUP($U$1,A:Q,16,))*100)+100</f>
        <v/>
      </c>
    </row>
    <row r="74" customFormat="1" s="87">
      <c r="A74" s="21" t="n">
        <v>35065</v>
      </c>
      <c r="B74" s="77">
        <f>IF(VLOOKUP(A74,Database!$A:$AS,MATCH($B$1,Database!$A$1:$AS$1,0),FALSE)=0,#N/A,VLOOKUP(A74,Database!$A:$AS,MATCH($B$1,Database!$A$1:$AS$1,0),FALSE))</f>
        <v/>
      </c>
      <c r="C74" s="77">
        <f>IF(VLOOKUP(A74,Database!$A:$AS,MATCH($C$1,Database!$A$1:$AS$1,0),FALSE)=0,#N/A,VLOOKUP(A74,Database!$A:$AS,MATCH($C$1,Database!$A$1:$AS$1,0),FALSE))</f>
        <v/>
      </c>
      <c r="D74" s="77">
        <f>IF(VLOOKUP(A74,Database!$A:$AS,MATCH($D$1,Database!$A$1:$AS$1,0),FALSE)=0,#N/A,VLOOKUP(A74,Database!$A:$AS,MATCH($D$1,Database!$A$1:$AS$1,0),FALSE))</f>
        <v/>
      </c>
      <c r="E74" s="77">
        <f>IF(VLOOKUP(A74,Database!$A:$AS,MATCH($E$1,Database!$A$1:$AS$1,0),FALSE)=0,#N/A,VLOOKUP(A74,Database!$A:$AS,MATCH($E$1,Database!$A$1:$AS$1,0),FALSE))</f>
        <v/>
      </c>
      <c r="F74" s="77">
        <f>IF(VLOOKUP(A74,Database!$A:$AS,MATCH($F$1,Database!$A$1:$AS$1,0),FALSE)=0,#N/A,VLOOKUP(A74,Database!$A:$AS,MATCH($F$1,Database!$A$1:$AS$1,0),FALSE))</f>
        <v/>
      </c>
      <c r="G74" s="77">
        <f>IF(VLOOKUP(A74,Database!$A:$AS,MATCH($G$1,Database!$A$1:$AS$1,0),FALSE)=0,#N/A,VLOOKUP(A74,Database!$A:$AS,MATCH($G$1,Database!$A$1:$AS$1,0),FALSE))</f>
        <v/>
      </c>
      <c r="H74" s="77">
        <f>(((Table134567891011121314151617343[[#This Row],[ITA]]-VLOOKUP($U$1,A:B,2,))/VLOOKUP($U$1,A:B,2,))*100)+100</f>
        <v/>
      </c>
      <c r="I74" s="77">
        <f>(((Table134567891011121314151617343[[#This Row],[FRA]]-VLOOKUP($U$1,A:C,3,))/VLOOKUP($U$1,A:C,3,))*100)+100</f>
        <v/>
      </c>
      <c r="J74" s="77">
        <f>(((Table134567891011121314151617343[[#This Row],[DEU]]-VLOOKUP($U$1,A:D,4,))/VLOOKUP($U$1,A:D,4,))*100)+100</f>
        <v/>
      </c>
      <c r="K74" s="77">
        <f>(((Table134567891011121314151617343[[#This Row],[ESP]]-VLOOKUP($U$1,A:E,5,))/VLOOKUP($U$1,A:E,5,))*100)+100</f>
        <v/>
      </c>
      <c r="L74" s="77">
        <f>(((Table134567891011121314151617343[[#This Row],[EA19]]-VLOOKUP($U$1,A:F,6,))/VLOOKUP($U$1,A:F,6,))*100)+100</f>
        <v/>
      </c>
      <c r="M74" s="77">
        <f>(((Table134567891011121314151617343[[#This Row],[GBR]]-VLOOKUP($U$1,A:G,7,))/VLOOKUP($U$1,A:G,7,))*100)+100</f>
        <v/>
      </c>
      <c r="N74" s="77">
        <f>IF(VLOOKUP(A74,Database!$A:$AU,MATCH($N$1,Database!$A$1:$AU$1,0),FALSE)=0,#N/A,VLOOKUP(A74,Database!$A:$AU,MATCH($N$1,Database!$A$1:$AU$1,0),FALSE))</f>
        <v/>
      </c>
      <c r="O74" s="77">
        <f>(((Table134567891011121314151617343[[#This Row],[USA]]-VLOOKUP($U$1,A:N,14,))/VLOOKUP($U$1,A:N,14,))*100)+100</f>
        <v/>
      </c>
      <c r="P74" s="77">
        <f>IF(VLOOKUP(A74,Database!$A:$AS,MATCH($P$1,Database!$A$1:$AS$1,0),FALSE)=0,#N/A,VLOOKUP(A74,Database!$A:$AS,MATCH($P$1,Database!$A$1:$AS$1,0),FALSE))</f>
        <v/>
      </c>
      <c r="Q74" s="77">
        <f>(((Table134567891011121314151617343[[#This Row],[JPN]]-VLOOKUP($U$1,A:Q,16,))/VLOOKUP($U$1,A:Q,16,))*100)+100</f>
        <v/>
      </c>
    </row>
    <row r="75" customFormat="1" s="87">
      <c r="A75" s="21" t="n">
        <v>35096</v>
      </c>
      <c r="B75" s="77">
        <f>IF(VLOOKUP(A75,Database!$A:$AS,MATCH($B$1,Database!$A$1:$AS$1,0),FALSE)=0,#N/A,VLOOKUP(A75,Database!$A:$AS,MATCH($B$1,Database!$A$1:$AS$1,0),FALSE))</f>
        <v/>
      </c>
      <c r="C75" s="77">
        <f>IF(VLOOKUP(A75,Database!$A:$AS,MATCH($C$1,Database!$A$1:$AS$1,0),FALSE)=0,#N/A,VLOOKUP(A75,Database!$A:$AS,MATCH($C$1,Database!$A$1:$AS$1,0),FALSE))</f>
        <v/>
      </c>
      <c r="D75" s="77">
        <f>IF(VLOOKUP(A75,Database!$A:$AS,MATCH($D$1,Database!$A$1:$AS$1,0),FALSE)=0,#N/A,VLOOKUP(A75,Database!$A:$AS,MATCH($D$1,Database!$A$1:$AS$1,0),FALSE))</f>
        <v/>
      </c>
      <c r="E75" s="77">
        <f>IF(VLOOKUP(A75,Database!$A:$AS,MATCH($E$1,Database!$A$1:$AS$1,0),FALSE)=0,#N/A,VLOOKUP(A75,Database!$A:$AS,MATCH($E$1,Database!$A$1:$AS$1,0),FALSE))</f>
        <v/>
      </c>
      <c r="F75" s="77">
        <f>IF(VLOOKUP(A75,Database!$A:$AS,MATCH($F$1,Database!$A$1:$AS$1,0),FALSE)=0,#N/A,VLOOKUP(A75,Database!$A:$AS,MATCH($F$1,Database!$A$1:$AS$1,0),FALSE))</f>
        <v/>
      </c>
      <c r="G75" s="77">
        <f>IF(VLOOKUP(A75,Database!$A:$AS,MATCH($G$1,Database!$A$1:$AS$1,0),FALSE)=0,#N/A,VLOOKUP(A75,Database!$A:$AS,MATCH($G$1,Database!$A$1:$AS$1,0),FALSE))</f>
        <v/>
      </c>
      <c r="H75" s="77">
        <f>(((Table134567891011121314151617343[[#This Row],[ITA]]-VLOOKUP($U$1,A:B,2,))/VLOOKUP($U$1,A:B,2,))*100)+100</f>
        <v/>
      </c>
      <c r="I75" s="77">
        <f>(((Table134567891011121314151617343[[#This Row],[FRA]]-VLOOKUP($U$1,A:C,3,))/VLOOKUP($U$1,A:C,3,))*100)+100</f>
        <v/>
      </c>
      <c r="J75" s="77">
        <f>(((Table134567891011121314151617343[[#This Row],[DEU]]-VLOOKUP($U$1,A:D,4,))/VLOOKUP($U$1,A:D,4,))*100)+100</f>
        <v/>
      </c>
      <c r="K75" s="77">
        <f>(((Table134567891011121314151617343[[#This Row],[ESP]]-VLOOKUP($U$1,A:E,5,))/VLOOKUP($U$1,A:E,5,))*100)+100</f>
        <v/>
      </c>
      <c r="L75" s="77">
        <f>(((Table134567891011121314151617343[[#This Row],[EA19]]-VLOOKUP($U$1,A:F,6,))/VLOOKUP($U$1,A:F,6,))*100)+100</f>
        <v/>
      </c>
      <c r="M75" s="77">
        <f>(((Table134567891011121314151617343[[#This Row],[GBR]]-VLOOKUP($U$1,A:G,7,))/VLOOKUP($U$1,A:G,7,))*100)+100</f>
        <v/>
      </c>
      <c r="N75" s="77">
        <f>IF(VLOOKUP(A75,Database!$A:$AU,MATCH($N$1,Database!$A$1:$AU$1,0),FALSE)=0,#N/A,VLOOKUP(A75,Database!$A:$AU,MATCH($N$1,Database!$A$1:$AU$1,0),FALSE))</f>
        <v/>
      </c>
      <c r="O75" s="77">
        <f>(((Table134567891011121314151617343[[#This Row],[USA]]-VLOOKUP($U$1,A:N,14,))/VLOOKUP($U$1,A:N,14,))*100)+100</f>
        <v/>
      </c>
      <c r="P75" s="77">
        <f>IF(VLOOKUP(A75,Database!$A:$AS,MATCH($P$1,Database!$A$1:$AS$1,0),FALSE)=0,#N/A,VLOOKUP(A75,Database!$A:$AS,MATCH($P$1,Database!$A$1:$AS$1,0),FALSE))</f>
        <v/>
      </c>
      <c r="Q75" s="77">
        <f>(((Table134567891011121314151617343[[#This Row],[JPN]]-VLOOKUP($U$1,A:Q,16,))/VLOOKUP($U$1,A:Q,16,))*100)+100</f>
        <v/>
      </c>
    </row>
    <row r="76" customFormat="1" s="87">
      <c r="A76" s="21" t="n">
        <v>35125</v>
      </c>
      <c r="B76" s="77">
        <f>IF(VLOOKUP(A76,Database!$A:$AS,MATCH($B$1,Database!$A$1:$AS$1,0),FALSE)=0,#N/A,VLOOKUP(A76,Database!$A:$AS,MATCH($B$1,Database!$A$1:$AS$1,0),FALSE))</f>
        <v/>
      </c>
      <c r="C76" s="77">
        <f>IF(VLOOKUP(A76,Database!$A:$AS,MATCH($C$1,Database!$A$1:$AS$1,0),FALSE)=0,#N/A,VLOOKUP(A76,Database!$A:$AS,MATCH($C$1,Database!$A$1:$AS$1,0),FALSE))</f>
        <v/>
      </c>
      <c r="D76" s="77">
        <f>IF(VLOOKUP(A76,Database!$A:$AS,MATCH($D$1,Database!$A$1:$AS$1,0),FALSE)=0,#N/A,VLOOKUP(A76,Database!$A:$AS,MATCH($D$1,Database!$A$1:$AS$1,0),FALSE))</f>
        <v/>
      </c>
      <c r="E76" s="77">
        <f>IF(VLOOKUP(A76,Database!$A:$AS,MATCH($E$1,Database!$A$1:$AS$1,0),FALSE)=0,#N/A,VLOOKUP(A76,Database!$A:$AS,MATCH($E$1,Database!$A$1:$AS$1,0),FALSE))</f>
        <v/>
      </c>
      <c r="F76" s="77">
        <f>IF(VLOOKUP(A76,Database!$A:$AS,MATCH($F$1,Database!$A$1:$AS$1,0),FALSE)=0,#N/A,VLOOKUP(A76,Database!$A:$AS,MATCH($F$1,Database!$A$1:$AS$1,0),FALSE))</f>
        <v/>
      </c>
      <c r="G76" s="77">
        <f>IF(VLOOKUP(A76,Database!$A:$AS,MATCH($G$1,Database!$A$1:$AS$1,0),FALSE)=0,#N/A,VLOOKUP(A76,Database!$A:$AS,MATCH($G$1,Database!$A$1:$AS$1,0),FALSE))</f>
        <v/>
      </c>
      <c r="H76" s="77">
        <f>(((Table134567891011121314151617343[[#This Row],[ITA]]-VLOOKUP($U$1,A:B,2,))/VLOOKUP($U$1,A:B,2,))*100)+100</f>
        <v/>
      </c>
      <c r="I76" s="77">
        <f>(((Table134567891011121314151617343[[#This Row],[FRA]]-VLOOKUP($U$1,A:C,3,))/VLOOKUP($U$1,A:C,3,))*100)+100</f>
        <v/>
      </c>
      <c r="J76" s="77">
        <f>(((Table134567891011121314151617343[[#This Row],[DEU]]-VLOOKUP($U$1,A:D,4,))/VLOOKUP($U$1,A:D,4,))*100)+100</f>
        <v/>
      </c>
      <c r="K76" s="77">
        <f>(((Table134567891011121314151617343[[#This Row],[ESP]]-VLOOKUP($U$1,A:E,5,))/VLOOKUP($U$1,A:E,5,))*100)+100</f>
        <v/>
      </c>
      <c r="L76" s="77">
        <f>(((Table134567891011121314151617343[[#This Row],[EA19]]-VLOOKUP($U$1,A:F,6,))/VLOOKUP($U$1,A:F,6,))*100)+100</f>
        <v/>
      </c>
      <c r="M76" s="77">
        <f>(((Table134567891011121314151617343[[#This Row],[GBR]]-VLOOKUP($U$1,A:G,7,))/VLOOKUP($U$1,A:G,7,))*100)+100</f>
        <v/>
      </c>
      <c r="N76" s="77">
        <f>IF(VLOOKUP(A76,Database!$A:$AU,MATCH($N$1,Database!$A$1:$AU$1,0),FALSE)=0,#N/A,VLOOKUP(A76,Database!$A:$AU,MATCH($N$1,Database!$A$1:$AU$1,0),FALSE))</f>
        <v/>
      </c>
      <c r="O76" s="77">
        <f>(((Table134567891011121314151617343[[#This Row],[USA]]-VLOOKUP($U$1,A:N,14,))/VLOOKUP($U$1,A:N,14,))*100)+100</f>
        <v/>
      </c>
      <c r="P76" s="77">
        <f>IF(VLOOKUP(A76,Database!$A:$AS,MATCH($P$1,Database!$A$1:$AS$1,0),FALSE)=0,#N/A,VLOOKUP(A76,Database!$A:$AS,MATCH($P$1,Database!$A$1:$AS$1,0),FALSE))</f>
        <v/>
      </c>
      <c r="Q76" s="77">
        <f>(((Table134567891011121314151617343[[#This Row],[JPN]]-VLOOKUP($U$1,A:Q,16,))/VLOOKUP($U$1,A:Q,16,))*100)+100</f>
        <v/>
      </c>
    </row>
    <row r="77" customFormat="1" s="87">
      <c r="A77" s="21" t="n">
        <v>35156</v>
      </c>
      <c r="B77" s="77">
        <f>IF(VLOOKUP(A77,Database!$A:$AS,MATCH($B$1,Database!$A$1:$AS$1,0),FALSE)=0,#N/A,VLOOKUP(A77,Database!$A:$AS,MATCH($B$1,Database!$A$1:$AS$1,0),FALSE))</f>
        <v/>
      </c>
      <c r="C77" s="77">
        <f>IF(VLOOKUP(A77,Database!$A:$AS,MATCH($C$1,Database!$A$1:$AS$1,0),FALSE)=0,#N/A,VLOOKUP(A77,Database!$A:$AS,MATCH($C$1,Database!$A$1:$AS$1,0),FALSE))</f>
        <v/>
      </c>
      <c r="D77" s="77">
        <f>IF(VLOOKUP(A77,Database!$A:$AS,MATCH($D$1,Database!$A$1:$AS$1,0),FALSE)=0,#N/A,VLOOKUP(A77,Database!$A:$AS,MATCH($D$1,Database!$A$1:$AS$1,0),FALSE))</f>
        <v/>
      </c>
      <c r="E77" s="77">
        <f>IF(VLOOKUP(A77,Database!$A:$AS,MATCH($E$1,Database!$A$1:$AS$1,0),FALSE)=0,#N/A,VLOOKUP(A77,Database!$A:$AS,MATCH($E$1,Database!$A$1:$AS$1,0),FALSE))</f>
        <v/>
      </c>
      <c r="F77" s="77">
        <f>IF(VLOOKUP(A77,Database!$A:$AS,MATCH($F$1,Database!$A$1:$AS$1,0),FALSE)=0,#N/A,VLOOKUP(A77,Database!$A:$AS,MATCH($F$1,Database!$A$1:$AS$1,0),FALSE))</f>
        <v/>
      </c>
      <c r="G77" s="77">
        <f>IF(VLOOKUP(A77,Database!$A:$AS,MATCH($G$1,Database!$A$1:$AS$1,0),FALSE)=0,#N/A,VLOOKUP(A77,Database!$A:$AS,MATCH($G$1,Database!$A$1:$AS$1,0),FALSE))</f>
        <v/>
      </c>
      <c r="H77" s="77">
        <f>(((Table134567891011121314151617343[[#This Row],[ITA]]-VLOOKUP($U$1,A:B,2,))/VLOOKUP($U$1,A:B,2,))*100)+100</f>
        <v/>
      </c>
      <c r="I77" s="77">
        <f>(((Table134567891011121314151617343[[#This Row],[FRA]]-VLOOKUP($U$1,A:C,3,))/VLOOKUP($U$1,A:C,3,))*100)+100</f>
        <v/>
      </c>
      <c r="J77" s="77">
        <f>(((Table134567891011121314151617343[[#This Row],[DEU]]-VLOOKUP($U$1,A:D,4,))/VLOOKUP($U$1,A:D,4,))*100)+100</f>
        <v/>
      </c>
      <c r="K77" s="77">
        <f>(((Table134567891011121314151617343[[#This Row],[ESP]]-VLOOKUP($U$1,A:E,5,))/VLOOKUP($U$1,A:E,5,))*100)+100</f>
        <v/>
      </c>
      <c r="L77" s="77">
        <f>(((Table134567891011121314151617343[[#This Row],[EA19]]-VLOOKUP($U$1,A:F,6,))/VLOOKUP($U$1,A:F,6,))*100)+100</f>
        <v/>
      </c>
      <c r="M77" s="77">
        <f>(((Table134567891011121314151617343[[#This Row],[GBR]]-VLOOKUP($U$1,A:G,7,))/VLOOKUP($U$1,A:G,7,))*100)+100</f>
        <v/>
      </c>
      <c r="N77" s="77">
        <f>IF(VLOOKUP(A77,Database!$A:$AU,MATCH($N$1,Database!$A$1:$AU$1,0),FALSE)=0,#N/A,VLOOKUP(A77,Database!$A:$AU,MATCH($N$1,Database!$A$1:$AU$1,0),FALSE))</f>
        <v/>
      </c>
      <c r="O77" s="77">
        <f>(((Table134567891011121314151617343[[#This Row],[USA]]-VLOOKUP($U$1,A:N,14,))/VLOOKUP($U$1,A:N,14,))*100)+100</f>
        <v/>
      </c>
      <c r="P77" s="77">
        <f>IF(VLOOKUP(A77,Database!$A:$AS,MATCH($P$1,Database!$A$1:$AS$1,0),FALSE)=0,#N/A,VLOOKUP(A77,Database!$A:$AS,MATCH($P$1,Database!$A$1:$AS$1,0),FALSE))</f>
        <v/>
      </c>
      <c r="Q77" s="77">
        <f>(((Table134567891011121314151617343[[#This Row],[JPN]]-VLOOKUP($U$1,A:Q,16,))/VLOOKUP($U$1,A:Q,16,))*100)+100</f>
        <v/>
      </c>
    </row>
    <row r="78" customFormat="1" s="87">
      <c r="A78" s="21" t="n">
        <v>35186</v>
      </c>
      <c r="B78" s="77">
        <f>IF(VLOOKUP(A78,Database!$A:$AS,MATCH($B$1,Database!$A$1:$AS$1,0),FALSE)=0,#N/A,VLOOKUP(A78,Database!$A:$AS,MATCH($B$1,Database!$A$1:$AS$1,0),FALSE))</f>
        <v/>
      </c>
      <c r="C78" s="77">
        <f>IF(VLOOKUP(A78,Database!$A:$AS,MATCH($C$1,Database!$A$1:$AS$1,0),FALSE)=0,#N/A,VLOOKUP(A78,Database!$A:$AS,MATCH($C$1,Database!$A$1:$AS$1,0),FALSE))</f>
        <v/>
      </c>
      <c r="D78" s="77">
        <f>IF(VLOOKUP(A78,Database!$A:$AS,MATCH($D$1,Database!$A$1:$AS$1,0),FALSE)=0,#N/A,VLOOKUP(A78,Database!$A:$AS,MATCH($D$1,Database!$A$1:$AS$1,0),FALSE))</f>
        <v/>
      </c>
      <c r="E78" s="77">
        <f>IF(VLOOKUP(A78,Database!$A:$AS,MATCH($E$1,Database!$A$1:$AS$1,0),FALSE)=0,#N/A,VLOOKUP(A78,Database!$A:$AS,MATCH($E$1,Database!$A$1:$AS$1,0),FALSE))</f>
        <v/>
      </c>
      <c r="F78" s="77">
        <f>IF(VLOOKUP(A78,Database!$A:$AS,MATCH($F$1,Database!$A$1:$AS$1,0),FALSE)=0,#N/A,VLOOKUP(A78,Database!$A:$AS,MATCH($F$1,Database!$A$1:$AS$1,0),FALSE))</f>
        <v/>
      </c>
      <c r="G78" s="77">
        <f>IF(VLOOKUP(A78,Database!$A:$AS,MATCH($G$1,Database!$A$1:$AS$1,0),FALSE)=0,#N/A,VLOOKUP(A78,Database!$A:$AS,MATCH($G$1,Database!$A$1:$AS$1,0),FALSE))</f>
        <v/>
      </c>
      <c r="H78" s="77">
        <f>(((Table134567891011121314151617343[[#This Row],[ITA]]-VLOOKUP($U$1,A:B,2,))/VLOOKUP($U$1,A:B,2,))*100)+100</f>
        <v/>
      </c>
      <c r="I78" s="77">
        <f>(((Table134567891011121314151617343[[#This Row],[FRA]]-VLOOKUP($U$1,A:C,3,))/VLOOKUP($U$1,A:C,3,))*100)+100</f>
        <v/>
      </c>
      <c r="J78" s="77">
        <f>(((Table134567891011121314151617343[[#This Row],[DEU]]-VLOOKUP($U$1,A:D,4,))/VLOOKUP($U$1,A:D,4,))*100)+100</f>
        <v/>
      </c>
      <c r="K78" s="77">
        <f>(((Table134567891011121314151617343[[#This Row],[ESP]]-VLOOKUP($U$1,A:E,5,))/VLOOKUP($U$1,A:E,5,))*100)+100</f>
        <v/>
      </c>
      <c r="L78" s="77">
        <f>(((Table134567891011121314151617343[[#This Row],[EA19]]-VLOOKUP($U$1,A:F,6,))/VLOOKUP($U$1,A:F,6,))*100)+100</f>
        <v/>
      </c>
      <c r="M78" s="77">
        <f>(((Table134567891011121314151617343[[#This Row],[GBR]]-VLOOKUP($U$1,A:G,7,))/VLOOKUP($U$1,A:G,7,))*100)+100</f>
        <v/>
      </c>
      <c r="N78" s="77">
        <f>IF(VLOOKUP(A78,Database!$A:$AU,MATCH($N$1,Database!$A$1:$AU$1,0),FALSE)=0,#N/A,VLOOKUP(A78,Database!$A:$AU,MATCH($N$1,Database!$A$1:$AU$1,0),FALSE))</f>
        <v/>
      </c>
      <c r="O78" s="77">
        <f>(((Table134567891011121314151617343[[#This Row],[USA]]-VLOOKUP($U$1,A:N,14,))/VLOOKUP($U$1,A:N,14,))*100)+100</f>
        <v/>
      </c>
      <c r="P78" s="77">
        <f>IF(VLOOKUP(A78,Database!$A:$AS,MATCH($P$1,Database!$A$1:$AS$1,0),FALSE)=0,#N/A,VLOOKUP(A78,Database!$A:$AS,MATCH($P$1,Database!$A$1:$AS$1,0),FALSE))</f>
        <v/>
      </c>
      <c r="Q78" s="77">
        <f>(((Table134567891011121314151617343[[#This Row],[JPN]]-VLOOKUP($U$1,A:Q,16,))/VLOOKUP($U$1,A:Q,16,))*100)+100</f>
        <v/>
      </c>
    </row>
    <row r="79" customFormat="1" s="87">
      <c r="A79" s="21" t="n">
        <v>35217</v>
      </c>
      <c r="B79" s="77">
        <f>IF(VLOOKUP(A79,Database!$A:$AS,MATCH($B$1,Database!$A$1:$AS$1,0),FALSE)=0,#N/A,VLOOKUP(A79,Database!$A:$AS,MATCH($B$1,Database!$A$1:$AS$1,0),FALSE))</f>
        <v/>
      </c>
      <c r="C79" s="77">
        <f>IF(VLOOKUP(A79,Database!$A:$AS,MATCH($C$1,Database!$A$1:$AS$1,0),FALSE)=0,#N/A,VLOOKUP(A79,Database!$A:$AS,MATCH($C$1,Database!$A$1:$AS$1,0),FALSE))</f>
        <v/>
      </c>
      <c r="D79" s="77">
        <f>IF(VLOOKUP(A79,Database!$A:$AS,MATCH($D$1,Database!$A$1:$AS$1,0),FALSE)=0,#N/A,VLOOKUP(A79,Database!$A:$AS,MATCH($D$1,Database!$A$1:$AS$1,0),FALSE))</f>
        <v/>
      </c>
      <c r="E79" s="77">
        <f>IF(VLOOKUP(A79,Database!$A:$AS,MATCH($E$1,Database!$A$1:$AS$1,0),FALSE)=0,#N/A,VLOOKUP(A79,Database!$A:$AS,MATCH($E$1,Database!$A$1:$AS$1,0),FALSE))</f>
        <v/>
      </c>
      <c r="F79" s="77">
        <f>IF(VLOOKUP(A79,Database!$A:$AS,MATCH($F$1,Database!$A$1:$AS$1,0),FALSE)=0,#N/A,VLOOKUP(A79,Database!$A:$AS,MATCH($F$1,Database!$A$1:$AS$1,0),FALSE))</f>
        <v/>
      </c>
      <c r="G79" s="77">
        <f>IF(VLOOKUP(A79,Database!$A:$AS,MATCH($G$1,Database!$A$1:$AS$1,0),FALSE)=0,#N/A,VLOOKUP(A79,Database!$A:$AS,MATCH($G$1,Database!$A$1:$AS$1,0),FALSE))</f>
        <v/>
      </c>
      <c r="H79" s="77">
        <f>(((Table134567891011121314151617343[[#This Row],[ITA]]-VLOOKUP($U$1,A:B,2,))/VLOOKUP($U$1,A:B,2,))*100)+100</f>
        <v/>
      </c>
      <c r="I79" s="77">
        <f>(((Table134567891011121314151617343[[#This Row],[FRA]]-VLOOKUP($U$1,A:C,3,))/VLOOKUP($U$1,A:C,3,))*100)+100</f>
        <v/>
      </c>
      <c r="J79" s="77">
        <f>(((Table134567891011121314151617343[[#This Row],[DEU]]-VLOOKUP($U$1,A:D,4,))/VLOOKUP($U$1,A:D,4,))*100)+100</f>
        <v/>
      </c>
      <c r="K79" s="77">
        <f>(((Table134567891011121314151617343[[#This Row],[ESP]]-VLOOKUP($U$1,A:E,5,))/VLOOKUP($U$1,A:E,5,))*100)+100</f>
        <v/>
      </c>
      <c r="L79" s="77">
        <f>(((Table134567891011121314151617343[[#This Row],[EA19]]-VLOOKUP($U$1,A:F,6,))/VLOOKUP($U$1,A:F,6,))*100)+100</f>
        <v/>
      </c>
      <c r="M79" s="77">
        <f>(((Table134567891011121314151617343[[#This Row],[GBR]]-VLOOKUP($U$1,A:G,7,))/VLOOKUP($U$1,A:G,7,))*100)+100</f>
        <v/>
      </c>
      <c r="N79" s="77">
        <f>IF(VLOOKUP(A79,Database!$A:$AU,MATCH($N$1,Database!$A$1:$AU$1,0),FALSE)=0,#N/A,VLOOKUP(A79,Database!$A:$AU,MATCH($N$1,Database!$A$1:$AU$1,0),FALSE))</f>
        <v/>
      </c>
      <c r="O79" s="77">
        <f>(((Table134567891011121314151617343[[#This Row],[USA]]-VLOOKUP($U$1,A:N,14,))/VLOOKUP($U$1,A:N,14,))*100)+100</f>
        <v/>
      </c>
      <c r="P79" s="77">
        <f>IF(VLOOKUP(A79,Database!$A:$AS,MATCH($P$1,Database!$A$1:$AS$1,0),FALSE)=0,#N/A,VLOOKUP(A79,Database!$A:$AS,MATCH($P$1,Database!$A$1:$AS$1,0),FALSE))</f>
        <v/>
      </c>
      <c r="Q79" s="77">
        <f>(((Table134567891011121314151617343[[#This Row],[JPN]]-VLOOKUP($U$1,A:Q,16,))/VLOOKUP($U$1,A:Q,16,))*100)+100</f>
        <v/>
      </c>
    </row>
    <row r="80" customFormat="1" s="87">
      <c r="A80" s="21" t="n">
        <v>35247</v>
      </c>
      <c r="B80" s="77">
        <f>IF(VLOOKUP(A80,Database!$A:$AS,MATCH($B$1,Database!$A$1:$AS$1,0),FALSE)=0,#N/A,VLOOKUP(A80,Database!$A:$AS,MATCH($B$1,Database!$A$1:$AS$1,0),FALSE))</f>
        <v/>
      </c>
      <c r="C80" s="77">
        <f>IF(VLOOKUP(A80,Database!$A:$AS,MATCH($C$1,Database!$A$1:$AS$1,0),FALSE)=0,#N/A,VLOOKUP(A80,Database!$A:$AS,MATCH($C$1,Database!$A$1:$AS$1,0),FALSE))</f>
        <v/>
      </c>
      <c r="D80" s="77">
        <f>IF(VLOOKUP(A80,Database!$A:$AS,MATCH($D$1,Database!$A$1:$AS$1,0),FALSE)=0,#N/A,VLOOKUP(A80,Database!$A:$AS,MATCH($D$1,Database!$A$1:$AS$1,0),FALSE))</f>
        <v/>
      </c>
      <c r="E80" s="77">
        <f>IF(VLOOKUP(A80,Database!$A:$AS,MATCH($E$1,Database!$A$1:$AS$1,0),FALSE)=0,#N/A,VLOOKUP(A80,Database!$A:$AS,MATCH($E$1,Database!$A$1:$AS$1,0),FALSE))</f>
        <v/>
      </c>
      <c r="F80" s="77">
        <f>IF(VLOOKUP(A80,Database!$A:$AS,MATCH($F$1,Database!$A$1:$AS$1,0),FALSE)=0,#N/A,VLOOKUP(A80,Database!$A:$AS,MATCH($F$1,Database!$A$1:$AS$1,0),FALSE))</f>
        <v/>
      </c>
      <c r="G80" s="77">
        <f>IF(VLOOKUP(A80,Database!$A:$AS,MATCH($G$1,Database!$A$1:$AS$1,0),FALSE)=0,#N/A,VLOOKUP(A80,Database!$A:$AS,MATCH($G$1,Database!$A$1:$AS$1,0),FALSE))</f>
        <v/>
      </c>
      <c r="H80" s="77">
        <f>(((Table134567891011121314151617343[[#This Row],[ITA]]-VLOOKUP($U$1,A:B,2,))/VLOOKUP($U$1,A:B,2,))*100)+100</f>
        <v/>
      </c>
      <c r="I80" s="77">
        <f>(((Table134567891011121314151617343[[#This Row],[FRA]]-VLOOKUP($U$1,A:C,3,))/VLOOKUP($U$1,A:C,3,))*100)+100</f>
        <v/>
      </c>
      <c r="J80" s="77">
        <f>(((Table134567891011121314151617343[[#This Row],[DEU]]-VLOOKUP($U$1,A:D,4,))/VLOOKUP($U$1,A:D,4,))*100)+100</f>
        <v/>
      </c>
      <c r="K80" s="77">
        <f>(((Table134567891011121314151617343[[#This Row],[ESP]]-VLOOKUP($U$1,A:E,5,))/VLOOKUP($U$1,A:E,5,))*100)+100</f>
        <v/>
      </c>
      <c r="L80" s="77">
        <f>(((Table134567891011121314151617343[[#This Row],[EA19]]-VLOOKUP($U$1,A:F,6,))/VLOOKUP($U$1,A:F,6,))*100)+100</f>
        <v/>
      </c>
      <c r="M80" s="77">
        <f>(((Table134567891011121314151617343[[#This Row],[GBR]]-VLOOKUP($U$1,A:G,7,))/VLOOKUP($U$1,A:G,7,))*100)+100</f>
        <v/>
      </c>
      <c r="N80" s="77">
        <f>IF(VLOOKUP(A80,Database!$A:$AU,MATCH($N$1,Database!$A$1:$AU$1,0),FALSE)=0,#N/A,VLOOKUP(A80,Database!$A:$AU,MATCH($N$1,Database!$A$1:$AU$1,0),FALSE))</f>
        <v/>
      </c>
      <c r="O80" s="77">
        <f>(((Table134567891011121314151617343[[#This Row],[USA]]-VLOOKUP($U$1,A:N,14,))/VLOOKUP($U$1,A:N,14,))*100)+100</f>
        <v/>
      </c>
      <c r="P80" s="77">
        <f>IF(VLOOKUP(A80,Database!$A:$AS,MATCH($P$1,Database!$A$1:$AS$1,0),FALSE)=0,#N/A,VLOOKUP(A80,Database!$A:$AS,MATCH($P$1,Database!$A$1:$AS$1,0),FALSE))</f>
        <v/>
      </c>
      <c r="Q80" s="77">
        <f>(((Table134567891011121314151617343[[#This Row],[JPN]]-VLOOKUP($U$1,A:Q,16,))/VLOOKUP($U$1,A:Q,16,))*100)+100</f>
        <v/>
      </c>
    </row>
    <row r="81" customFormat="1" s="87">
      <c r="A81" s="21" t="n">
        <v>35278</v>
      </c>
      <c r="B81" s="77">
        <f>IF(VLOOKUP(A81,Database!$A:$AS,MATCH($B$1,Database!$A$1:$AS$1,0),FALSE)=0,#N/A,VLOOKUP(A81,Database!$A:$AS,MATCH($B$1,Database!$A$1:$AS$1,0),FALSE))</f>
        <v/>
      </c>
      <c r="C81" s="77">
        <f>IF(VLOOKUP(A81,Database!$A:$AS,MATCH($C$1,Database!$A$1:$AS$1,0),FALSE)=0,#N/A,VLOOKUP(A81,Database!$A:$AS,MATCH($C$1,Database!$A$1:$AS$1,0),FALSE))</f>
        <v/>
      </c>
      <c r="D81" s="77">
        <f>IF(VLOOKUP(A81,Database!$A:$AS,MATCH($D$1,Database!$A$1:$AS$1,0),FALSE)=0,#N/A,VLOOKUP(A81,Database!$A:$AS,MATCH($D$1,Database!$A$1:$AS$1,0),FALSE))</f>
        <v/>
      </c>
      <c r="E81" s="77">
        <f>IF(VLOOKUP(A81,Database!$A:$AS,MATCH($E$1,Database!$A$1:$AS$1,0),FALSE)=0,#N/A,VLOOKUP(A81,Database!$A:$AS,MATCH($E$1,Database!$A$1:$AS$1,0),FALSE))</f>
        <v/>
      </c>
      <c r="F81" s="77">
        <f>IF(VLOOKUP(A81,Database!$A:$AS,MATCH($F$1,Database!$A$1:$AS$1,0),FALSE)=0,#N/A,VLOOKUP(A81,Database!$A:$AS,MATCH($F$1,Database!$A$1:$AS$1,0),FALSE))</f>
        <v/>
      </c>
      <c r="G81" s="77">
        <f>IF(VLOOKUP(A81,Database!$A:$AS,MATCH($G$1,Database!$A$1:$AS$1,0),FALSE)=0,#N/A,VLOOKUP(A81,Database!$A:$AS,MATCH($G$1,Database!$A$1:$AS$1,0),FALSE))</f>
        <v/>
      </c>
      <c r="H81" s="77">
        <f>(((Table134567891011121314151617343[[#This Row],[ITA]]-VLOOKUP($U$1,A:B,2,))/VLOOKUP($U$1,A:B,2,))*100)+100</f>
        <v/>
      </c>
      <c r="I81" s="77">
        <f>(((Table134567891011121314151617343[[#This Row],[FRA]]-VLOOKUP($U$1,A:C,3,))/VLOOKUP($U$1,A:C,3,))*100)+100</f>
        <v/>
      </c>
      <c r="J81" s="77">
        <f>(((Table134567891011121314151617343[[#This Row],[DEU]]-VLOOKUP($U$1,A:D,4,))/VLOOKUP($U$1,A:D,4,))*100)+100</f>
        <v/>
      </c>
      <c r="K81" s="77">
        <f>(((Table134567891011121314151617343[[#This Row],[ESP]]-VLOOKUP($U$1,A:E,5,))/VLOOKUP($U$1,A:E,5,))*100)+100</f>
        <v/>
      </c>
      <c r="L81" s="77">
        <f>(((Table134567891011121314151617343[[#This Row],[EA19]]-VLOOKUP($U$1,A:F,6,))/VLOOKUP($U$1,A:F,6,))*100)+100</f>
        <v/>
      </c>
      <c r="M81" s="77">
        <f>(((Table134567891011121314151617343[[#This Row],[GBR]]-VLOOKUP($U$1,A:G,7,))/VLOOKUP($U$1,A:G,7,))*100)+100</f>
        <v/>
      </c>
      <c r="N81" s="77">
        <f>IF(VLOOKUP(A81,Database!$A:$AU,MATCH($N$1,Database!$A$1:$AU$1,0),FALSE)=0,#N/A,VLOOKUP(A81,Database!$A:$AU,MATCH($N$1,Database!$A$1:$AU$1,0),FALSE))</f>
        <v/>
      </c>
      <c r="O81" s="77">
        <f>(((Table134567891011121314151617343[[#This Row],[USA]]-VLOOKUP($U$1,A:N,14,))/VLOOKUP($U$1,A:N,14,))*100)+100</f>
        <v/>
      </c>
      <c r="P81" s="77">
        <f>IF(VLOOKUP(A81,Database!$A:$AS,MATCH($P$1,Database!$A$1:$AS$1,0),FALSE)=0,#N/A,VLOOKUP(A81,Database!$A:$AS,MATCH($P$1,Database!$A$1:$AS$1,0),FALSE))</f>
        <v/>
      </c>
      <c r="Q81" s="77">
        <f>(((Table134567891011121314151617343[[#This Row],[JPN]]-VLOOKUP($U$1,A:Q,16,))/VLOOKUP($U$1,A:Q,16,))*100)+100</f>
        <v/>
      </c>
    </row>
    <row r="82" customFormat="1" s="87">
      <c r="A82" s="21" t="n">
        <v>35309</v>
      </c>
      <c r="B82" s="77">
        <f>IF(VLOOKUP(A82,Database!$A:$AS,MATCH($B$1,Database!$A$1:$AS$1,0),FALSE)=0,#N/A,VLOOKUP(A82,Database!$A:$AS,MATCH($B$1,Database!$A$1:$AS$1,0),FALSE))</f>
        <v/>
      </c>
      <c r="C82" s="77">
        <f>IF(VLOOKUP(A82,Database!$A:$AS,MATCH($C$1,Database!$A$1:$AS$1,0),FALSE)=0,#N/A,VLOOKUP(A82,Database!$A:$AS,MATCH($C$1,Database!$A$1:$AS$1,0),FALSE))</f>
        <v/>
      </c>
      <c r="D82" s="77">
        <f>IF(VLOOKUP(A82,Database!$A:$AS,MATCH($D$1,Database!$A$1:$AS$1,0),FALSE)=0,#N/A,VLOOKUP(A82,Database!$A:$AS,MATCH($D$1,Database!$A$1:$AS$1,0),FALSE))</f>
        <v/>
      </c>
      <c r="E82" s="77">
        <f>IF(VLOOKUP(A82,Database!$A:$AS,MATCH($E$1,Database!$A$1:$AS$1,0),FALSE)=0,#N/A,VLOOKUP(A82,Database!$A:$AS,MATCH($E$1,Database!$A$1:$AS$1,0),FALSE))</f>
        <v/>
      </c>
      <c r="F82" s="77">
        <f>IF(VLOOKUP(A82,Database!$A:$AS,MATCH($F$1,Database!$A$1:$AS$1,0),FALSE)=0,#N/A,VLOOKUP(A82,Database!$A:$AS,MATCH($F$1,Database!$A$1:$AS$1,0),FALSE))</f>
        <v/>
      </c>
      <c r="G82" s="77">
        <f>IF(VLOOKUP(A82,Database!$A:$AS,MATCH($G$1,Database!$A$1:$AS$1,0),FALSE)=0,#N/A,VLOOKUP(A82,Database!$A:$AS,MATCH($G$1,Database!$A$1:$AS$1,0),FALSE))</f>
        <v/>
      </c>
      <c r="H82" s="77">
        <f>(((Table134567891011121314151617343[[#This Row],[ITA]]-VLOOKUP($U$1,A:B,2,))/VLOOKUP($U$1,A:B,2,))*100)+100</f>
        <v/>
      </c>
      <c r="I82" s="77">
        <f>(((Table134567891011121314151617343[[#This Row],[FRA]]-VLOOKUP($U$1,A:C,3,))/VLOOKUP($U$1,A:C,3,))*100)+100</f>
        <v/>
      </c>
      <c r="J82" s="77">
        <f>(((Table134567891011121314151617343[[#This Row],[DEU]]-VLOOKUP($U$1,A:D,4,))/VLOOKUP($U$1,A:D,4,))*100)+100</f>
        <v/>
      </c>
      <c r="K82" s="77">
        <f>(((Table134567891011121314151617343[[#This Row],[ESP]]-VLOOKUP($U$1,A:E,5,))/VLOOKUP($U$1,A:E,5,))*100)+100</f>
        <v/>
      </c>
      <c r="L82" s="77">
        <f>(((Table134567891011121314151617343[[#This Row],[EA19]]-VLOOKUP($U$1,A:F,6,))/VLOOKUP($U$1,A:F,6,))*100)+100</f>
        <v/>
      </c>
      <c r="M82" s="77">
        <f>(((Table134567891011121314151617343[[#This Row],[GBR]]-VLOOKUP($U$1,A:G,7,))/VLOOKUP($U$1,A:G,7,))*100)+100</f>
        <v/>
      </c>
      <c r="N82" s="77">
        <f>IF(VLOOKUP(A82,Database!$A:$AU,MATCH($N$1,Database!$A$1:$AU$1,0),FALSE)=0,#N/A,VLOOKUP(A82,Database!$A:$AU,MATCH($N$1,Database!$A$1:$AU$1,0),FALSE))</f>
        <v/>
      </c>
      <c r="O82" s="77">
        <f>(((Table134567891011121314151617343[[#This Row],[USA]]-VLOOKUP($U$1,A:N,14,))/VLOOKUP($U$1,A:N,14,))*100)+100</f>
        <v/>
      </c>
      <c r="P82" s="77">
        <f>IF(VLOOKUP(A82,Database!$A:$AS,MATCH($P$1,Database!$A$1:$AS$1,0),FALSE)=0,#N/A,VLOOKUP(A82,Database!$A:$AS,MATCH($P$1,Database!$A$1:$AS$1,0),FALSE))</f>
        <v/>
      </c>
      <c r="Q82" s="77">
        <f>(((Table134567891011121314151617343[[#This Row],[JPN]]-VLOOKUP($U$1,A:Q,16,))/VLOOKUP($U$1,A:Q,16,))*100)+100</f>
        <v/>
      </c>
    </row>
    <row r="83" customFormat="1" s="87">
      <c r="A83" s="21" t="n">
        <v>35339</v>
      </c>
      <c r="B83" s="77">
        <f>IF(VLOOKUP(A83,Database!$A:$AS,MATCH($B$1,Database!$A$1:$AS$1,0),FALSE)=0,#N/A,VLOOKUP(A83,Database!$A:$AS,MATCH($B$1,Database!$A$1:$AS$1,0),FALSE))</f>
        <v/>
      </c>
      <c r="C83" s="77">
        <f>IF(VLOOKUP(A83,Database!$A:$AS,MATCH($C$1,Database!$A$1:$AS$1,0),FALSE)=0,#N/A,VLOOKUP(A83,Database!$A:$AS,MATCH($C$1,Database!$A$1:$AS$1,0),FALSE))</f>
        <v/>
      </c>
      <c r="D83" s="77">
        <f>IF(VLOOKUP(A83,Database!$A:$AS,MATCH($D$1,Database!$A$1:$AS$1,0),FALSE)=0,#N/A,VLOOKUP(A83,Database!$A:$AS,MATCH($D$1,Database!$A$1:$AS$1,0),FALSE))</f>
        <v/>
      </c>
      <c r="E83" s="77">
        <f>IF(VLOOKUP(A83,Database!$A:$AS,MATCH($E$1,Database!$A$1:$AS$1,0),FALSE)=0,#N/A,VLOOKUP(A83,Database!$A:$AS,MATCH($E$1,Database!$A$1:$AS$1,0),FALSE))</f>
        <v/>
      </c>
      <c r="F83" s="77">
        <f>IF(VLOOKUP(A83,Database!$A:$AS,MATCH($F$1,Database!$A$1:$AS$1,0),FALSE)=0,#N/A,VLOOKUP(A83,Database!$A:$AS,MATCH($F$1,Database!$A$1:$AS$1,0),FALSE))</f>
        <v/>
      </c>
      <c r="G83" s="77">
        <f>IF(VLOOKUP(A83,Database!$A:$AS,MATCH($G$1,Database!$A$1:$AS$1,0),FALSE)=0,#N/A,VLOOKUP(A83,Database!$A:$AS,MATCH($G$1,Database!$A$1:$AS$1,0),FALSE))</f>
        <v/>
      </c>
      <c r="H83" s="77">
        <f>(((Table134567891011121314151617343[[#This Row],[ITA]]-VLOOKUP($U$1,A:B,2,))/VLOOKUP($U$1,A:B,2,))*100)+100</f>
        <v/>
      </c>
      <c r="I83" s="77">
        <f>(((Table134567891011121314151617343[[#This Row],[FRA]]-VLOOKUP($U$1,A:C,3,))/VLOOKUP($U$1,A:C,3,))*100)+100</f>
        <v/>
      </c>
      <c r="J83" s="77">
        <f>(((Table134567891011121314151617343[[#This Row],[DEU]]-VLOOKUP($U$1,A:D,4,))/VLOOKUP($U$1,A:D,4,))*100)+100</f>
        <v/>
      </c>
      <c r="K83" s="77">
        <f>(((Table134567891011121314151617343[[#This Row],[ESP]]-VLOOKUP($U$1,A:E,5,))/VLOOKUP($U$1,A:E,5,))*100)+100</f>
        <v/>
      </c>
      <c r="L83" s="77">
        <f>(((Table134567891011121314151617343[[#This Row],[EA19]]-VLOOKUP($U$1,A:F,6,))/VLOOKUP($U$1,A:F,6,))*100)+100</f>
        <v/>
      </c>
      <c r="M83" s="77">
        <f>(((Table134567891011121314151617343[[#This Row],[GBR]]-VLOOKUP($U$1,A:G,7,))/VLOOKUP($U$1,A:G,7,))*100)+100</f>
        <v/>
      </c>
      <c r="N83" s="77">
        <f>IF(VLOOKUP(A83,Database!$A:$AU,MATCH($N$1,Database!$A$1:$AU$1,0),FALSE)=0,#N/A,VLOOKUP(A83,Database!$A:$AU,MATCH($N$1,Database!$A$1:$AU$1,0),FALSE))</f>
        <v/>
      </c>
      <c r="O83" s="77">
        <f>(((Table134567891011121314151617343[[#This Row],[USA]]-VLOOKUP($U$1,A:N,14,))/VLOOKUP($U$1,A:N,14,))*100)+100</f>
        <v/>
      </c>
      <c r="P83" s="77">
        <f>IF(VLOOKUP(A83,Database!$A:$AS,MATCH($P$1,Database!$A$1:$AS$1,0),FALSE)=0,#N/A,VLOOKUP(A83,Database!$A:$AS,MATCH($P$1,Database!$A$1:$AS$1,0),FALSE))</f>
        <v/>
      </c>
      <c r="Q83" s="77">
        <f>(((Table134567891011121314151617343[[#This Row],[JPN]]-VLOOKUP($U$1,A:Q,16,))/VLOOKUP($U$1,A:Q,16,))*100)+100</f>
        <v/>
      </c>
    </row>
    <row r="84" customFormat="1" s="87">
      <c r="A84" s="21" t="n">
        <v>35370</v>
      </c>
      <c r="B84" s="77">
        <f>IF(VLOOKUP(A84,Database!$A:$AS,MATCH($B$1,Database!$A$1:$AS$1,0),FALSE)=0,#N/A,VLOOKUP(A84,Database!$A:$AS,MATCH($B$1,Database!$A$1:$AS$1,0),FALSE))</f>
        <v/>
      </c>
      <c r="C84" s="77">
        <f>IF(VLOOKUP(A84,Database!$A:$AS,MATCH($C$1,Database!$A$1:$AS$1,0),FALSE)=0,#N/A,VLOOKUP(A84,Database!$A:$AS,MATCH($C$1,Database!$A$1:$AS$1,0),FALSE))</f>
        <v/>
      </c>
      <c r="D84" s="77">
        <f>IF(VLOOKUP(A84,Database!$A:$AS,MATCH($D$1,Database!$A$1:$AS$1,0),FALSE)=0,#N/A,VLOOKUP(A84,Database!$A:$AS,MATCH($D$1,Database!$A$1:$AS$1,0),FALSE))</f>
        <v/>
      </c>
      <c r="E84" s="77">
        <f>IF(VLOOKUP(A84,Database!$A:$AS,MATCH($E$1,Database!$A$1:$AS$1,0),FALSE)=0,#N/A,VLOOKUP(A84,Database!$A:$AS,MATCH($E$1,Database!$A$1:$AS$1,0),FALSE))</f>
        <v/>
      </c>
      <c r="F84" s="77">
        <f>IF(VLOOKUP(A84,Database!$A:$AS,MATCH($F$1,Database!$A$1:$AS$1,0),FALSE)=0,#N/A,VLOOKUP(A84,Database!$A:$AS,MATCH($F$1,Database!$A$1:$AS$1,0),FALSE))</f>
        <v/>
      </c>
      <c r="G84" s="77">
        <f>IF(VLOOKUP(A84,Database!$A:$AS,MATCH($G$1,Database!$A$1:$AS$1,0),FALSE)=0,#N/A,VLOOKUP(A84,Database!$A:$AS,MATCH($G$1,Database!$A$1:$AS$1,0),FALSE))</f>
        <v/>
      </c>
      <c r="H84" s="77">
        <f>(((Table134567891011121314151617343[[#This Row],[ITA]]-VLOOKUP($U$1,A:B,2,))/VLOOKUP($U$1,A:B,2,))*100)+100</f>
        <v/>
      </c>
      <c r="I84" s="77">
        <f>(((Table134567891011121314151617343[[#This Row],[FRA]]-VLOOKUP($U$1,A:C,3,))/VLOOKUP($U$1,A:C,3,))*100)+100</f>
        <v/>
      </c>
      <c r="J84" s="77">
        <f>(((Table134567891011121314151617343[[#This Row],[DEU]]-VLOOKUP($U$1,A:D,4,))/VLOOKUP($U$1,A:D,4,))*100)+100</f>
        <v/>
      </c>
      <c r="K84" s="77">
        <f>(((Table134567891011121314151617343[[#This Row],[ESP]]-VLOOKUP($U$1,A:E,5,))/VLOOKUP($U$1,A:E,5,))*100)+100</f>
        <v/>
      </c>
      <c r="L84" s="77">
        <f>(((Table134567891011121314151617343[[#This Row],[EA19]]-VLOOKUP($U$1,A:F,6,))/VLOOKUP($U$1,A:F,6,))*100)+100</f>
        <v/>
      </c>
      <c r="M84" s="77">
        <f>(((Table134567891011121314151617343[[#This Row],[GBR]]-VLOOKUP($U$1,A:G,7,))/VLOOKUP($U$1,A:G,7,))*100)+100</f>
        <v/>
      </c>
      <c r="N84" s="77">
        <f>IF(VLOOKUP(A84,Database!$A:$AU,MATCH($N$1,Database!$A$1:$AU$1,0),FALSE)=0,#N/A,VLOOKUP(A84,Database!$A:$AU,MATCH($N$1,Database!$A$1:$AU$1,0),FALSE))</f>
        <v/>
      </c>
      <c r="O84" s="77">
        <f>(((Table134567891011121314151617343[[#This Row],[USA]]-VLOOKUP($U$1,A:N,14,))/VLOOKUP($U$1,A:N,14,))*100)+100</f>
        <v/>
      </c>
      <c r="P84" s="77">
        <f>IF(VLOOKUP(A84,Database!$A:$AS,MATCH($P$1,Database!$A$1:$AS$1,0),FALSE)=0,#N/A,VLOOKUP(A84,Database!$A:$AS,MATCH($P$1,Database!$A$1:$AS$1,0),FALSE))</f>
        <v/>
      </c>
      <c r="Q84" s="77">
        <f>(((Table134567891011121314151617343[[#This Row],[JPN]]-VLOOKUP($U$1,A:Q,16,))/VLOOKUP($U$1,A:Q,16,))*100)+100</f>
        <v/>
      </c>
    </row>
    <row r="85" customFormat="1" s="87">
      <c r="A85" s="21" t="n">
        <v>35400</v>
      </c>
      <c r="B85" s="77">
        <f>IF(VLOOKUP(A85,Database!$A:$AS,MATCH($B$1,Database!$A$1:$AS$1,0),FALSE)=0,#N/A,VLOOKUP(A85,Database!$A:$AS,MATCH($B$1,Database!$A$1:$AS$1,0),FALSE))</f>
        <v/>
      </c>
      <c r="C85" s="77">
        <f>IF(VLOOKUP(A85,Database!$A:$AS,MATCH($C$1,Database!$A$1:$AS$1,0),FALSE)=0,#N/A,VLOOKUP(A85,Database!$A:$AS,MATCH($C$1,Database!$A$1:$AS$1,0),FALSE))</f>
        <v/>
      </c>
      <c r="D85" s="77">
        <f>IF(VLOOKUP(A85,Database!$A:$AS,MATCH($D$1,Database!$A$1:$AS$1,0),FALSE)=0,#N/A,VLOOKUP(A85,Database!$A:$AS,MATCH($D$1,Database!$A$1:$AS$1,0),FALSE))</f>
        <v/>
      </c>
      <c r="E85" s="77">
        <f>IF(VLOOKUP(A85,Database!$A:$AS,MATCH($E$1,Database!$A$1:$AS$1,0),FALSE)=0,#N/A,VLOOKUP(A85,Database!$A:$AS,MATCH($E$1,Database!$A$1:$AS$1,0),FALSE))</f>
        <v/>
      </c>
      <c r="F85" s="77">
        <f>IF(VLOOKUP(A85,Database!$A:$AS,MATCH($F$1,Database!$A$1:$AS$1,0),FALSE)=0,#N/A,VLOOKUP(A85,Database!$A:$AS,MATCH($F$1,Database!$A$1:$AS$1,0),FALSE))</f>
        <v/>
      </c>
      <c r="G85" s="77">
        <f>IF(VLOOKUP(A85,Database!$A:$AS,MATCH($G$1,Database!$A$1:$AS$1,0),FALSE)=0,#N/A,VLOOKUP(A85,Database!$A:$AS,MATCH($G$1,Database!$A$1:$AS$1,0),FALSE))</f>
        <v/>
      </c>
      <c r="H85" s="77">
        <f>(((Table134567891011121314151617343[[#This Row],[ITA]]-VLOOKUP($U$1,A:B,2,))/VLOOKUP($U$1,A:B,2,))*100)+100</f>
        <v/>
      </c>
      <c r="I85" s="77">
        <f>(((Table134567891011121314151617343[[#This Row],[FRA]]-VLOOKUP($U$1,A:C,3,))/VLOOKUP($U$1,A:C,3,))*100)+100</f>
        <v/>
      </c>
      <c r="J85" s="77">
        <f>(((Table134567891011121314151617343[[#This Row],[DEU]]-VLOOKUP($U$1,A:D,4,))/VLOOKUP($U$1,A:D,4,))*100)+100</f>
        <v/>
      </c>
      <c r="K85" s="77">
        <f>(((Table134567891011121314151617343[[#This Row],[ESP]]-VLOOKUP($U$1,A:E,5,))/VLOOKUP($U$1,A:E,5,))*100)+100</f>
        <v/>
      </c>
      <c r="L85" s="77">
        <f>(((Table134567891011121314151617343[[#This Row],[EA19]]-VLOOKUP($U$1,A:F,6,))/VLOOKUP($U$1,A:F,6,))*100)+100</f>
        <v/>
      </c>
      <c r="M85" s="77">
        <f>(((Table134567891011121314151617343[[#This Row],[GBR]]-VLOOKUP($U$1,A:G,7,))/VLOOKUP($U$1,A:G,7,))*100)+100</f>
        <v/>
      </c>
      <c r="N85" s="77">
        <f>IF(VLOOKUP(A85,Database!$A:$AU,MATCH($N$1,Database!$A$1:$AU$1,0),FALSE)=0,#N/A,VLOOKUP(A85,Database!$A:$AU,MATCH($N$1,Database!$A$1:$AU$1,0),FALSE))</f>
        <v/>
      </c>
      <c r="O85" s="77">
        <f>(((Table134567891011121314151617343[[#This Row],[USA]]-VLOOKUP($U$1,A:N,14,))/VLOOKUP($U$1,A:N,14,))*100)+100</f>
        <v/>
      </c>
      <c r="P85" s="77">
        <f>IF(VLOOKUP(A85,Database!$A:$AS,MATCH($P$1,Database!$A$1:$AS$1,0),FALSE)=0,#N/A,VLOOKUP(A85,Database!$A:$AS,MATCH($P$1,Database!$A$1:$AS$1,0),FALSE))</f>
        <v/>
      </c>
      <c r="Q85" s="77">
        <f>(((Table134567891011121314151617343[[#This Row],[JPN]]-VLOOKUP($U$1,A:Q,16,))/VLOOKUP($U$1,A:Q,16,))*100)+100</f>
        <v/>
      </c>
    </row>
    <row r="86" customFormat="1" s="87">
      <c r="A86" s="21" t="n">
        <v>35431</v>
      </c>
      <c r="B86" s="77">
        <f>IF(VLOOKUP(A86,Database!$A:$AS,MATCH($B$1,Database!$A$1:$AS$1,0),FALSE)=0,#N/A,VLOOKUP(A86,Database!$A:$AS,MATCH($B$1,Database!$A$1:$AS$1,0),FALSE))</f>
        <v/>
      </c>
      <c r="C86" s="77">
        <f>IF(VLOOKUP(A86,Database!$A:$AS,MATCH($C$1,Database!$A$1:$AS$1,0),FALSE)=0,#N/A,VLOOKUP(A86,Database!$A:$AS,MATCH($C$1,Database!$A$1:$AS$1,0),FALSE))</f>
        <v/>
      </c>
      <c r="D86" s="77">
        <f>IF(VLOOKUP(A86,Database!$A:$AS,MATCH($D$1,Database!$A$1:$AS$1,0),FALSE)=0,#N/A,VLOOKUP(A86,Database!$A:$AS,MATCH($D$1,Database!$A$1:$AS$1,0),FALSE))</f>
        <v/>
      </c>
      <c r="E86" s="77">
        <f>IF(VLOOKUP(A86,Database!$A:$AS,MATCH($E$1,Database!$A$1:$AS$1,0),FALSE)=0,#N/A,VLOOKUP(A86,Database!$A:$AS,MATCH($E$1,Database!$A$1:$AS$1,0),FALSE))</f>
        <v/>
      </c>
      <c r="F86" s="77">
        <f>IF(VLOOKUP(A86,Database!$A:$AS,MATCH($F$1,Database!$A$1:$AS$1,0),FALSE)=0,#N/A,VLOOKUP(A86,Database!$A:$AS,MATCH($F$1,Database!$A$1:$AS$1,0),FALSE))</f>
        <v/>
      </c>
      <c r="G86" s="77">
        <f>IF(VLOOKUP(A86,Database!$A:$AS,MATCH($G$1,Database!$A$1:$AS$1,0),FALSE)=0,#N/A,VLOOKUP(A86,Database!$A:$AS,MATCH($G$1,Database!$A$1:$AS$1,0),FALSE))</f>
        <v/>
      </c>
      <c r="H86" s="77">
        <f>(((Table134567891011121314151617343[[#This Row],[ITA]]-VLOOKUP($U$1,A:B,2,))/VLOOKUP($U$1,A:B,2,))*100)+100</f>
        <v/>
      </c>
      <c r="I86" s="77">
        <f>(((Table134567891011121314151617343[[#This Row],[FRA]]-VLOOKUP($U$1,A:C,3,))/VLOOKUP($U$1,A:C,3,))*100)+100</f>
        <v/>
      </c>
      <c r="J86" s="77">
        <f>(((Table134567891011121314151617343[[#This Row],[DEU]]-VLOOKUP($U$1,A:D,4,))/VLOOKUP($U$1,A:D,4,))*100)+100</f>
        <v/>
      </c>
      <c r="K86" s="77">
        <f>(((Table134567891011121314151617343[[#This Row],[ESP]]-VLOOKUP($U$1,A:E,5,))/VLOOKUP($U$1,A:E,5,))*100)+100</f>
        <v/>
      </c>
      <c r="L86" s="77">
        <f>(((Table134567891011121314151617343[[#This Row],[EA19]]-VLOOKUP($U$1,A:F,6,))/VLOOKUP($U$1,A:F,6,))*100)+100</f>
        <v/>
      </c>
      <c r="M86" s="77">
        <f>(((Table134567891011121314151617343[[#This Row],[GBR]]-VLOOKUP($U$1,A:G,7,))/VLOOKUP($U$1,A:G,7,))*100)+100</f>
        <v/>
      </c>
      <c r="N86" s="77">
        <f>IF(VLOOKUP(A86,Database!$A:$AU,MATCH($N$1,Database!$A$1:$AU$1,0),FALSE)=0,#N/A,VLOOKUP(A86,Database!$A:$AU,MATCH($N$1,Database!$A$1:$AU$1,0),FALSE))</f>
        <v/>
      </c>
      <c r="O86" s="77">
        <f>(((Table134567891011121314151617343[[#This Row],[USA]]-VLOOKUP($U$1,A:N,14,))/VLOOKUP($U$1,A:N,14,))*100)+100</f>
        <v/>
      </c>
      <c r="P86" s="77">
        <f>IF(VLOOKUP(A86,Database!$A:$AS,MATCH($P$1,Database!$A$1:$AS$1,0),FALSE)=0,#N/A,VLOOKUP(A86,Database!$A:$AS,MATCH($P$1,Database!$A$1:$AS$1,0),FALSE))</f>
        <v/>
      </c>
      <c r="Q86" s="77">
        <f>(((Table134567891011121314151617343[[#This Row],[JPN]]-VLOOKUP($U$1,A:Q,16,))/VLOOKUP($U$1,A:Q,16,))*100)+100</f>
        <v/>
      </c>
    </row>
    <row r="87" customFormat="1" s="87">
      <c r="A87" s="21" t="n">
        <v>35462</v>
      </c>
      <c r="B87" s="77">
        <f>IF(VLOOKUP(A87,Database!$A:$AS,MATCH($B$1,Database!$A$1:$AS$1,0),FALSE)=0,#N/A,VLOOKUP(A87,Database!$A:$AS,MATCH($B$1,Database!$A$1:$AS$1,0),FALSE))</f>
        <v/>
      </c>
      <c r="C87" s="77">
        <f>IF(VLOOKUP(A87,Database!$A:$AS,MATCH($C$1,Database!$A$1:$AS$1,0),FALSE)=0,#N/A,VLOOKUP(A87,Database!$A:$AS,MATCH($C$1,Database!$A$1:$AS$1,0),FALSE))</f>
        <v/>
      </c>
      <c r="D87" s="77">
        <f>IF(VLOOKUP(A87,Database!$A:$AS,MATCH($D$1,Database!$A$1:$AS$1,0),FALSE)=0,#N/A,VLOOKUP(A87,Database!$A:$AS,MATCH($D$1,Database!$A$1:$AS$1,0),FALSE))</f>
        <v/>
      </c>
      <c r="E87" s="77">
        <f>IF(VLOOKUP(A87,Database!$A:$AS,MATCH($E$1,Database!$A$1:$AS$1,0),FALSE)=0,#N/A,VLOOKUP(A87,Database!$A:$AS,MATCH($E$1,Database!$A$1:$AS$1,0),FALSE))</f>
        <v/>
      </c>
      <c r="F87" s="77">
        <f>IF(VLOOKUP(A87,Database!$A:$AS,MATCH($F$1,Database!$A$1:$AS$1,0),FALSE)=0,#N/A,VLOOKUP(A87,Database!$A:$AS,MATCH($F$1,Database!$A$1:$AS$1,0),FALSE))</f>
        <v/>
      </c>
      <c r="G87" s="77">
        <f>IF(VLOOKUP(A87,Database!$A:$AS,MATCH($G$1,Database!$A$1:$AS$1,0),FALSE)=0,#N/A,VLOOKUP(A87,Database!$A:$AS,MATCH($G$1,Database!$A$1:$AS$1,0),FALSE))</f>
        <v/>
      </c>
      <c r="H87" s="77">
        <f>(((Table134567891011121314151617343[[#This Row],[ITA]]-VLOOKUP($U$1,A:B,2,))/VLOOKUP($U$1,A:B,2,))*100)+100</f>
        <v/>
      </c>
      <c r="I87" s="77">
        <f>(((Table134567891011121314151617343[[#This Row],[FRA]]-VLOOKUP($U$1,A:C,3,))/VLOOKUP($U$1,A:C,3,))*100)+100</f>
        <v/>
      </c>
      <c r="J87" s="77">
        <f>(((Table134567891011121314151617343[[#This Row],[DEU]]-VLOOKUP($U$1,A:D,4,))/VLOOKUP($U$1,A:D,4,))*100)+100</f>
        <v/>
      </c>
      <c r="K87" s="77">
        <f>(((Table134567891011121314151617343[[#This Row],[ESP]]-VLOOKUP($U$1,A:E,5,))/VLOOKUP($U$1,A:E,5,))*100)+100</f>
        <v/>
      </c>
      <c r="L87" s="77">
        <f>(((Table134567891011121314151617343[[#This Row],[EA19]]-VLOOKUP($U$1,A:F,6,))/VLOOKUP($U$1,A:F,6,))*100)+100</f>
        <v/>
      </c>
      <c r="M87" s="77">
        <f>(((Table134567891011121314151617343[[#This Row],[GBR]]-VLOOKUP($U$1,A:G,7,))/VLOOKUP($U$1,A:G,7,))*100)+100</f>
        <v/>
      </c>
      <c r="N87" s="77">
        <f>IF(VLOOKUP(A87,Database!$A:$AU,MATCH($N$1,Database!$A$1:$AU$1,0),FALSE)=0,#N/A,VLOOKUP(A87,Database!$A:$AU,MATCH($N$1,Database!$A$1:$AU$1,0),FALSE))</f>
        <v/>
      </c>
      <c r="O87" s="77">
        <f>(((Table134567891011121314151617343[[#This Row],[USA]]-VLOOKUP($U$1,A:N,14,))/VLOOKUP($U$1,A:N,14,))*100)+100</f>
        <v/>
      </c>
      <c r="P87" s="77">
        <f>IF(VLOOKUP(A87,Database!$A:$AS,MATCH($P$1,Database!$A$1:$AS$1,0),FALSE)=0,#N/A,VLOOKUP(A87,Database!$A:$AS,MATCH($P$1,Database!$A$1:$AS$1,0),FALSE))</f>
        <v/>
      </c>
      <c r="Q87" s="77">
        <f>(((Table134567891011121314151617343[[#This Row],[JPN]]-VLOOKUP($U$1,A:Q,16,))/VLOOKUP($U$1,A:Q,16,))*100)+100</f>
        <v/>
      </c>
    </row>
    <row r="88" customFormat="1" s="87">
      <c r="A88" s="21" t="n">
        <v>35490</v>
      </c>
      <c r="B88" s="77">
        <f>IF(VLOOKUP(A88,Database!$A:$AS,MATCH($B$1,Database!$A$1:$AS$1,0),FALSE)=0,#N/A,VLOOKUP(A88,Database!$A:$AS,MATCH($B$1,Database!$A$1:$AS$1,0),FALSE))</f>
        <v/>
      </c>
      <c r="C88" s="77">
        <f>IF(VLOOKUP(A88,Database!$A:$AS,MATCH($C$1,Database!$A$1:$AS$1,0),FALSE)=0,#N/A,VLOOKUP(A88,Database!$A:$AS,MATCH($C$1,Database!$A$1:$AS$1,0),FALSE))</f>
        <v/>
      </c>
      <c r="D88" s="77">
        <f>IF(VLOOKUP(A88,Database!$A:$AS,MATCH($D$1,Database!$A$1:$AS$1,0),FALSE)=0,#N/A,VLOOKUP(A88,Database!$A:$AS,MATCH($D$1,Database!$A$1:$AS$1,0),FALSE))</f>
        <v/>
      </c>
      <c r="E88" s="77">
        <f>IF(VLOOKUP(A88,Database!$A:$AS,MATCH($E$1,Database!$A$1:$AS$1,0),FALSE)=0,#N/A,VLOOKUP(A88,Database!$A:$AS,MATCH($E$1,Database!$A$1:$AS$1,0),FALSE))</f>
        <v/>
      </c>
      <c r="F88" s="77">
        <f>IF(VLOOKUP(A88,Database!$A:$AS,MATCH($F$1,Database!$A$1:$AS$1,0),FALSE)=0,#N/A,VLOOKUP(A88,Database!$A:$AS,MATCH($F$1,Database!$A$1:$AS$1,0),FALSE))</f>
        <v/>
      </c>
      <c r="G88" s="77">
        <f>IF(VLOOKUP(A88,Database!$A:$AS,MATCH($G$1,Database!$A$1:$AS$1,0),FALSE)=0,#N/A,VLOOKUP(A88,Database!$A:$AS,MATCH($G$1,Database!$A$1:$AS$1,0),FALSE))</f>
        <v/>
      </c>
      <c r="H88" s="77">
        <f>(((Table134567891011121314151617343[[#This Row],[ITA]]-VLOOKUP($U$1,A:B,2,))/VLOOKUP($U$1,A:B,2,))*100)+100</f>
        <v/>
      </c>
      <c r="I88" s="77">
        <f>(((Table134567891011121314151617343[[#This Row],[FRA]]-VLOOKUP($U$1,A:C,3,))/VLOOKUP($U$1,A:C,3,))*100)+100</f>
        <v/>
      </c>
      <c r="J88" s="77">
        <f>(((Table134567891011121314151617343[[#This Row],[DEU]]-VLOOKUP($U$1,A:D,4,))/VLOOKUP($U$1,A:D,4,))*100)+100</f>
        <v/>
      </c>
      <c r="K88" s="77">
        <f>(((Table134567891011121314151617343[[#This Row],[ESP]]-VLOOKUP($U$1,A:E,5,))/VLOOKUP($U$1,A:E,5,))*100)+100</f>
        <v/>
      </c>
      <c r="L88" s="77">
        <f>(((Table134567891011121314151617343[[#This Row],[EA19]]-VLOOKUP($U$1,A:F,6,))/VLOOKUP($U$1,A:F,6,))*100)+100</f>
        <v/>
      </c>
      <c r="M88" s="77">
        <f>(((Table134567891011121314151617343[[#This Row],[GBR]]-VLOOKUP($U$1,A:G,7,))/VLOOKUP($U$1,A:G,7,))*100)+100</f>
        <v/>
      </c>
      <c r="N88" s="77">
        <f>IF(VLOOKUP(A88,Database!$A:$AU,MATCH($N$1,Database!$A$1:$AU$1,0),FALSE)=0,#N/A,VLOOKUP(A88,Database!$A:$AU,MATCH($N$1,Database!$A$1:$AU$1,0),FALSE))</f>
        <v/>
      </c>
      <c r="O88" s="77">
        <f>(((Table134567891011121314151617343[[#This Row],[USA]]-VLOOKUP($U$1,A:N,14,))/VLOOKUP($U$1,A:N,14,))*100)+100</f>
        <v/>
      </c>
      <c r="P88" s="77">
        <f>IF(VLOOKUP(A88,Database!$A:$AS,MATCH($P$1,Database!$A$1:$AS$1,0),FALSE)=0,#N/A,VLOOKUP(A88,Database!$A:$AS,MATCH($P$1,Database!$A$1:$AS$1,0),FALSE))</f>
        <v/>
      </c>
      <c r="Q88" s="77">
        <f>(((Table134567891011121314151617343[[#This Row],[JPN]]-VLOOKUP($U$1,A:Q,16,))/VLOOKUP($U$1,A:Q,16,))*100)+100</f>
        <v/>
      </c>
    </row>
    <row r="89" customFormat="1" s="87">
      <c r="A89" s="21" t="n">
        <v>35521</v>
      </c>
      <c r="B89" s="77">
        <f>IF(VLOOKUP(A89,Database!$A:$AS,MATCH($B$1,Database!$A$1:$AS$1,0),FALSE)=0,#N/A,VLOOKUP(A89,Database!$A:$AS,MATCH($B$1,Database!$A$1:$AS$1,0),FALSE))</f>
        <v/>
      </c>
      <c r="C89" s="77">
        <f>IF(VLOOKUP(A89,Database!$A:$AS,MATCH($C$1,Database!$A$1:$AS$1,0),FALSE)=0,#N/A,VLOOKUP(A89,Database!$A:$AS,MATCH($C$1,Database!$A$1:$AS$1,0),FALSE))</f>
        <v/>
      </c>
      <c r="D89" s="77">
        <f>IF(VLOOKUP(A89,Database!$A:$AS,MATCH($D$1,Database!$A$1:$AS$1,0),FALSE)=0,#N/A,VLOOKUP(A89,Database!$A:$AS,MATCH($D$1,Database!$A$1:$AS$1,0),FALSE))</f>
        <v/>
      </c>
      <c r="E89" s="77">
        <f>IF(VLOOKUP(A89,Database!$A:$AS,MATCH($E$1,Database!$A$1:$AS$1,0),FALSE)=0,#N/A,VLOOKUP(A89,Database!$A:$AS,MATCH($E$1,Database!$A$1:$AS$1,0),FALSE))</f>
        <v/>
      </c>
      <c r="F89" s="77">
        <f>IF(VLOOKUP(A89,Database!$A:$AS,MATCH($F$1,Database!$A$1:$AS$1,0),FALSE)=0,#N/A,VLOOKUP(A89,Database!$A:$AS,MATCH($F$1,Database!$A$1:$AS$1,0),FALSE))</f>
        <v/>
      </c>
      <c r="G89" s="77">
        <f>IF(VLOOKUP(A89,Database!$A:$AS,MATCH($G$1,Database!$A$1:$AS$1,0),FALSE)=0,#N/A,VLOOKUP(A89,Database!$A:$AS,MATCH($G$1,Database!$A$1:$AS$1,0),FALSE))</f>
        <v/>
      </c>
      <c r="H89" s="77">
        <f>(((Table134567891011121314151617343[[#This Row],[ITA]]-VLOOKUP($U$1,A:B,2,))/VLOOKUP($U$1,A:B,2,))*100)+100</f>
        <v/>
      </c>
      <c r="I89" s="77">
        <f>(((Table134567891011121314151617343[[#This Row],[FRA]]-VLOOKUP($U$1,A:C,3,))/VLOOKUP($U$1,A:C,3,))*100)+100</f>
        <v/>
      </c>
      <c r="J89" s="77">
        <f>(((Table134567891011121314151617343[[#This Row],[DEU]]-VLOOKUP($U$1,A:D,4,))/VLOOKUP($U$1,A:D,4,))*100)+100</f>
        <v/>
      </c>
      <c r="K89" s="77">
        <f>(((Table134567891011121314151617343[[#This Row],[ESP]]-VLOOKUP($U$1,A:E,5,))/VLOOKUP($U$1,A:E,5,))*100)+100</f>
        <v/>
      </c>
      <c r="L89" s="77">
        <f>(((Table134567891011121314151617343[[#This Row],[EA19]]-VLOOKUP($U$1,A:F,6,))/VLOOKUP($U$1,A:F,6,))*100)+100</f>
        <v/>
      </c>
      <c r="M89" s="77">
        <f>(((Table134567891011121314151617343[[#This Row],[GBR]]-VLOOKUP($U$1,A:G,7,))/VLOOKUP($U$1,A:G,7,))*100)+100</f>
        <v/>
      </c>
      <c r="N89" s="77">
        <f>IF(VLOOKUP(A89,Database!$A:$AU,MATCH($N$1,Database!$A$1:$AU$1,0),FALSE)=0,#N/A,VLOOKUP(A89,Database!$A:$AU,MATCH($N$1,Database!$A$1:$AU$1,0),FALSE))</f>
        <v/>
      </c>
      <c r="O89" s="77">
        <f>(((Table134567891011121314151617343[[#This Row],[USA]]-VLOOKUP($U$1,A:N,14,))/VLOOKUP($U$1,A:N,14,))*100)+100</f>
        <v/>
      </c>
      <c r="P89" s="77">
        <f>IF(VLOOKUP(A89,Database!$A:$AS,MATCH($P$1,Database!$A$1:$AS$1,0),FALSE)=0,#N/A,VLOOKUP(A89,Database!$A:$AS,MATCH($P$1,Database!$A$1:$AS$1,0),FALSE))</f>
        <v/>
      </c>
      <c r="Q89" s="77">
        <f>(((Table134567891011121314151617343[[#This Row],[JPN]]-VLOOKUP($U$1,A:Q,16,))/VLOOKUP($U$1,A:Q,16,))*100)+100</f>
        <v/>
      </c>
    </row>
    <row r="90" customFormat="1" s="87">
      <c r="A90" s="21" t="n">
        <v>35551</v>
      </c>
      <c r="B90" s="77">
        <f>IF(VLOOKUP(A90,Database!$A:$AS,MATCH($B$1,Database!$A$1:$AS$1,0),FALSE)=0,#N/A,VLOOKUP(A90,Database!$A:$AS,MATCH($B$1,Database!$A$1:$AS$1,0),FALSE))</f>
        <v/>
      </c>
      <c r="C90" s="77">
        <f>IF(VLOOKUP(A90,Database!$A:$AS,MATCH($C$1,Database!$A$1:$AS$1,0),FALSE)=0,#N/A,VLOOKUP(A90,Database!$A:$AS,MATCH($C$1,Database!$A$1:$AS$1,0),FALSE))</f>
        <v/>
      </c>
      <c r="D90" s="77">
        <f>IF(VLOOKUP(A90,Database!$A:$AS,MATCH($D$1,Database!$A$1:$AS$1,0),FALSE)=0,#N/A,VLOOKUP(A90,Database!$A:$AS,MATCH($D$1,Database!$A$1:$AS$1,0),FALSE))</f>
        <v/>
      </c>
      <c r="E90" s="77">
        <f>IF(VLOOKUP(A90,Database!$A:$AS,MATCH($E$1,Database!$A$1:$AS$1,0),FALSE)=0,#N/A,VLOOKUP(A90,Database!$A:$AS,MATCH($E$1,Database!$A$1:$AS$1,0),FALSE))</f>
        <v/>
      </c>
      <c r="F90" s="77">
        <f>IF(VLOOKUP(A90,Database!$A:$AS,MATCH($F$1,Database!$A$1:$AS$1,0),FALSE)=0,#N/A,VLOOKUP(A90,Database!$A:$AS,MATCH($F$1,Database!$A$1:$AS$1,0),FALSE))</f>
        <v/>
      </c>
      <c r="G90" s="77">
        <f>IF(VLOOKUP(A90,Database!$A:$AS,MATCH($G$1,Database!$A$1:$AS$1,0),FALSE)=0,#N/A,VLOOKUP(A90,Database!$A:$AS,MATCH($G$1,Database!$A$1:$AS$1,0),FALSE))</f>
        <v/>
      </c>
      <c r="H90" s="77">
        <f>(((Table134567891011121314151617343[[#This Row],[ITA]]-VLOOKUP($U$1,A:B,2,))/VLOOKUP($U$1,A:B,2,))*100)+100</f>
        <v/>
      </c>
      <c r="I90" s="77">
        <f>(((Table134567891011121314151617343[[#This Row],[FRA]]-VLOOKUP($U$1,A:C,3,))/VLOOKUP($U$1,A:C,3,))*100)+100</f>
        <v/>
      </c>
      <c r="J90" s="77">
        <f>(((Table134567891011121314151617343[[#This Row],[DEU]]-VLOOKUP($U$1,A:D,4,))/VLOOKUP($U$1,A:D,4,))*100)+100</f>
        <v/>
      </c>
      <c r="K90" s="77">
        <f>(((Table134567891011121314151617343[[#This Row],[ESP]]-VLOOKUP($U$1,A:E,5,))/VLOOKUP($U$1,A:E,5,))*100)+100</f>
        <v/>
      </c>
      <c r="L90" s="77">
        <f>(((Table134567891011121314151617343[[#This Row],[EA19]]-VLOOKUP($U$1,A:F,6,))/VLOOKUP($U$1,A:F,6,))*100)+100</f>
        <v/>
      </c>
      <c r="M90" s="77">
        <f>(((Table134567891011121314151617343[[#This Row],[GBR]]-VLOOKUP($U$1,A:G,7,))/VLOOKUP($U$1,A:G,7,))*100)+100</f>
        <v/>
      </c>
      <c r="N90" s="77">
        <f>IF(VLOOKUP(A90,Database!$A:$AU,MATCH($N$1,Database!$A$1:$AU$1,0),FALSE)=0,#N/A,VLOOKUP(A90,Database!$A:$AU,MATCH($N$1,Database!$A$1:$AU$1,0),FALSE))</f>
        <v/>
      </c>
      <c r="O90" s="77">
        <f>(((Table134567891011121314151617343[[#This Row],[USA]]-VLOOKUP($U$1,A:N,14,))/VLOOKUP($U$1,A:N,14,))*100)+100</f>
        <v/>
      </c>
      <c r="P90" s="77">
        <f>IF(VLOOKUP(A90,Database!$A:$AS,MATCH($P$1,Database!$A$1:$AS$1,0),FALSE)=0,#N/A,VLOOKUP(A90,Database!$A:$AS,MATCH($P$1,Database!$A$1:$AS$1,0),FALSE))</f>
        <v/>
      </c>
      <c r="Q90" s="77">
        <f>(((Table134567891011121314151617343[[#This Row],[JPN]]-VLOOKUP($U$1,A:Q,16,))/VLOOKUP($U$1,A:Q,16,))*100)+100</f>
        <v/>
      </c>
    </row>
    <row r="91" customFormat="1" s="87">
      <c r="A91" s="21" t="n">
        <v>35582</v>
      </c>
      <c r="B91" s="77">
        <f>IF(VLOOKUP(A91,Database!$A:$AS,MATCH($B$1,Database!$A$1:$AS$1,0),FALSE)=0,#N/A,VLOOKUP(A91,Database!$A:$AS,MATCH($B$1,Database!$A$1:$AS$1,0),FALSE))</f>
        <v/>
      </c>
      <c r="C91" s="77">
        <f>IF(VLOOKUP(A91,Database!$A:$AS,MATCH($C$1,Database!$A$1:$AS$1,0),FALSE)=0,#N/A,VLOOKUP(A91,Database!$A:$AS,MATCH($C$1,Database!$A$1:$AS$1,0),FALSE))</f>
        <v/>
      </c>
      <c r="D91" s="77">
        <f>IF(VLOOKUP(A91,Database!$A:$AS,MATCH($D$1,Database!$A$1:$AS$1,0),FALSE)=0,#N/A,VLOOKUP(A91,Database!$A:$AS,MATCH($D$1,Database!$A$1:$AS$1,0),FALSE))</f>
        <v/>
      </c>
      <c r="E91" s="77">
        <f>IF(VLOOKUP(A91,Database!$A:$AS,MATCH($E$1,Database!$A$1:$AS$1,0),FALSE)=0,#N/A,VLOOKUP(A91,Database!$A:$AS,MATCH($E$1,Database!$A$1:$AS$1,0),FALSE))</f>
        <v/>
      </c>
      <c r="F91" s="77">
        <f>IF(VLOOKUP(A91,Database!$A:$AS,MATCH($F$1,Database!$A$1:$AS$1,0),FALSE)=0,#N/A,VLOOKUP(A91,Database!$A:$AS,MATCH($F$1,Database!$A$1:$AS$1,0),FALSE))</f>
        <v/>
      </c>
      <c r="G91" s="77">
        <f>IF(VLOOKUP(A91,Database!$A:$AS,MATCH($G$1,Database!$A$1:$AS$1,0),FALSE)=0,#N/A,VLOOKUP(A91,Database!$A:$AS,MATCH($G$1,Database!$A$1:$AS$1,0),FALSE))</f>
        <v/>
      </c>
      <c r="H91" s="77">
        <f>(((Table134567891011121314151617343[[#This Row],[ITA]]-VLOOKUP($U$1,A:B,2,))/VLOOKUP($U$1,A:B,2,))*100)+100</f>
        <v/>
      </c>
      <c r="I91" s="77">
        <f>(((Table134567891011121314151617343[[#This Row],[FRA]]-VLOOKUP($U$1,A:C,3,))/VLOOKUP($U$1,A:C,3,))*100)+100</f>
        <v/>
      </c>
      <c r="J91" s="77">
        <f>(((Table134567891011121314151617343[[#This Row],[DEU]]-VLOOKUP($U$1,A:D,4,))/VLOOKUP($U$1,A:D,4,))*100)+100</f>
        <v/>
      </c>
      <c r="K91" s="77">
        <f>(((Table134567891011121314151617343[[#This Row],[ESP]]-VLOOKUP($U$1,A:E,5,))/VLOOKUP($U$1,A:E,5,))*100)+100</f>
        <v/>
      </c>
      <c r="L91" s="77">
        <f>(((Table134567891011121314151617343[[#This Row],[EA19]]-VLOOKUP($U$1,A:F,6,))/VLOOKUP($U$1,A:F,6,))*100)+100</f>
        <v/>
      </c>
      <c r="M91" s="77">
        <f>(((Table134567891011121314151617343[[#This Row],[GBR]]-VLOOKUP($U$1,A:G,7,))/VLOOKUP($U$1,A:G,7,))*100)+100</f>
        <v/>
      </c>
      <c r="N91" s="77">
        <f>IF(VLOOKUP(A91,Database!$A:$AU,MATCH($N$1,Database!$A$1:$AU$1,0),FALSE)=0,#N/A,VLOOKUP(A91,Database!$A:$AU,MATCH($N$1,Database!$A$1:$AU$1,0),FALSE))</f>
        <v/>
      </c>
      <c r="O91" s="77">
        <f>(((Table134567891011121314151617343[[#This Row],[USA]]-VLOOKUP($U$1,A:N,14,))/VLOOKUP($U$1,A:N,14,))*100)+100</f>
        <v/>
      </c>
      <c r="P91" s="77">
        <f>IF(VLOOKUP(A91,Database!$A:$AS,MATCH($P$1,Database!$A$1:$AS$1,0),FALSE)=0,#N/A,VLOOKUP(A91,Database!$A:$AS,MATCH($P$1,Database!$A$1:$AS$1,0),FALSE))</f>
        <v/>
      </c>
      <c r="Q91" s="77">
        <f>(((Table134567891011121314151617343[[#This Row],[JPN]]-VLOOKUP($U$1,A:Q,16,))/VLOOKUP($U$1,A:Q,16,))*100)+100</f>
        <v/>
      </c>
    </row>
    <row r="92" customFormat="1" s="87">
      <c r="A92" s="21" t="n">
        <v>35612</v>
      </c>
      <c r="B92" s="77">
        <f>IF(VLOOKUP(A92,Database!$A:$AS,MATCH($B$1,Database!$A$1:$AS$1,0),FALSE)=0,#N/A,VLOOKUP(A92,Database!$A:$AS,MATCH($B$1,Database!$A$1:$AS$1,0),FALSE))</f>
        <v/>
      </c>
      <c r="C92" s="77">
        <f>IF(VLOOKUP(A92,Database!$A:$AS,MATCH($C$1,Database!$A$1:$AS$1,0),FALSE)=0,#N/A,VLOOKUP(A92,Database!$A:$AS,MATCH($C$1,Database!$A$1:$AS$1,0),FALSE))</f>
        <v/>
      </c>
      <c r="D92" s="77">
        <f>IF(VLOOKUP(A92,Database!$A:$AS,MATCH($D$1,Database!$A$1:$AS$1,0),FALSE)=0,#N/A,VLOOKUP(A92,Database!$A:$AS,MATCH($D$1,Database!$A$1:$AS$1,0),FALSE))</f>
        <v/>
      </c>
      <c r="E92" s="77">
        <f>IF(VLOOKUP(A92,Database!$A:$AS,MATCH($E$1,Database!$A$1:$AS$1,0),FALSE)=0,#N/A,VLOOKUP(A92,Database!$A:$AS,MATCH($E$1,Database!$A$1:$AS$1,0),FALSE))</f>
        <v/>
      </c>
      <c r="F92" s="77">
        <f>IF(VLOOKUP(A92,Database!$A:$AS,MATCH($F$1,Database!$A$1:$AS$1,0),FALSE)=0,#N/A,VLOOKUP(A92,Database!$A:$AS,MATCH($F$1,Database!$A$1:$AS$1,0),FALSE))</f>
        <v/>
      </c>
      <c r="G92" s="77">
        <f>IF(VLOOKUP(A92,Database!$A:$AS,MATCH($G$1,Database!$A$1:$AS$1,0),FALSE)=0,#N/A,VLOOKUP(A92,Database!$A:$AS,MATCH($G$1,Database!$A$1:$AS$1,0),FALSE))</f>
        <v/>
      </c>
      <c r="H92" s="77">
        <f>(((Table134567891011121314151617343[[#This Row],[ITA]]-VLOOKUP($U$1,A:B,2,))/VLOOKUP($U$1,A:B,2,))*100)+100</f>
        <v/>
      </c>
      <c r="I92" s="77">
        <f>(((Table134567891011121314151617343[[#This Row],[FRA]]-VLOOKUP($U$1,A:C,3,))/VLOOKUP($U$1,A:C,3,))*100)+100</f>
        <v/>
      </c>
      <c r="J92" s="77">
        <f>(((Table134567891011121314151617343[[#This Row],[DEU]]-VLOOKUP($U$1,A:D,4,))/VLOOKUP($U$1,A:D,4,))*100)+100</f>
        <v/>
      </c>
      <c r="K92" s="77">
        <f>(((Table134567891011121314151617343[[#This Row],[ESP]]-VLOOKUP($U$1,A:E,5,))/VLOOKUP($U$1,A:E,5,))*100)+100</f>
        <v/>
      </c>
      <c r="L92" s="77">
        <f>(((Table134567891011121314151617343[[#This Row],[EA19]]-VLOOKUP($U$1,A:F,6,))/VLOOKUP($U$1,A:F,6,))*100)+100</f>
        <v/>
      </c>
      <c r="M92" s="77">
        <f>(((Table134567891011121314151617343[[#This Row],[GBR]]-VLOOKUP($U$1,A:G,7,))/VLOOKUP($U$1,A:G,7,))*100)+100</f>
        <v/>
      </c>
      <c r="N92" s="77">
        <f>IF(VLOOKUP(A92,Database!$A:$AU,MATCH($N$1,Database!$A$1:$AU$1,0),FALSE)=0,#N/A,VLOOKUP(A92,Database!$A:$AU,MATCH($N$1,Database!$A$1:$AU$1,0),FALSE))</f>
        <v/>
      </c>
      <c r="O92" s="77">
        <f>(((Table134567891011121314151617343[[#This Row],[USA]]-VLOOKUP($U$1,A:N,14,))/VLOOKUP($U$1,A:N,14,))*100)+100</f>
        <v/>
      </c>
      <c r="P92" s="77">
        <f>IF(VLOOKUP(A92,Database!$A:$AS,MATCH($P$1,Database!$A$1:$AS$1,0),FALSE)=0,#N/A,VLOOKUP(A92,Database!$A:$AS,MATCH($P$1,Database!$A$1:$AS$1,0),FALSE))</f>
        <v/>
      </c>
      <c r="Q92" s="77">
        <f>(((Table134567891011121314151617343[[#This Row],[JPN]]-VLOOKUP($U$1,A:Q,16,))/VLOOKUP($U$1,A:Q,16,))*100)+100</f>
        <v/>
      </c>
    </row>
    <row r="93" customFormat="1" s="87">
      <c r="A93" s="21" t="n">
        <v>35643</v>
      </c>
      <c r="B93" s="77">
        <f>IF(VLOOKUP(A93,Database!$A:$AS,MATCH($B$1,Database!$A$1:$AS$1,0),FALSE)=0,#N/A,VLOOKUP(A93,Database!$A:$AS,MATCH($B$1,Database!$A$1:$AS$1,0),FALSE))</f>
        <v/>
      </c>
      <c r="C93" s="77">
        <f>IF(VLOOKUP(A93,Database!$A:$AS,MATCH($C$1,Database!$A$1:$AS$1,0),FALSE)=0,#N/A,VLOOKUP(A93,Database!$A:$AS,MATCH($C$1,Database!$A$1:$AS$1,0),FALSE))</f>
        <v/>
      </c>
      <c r="D93" s="77">
        <f>IF(VLOOKUP(A93,Database!$A:$AS,MATCH($D$1,Database!$A$1:$AS$1,0),FALSE)=0,#N/A,VLOOKUP(A93,Database!$A:$AS,MATCH($D$1,Database!$A$1:$AS$1,0),FALSE))</f>
        <v/>
      </c>
      <c r="E93" s="77">
        <f>IF(VLOOKUP(A93,Database!$A:$AS,MATCH($E$1,Database!$A$1:$AS$1,0),FALSE)=0,#N/A,VLOOKUP(A93,Database!$A:$AS,MATCH($E$1,Database!$A$1:$AS$1,0),FALSE))</f>
        <v/>
      </c>
      <c r="F93" s="77">
        <f>IF(VLOOKUP(A93,Database!$A:$AS,MATCH($F$1,Database!$A$1:$AS$1,0),FALSE)=0,#N/A,VLOOKUP(A93,Database!$A:$AS,MATCH($F$1,Database!$A$1:$AS$1,0),FALSE))</f>
        <v/>
      </c>
      <c r="G93" s="77">
        <f>IF(VLOOKUP(A93,Database!$A:$AS,MATCH($G$1,Database!$A$1:$AS$1,0),FALSE)=0,#N/A,VLOOKUP(A93,Database!$A:$AS,MATCH($G$1,Database!$A$1:$AS$1,0),FALSE))</f>
        <v/>
      </c>
      <c r="H93" s="77">
        <f>(((Table134567891011121314151617343[[#This Row],[ITA]]-VLOOKUP($U$1,A:B,2,))/VLOOKUP($U$1,A:B,2,))*100)+100</f>
        <v/>
      </c>
      <c r="I93" s="77">
        <f>(((Table134567891011121314151617343[[#This Row],[FRA]]-VLOOKUP($U$1,A:C,3,))/VLOOKUP($U$1,A:C,3,))*100)+100</f>
        <v/>
      </c>
      <c r="J93" s="77">
        <f>(((Table134567891011121314151617343[[#This Row],[DEU]]-VLOOKUP($U$1,A:D,4,))/VLOOKUP($U$1,A:D,4,))*100)+100</f>
        <v/>
      </c>
      <c r="K93" s="77">
        <f>(((Table134567891011121314151617343[[#This Row],[ESP]]-VLOOKUP($U$1,A:E,5,))/VLOOKUP($U$1,A:E,5,))*100)+100</f>
        <v/>
      </c>
      <c r="L93" s="77">
        <f>(((Table134567891011121314151617343[[#This Row],[EA19]]-VLOOKUP($U$1,A:F,6,))/VLOOKUP($U$1,A:F,6,))*100)+100</f>
        <v/>
      </c>
      <c r="M93" s="77">
        <f>(((Table134567891011121314151617343[[#This Row],[GBR]]-VLOOKUP($U$1,A:G,7,))/VLOOKUP($U$1,A:G,7,))*100)+100</f>
        <v/>
      </c>
      <c r="N93" s="77">
        <f>IF(VLOOKUP(A93,Database!$A:$AU,MATCH($N$1,Database!$A$1:$AU$1,0),FALSE)=0,#N/A,VLOOKUP(A93,Database!$A:$AU,MATCH($N$1,Database!$A$1:$AU$1,0),FALSE))</f>
        <v/>
      </c>
      <c r="O93" s="77">
        <f>(((Table134567891011121314151617343[[#This Row],[USA]]-VLOOKUP($U$1,A:N,14,))/VLOOKUP($U$1,A:N,14,))*100)+100</f>
        <v/>
      </c>
      <c r="P93" s="77">
        <f>IF(VLOOKUP(A93,Database!$A:$AS,MATCH($P$1,Database!$A$1:$AS$1,0),FALSE)=0,#N/A,VLOOKUP(A93,Database!$A:$AS,MATCH($P$1,Database!$A$1:$AS$1,0),FALSE))</f>
        <v/>
      </c>
      <c r="Q93" s="77">
        <f>(((Table134567891011121314151617343[[#This Row],[JPN]]-VLOOKUP($U$1,A:Q,16,))/VLOOKUP($U$1,A:Q,16,))*100)+100</f>
        <v/>
      </c>
    </row>
    <row r="94" customFormat="1" s="87">
      <c r="A94" s="21" t="n">
        <v>35674</v>
      </c>
      <c r="B94" s="77">
        <f>IF(VLOOKUP(A94,Database!$A:$AS,MATCH($B$1,Database!$A$1:$AS$1,0),FALSE)=0,#N/A,VLOOKUP(A94,Database!$A:$AS,MATCH($B$1,Database!$A$1:$AS$1,0),FALSE))</f>
        <v/>
      </c>
      <c r="C94" s="77">
        <f>IF(VLOOKUP(A94,Database!$A:$AS,MATCH($C$1,Database!$A$1:$AS$1,0),FALSE)=0,#N/A,VLOOKUP(A94,Database!$A:$AS,MATCH($C$1,Database!$A$1:$AS$1,0),FALSE))</f>
        <v/>
      </c>
      <c r="D94" s="77">
        <f>IF(VLOOKUP(A94,Database!$A:$AS,MATCH($D$1,Database!$A$1:$AS$1,0),FALSE)=0,#N/A,VLOOKUP(A94,Database!$A:$AS,MATCH($D$1,Database!$A$1:$AS$1,0),FALSE))</f>
        <v/>
      </c>
      <c r="E94" s="77">
        <f>IF(VLOOKUP(A94,Database!$A:$AS,MATCH($E$1,Database!$A$1:$AS$1,0),FALSE)=0,#N/A,VLOOKUP(A94,Database!$A:$AS,MATCH($E$1,Database!$A$1:$AS$1,0),FALSE))</f>
        <v/>
      </c>
      <c r="F94" s="77">
        <f>IF(VLOOKUP(A94,Database!$A:$AS,MATCH($F$1,Database!$A$1:$AS$1,0),FALSE)=0,#N/A,VLOOKUP(A94,Database!$A:$AS,MATCH($F$1,Database!$A$1:$AS$1,0),FALSE))</f>
        <v/>
      </c>
      <c r="G94" s="77">
        <f>IF(VLOOKUP(A94,Database!$A:$AS,MATCH($G$1,Database!$A$1:$AS$1,0),FALSE)=0,#N/A,VLOOKUP(A94,Database!$A:$AS,MATCH($G$1,Database!$A$1:$AS$1,0),FALSE))</f>
        <v/>
      </c>
      <c r="H94" s="77">
        <f>(((Table134567891011121314151617343[[#This Row],[ITA]]-VLOOKUP($U$1,A:B,2,))/VLOOKUP($U$1,A:B,2,))*100)+100</f>
        <v/>
      </c>
      <c r="I94" s="77">
        <f>(((Table134567891011121314151617343[[#This Row],[FRA]]-VLOOKUP($U$1,A:C,3,))/VLOOKUP($U$1,A:C,3,))*100)+100</f>
        <v/>
      </c>
      <c r="J94" s="77">
        <f>(((Table134567891011121314151617343[[#This Row],[DEU]]-VLOOKUP($U$1,A:D,4,))/VLOOKUP($U$1,A:D,4,))*100)+100</f>
        <v/>
      </c>
      <c r="K94" s="77">
        <f>(((Table134567891011121314151617343[[#This Row],[ESP]]-VLOOKUP($U$1,A:E,5,))/VLOOKUP($U$1,A:E,5,))*100)+100</f>
        <v/>
      </c>
      <c r="L94" s="77">
        <f>(((Table134567891011121314151617343[[#This Row],[EA19]]-VLOOKUP($U$1,A:F,6,))/VLOOKUP($U$1,A:F,6,))*100)+100</f>
        <v/>
      </c>
      <c r="M94" s="77">
        <f>(((Table134567891011121314151617343[[#This Row],[GBR]]-VLOOKUP($U$1,A:G,7,))/VLOOKUP($U$1,A:G,7,))*100)+100</f>
        <v/>
      </c>
      <c r="N94" s="77">
        <f>IF(VLOOKUP(A94,Database!$A:$AU,MATCH($N$1,Database!$A$1:$AU$1,0),FALSE)=0,#N/A,VLOOKUP(A94,Database!$A:$AU,MATCH($N$1,Database!$A$1:$AU$1,0),FALSE))</f>
        <v/>
      </c>
      <c r="O94" s="77">
        <f>(((Table134567891011121314151617343[[#This Row],[USA]]-VLOOKUP($U$1,A:N,14,))/VLOOKUP($U$1,A:N,14,))*100)+100</f>
        <v/>
      </c>
      <c r="P94" s="77">
        <f>IF(VLOOKUP(A94,Database!$A:$AS,MATCH($P$1,Database!$A$1:$AS$1,0),FALSE)=0,#N/A,VLOOKUP(A94,Database!$A:$AS,MATCH($P$1,Database!$A$1:$AS$1,0),FALSE))</f>
        <v/>
      </c>
      <c r="Q94" s="77">
        <f>(((Table134567891011121314151617343[[#This Row],[JPN]]-VLOOKUP($U$1,A:Q,16,))/VLOOKUP($U$1,A:Q,16,))*100)+100</f>
        <v/>
      </c>
    </row>
    <row r="95" customFormat="1" s="87">
      <c r="A95" s="21" t="n">
        <v>35704</v>
      </c>
      <c r="B95" s="77">
        <f>IF(VLOOKUP(A95,Database!$A:$AS,MATCH($B$1,Database!$A$1:$AS$1,0),FALSE)=0,#N/A,VLOOKUP(A95,Database!$A:$AS,MATCH($B$1,Database!$A$1:$AS$1,0),FALSE))</f>
        <v/>
      </c>
      <c r="C95" s="77">
        <f>IF(VLOOKUP(A95,Database!$A:$AS,MATCH($C$1,Database!$A$1:$AS$1,0),FALSE)=0,#N/A,VLOOKUP(A95,Database!$A:$AS,MATCH($C$1,Database!$A$1:$AS$1,0),FALSE))</f>
        <v/>
      </c>
      <c r="D95" s="77">
        <f>IF(VLOOKUP(A95,Database!$A:$AS,MATCH($D$1,Database!$A$1:$AS$1,0),FALSE)=0,#N/A,VLOOKUP(A95,Database!$A:$AS,MATCH($D$1,Database!$A$1:$AS$1,0),FALSE))</f>
        <v/>
      </c>
      <c r="E95" s="77">
        <f>IF(VLOOKUP(A95,Database!$A:$AS,MATCH($E$1,Database!$A$1:$AS$1,0),FALSE)=0,#N/A,VLOOKUP(A95,Database!$A:$AS,MATCH($E$1,Database!$A$1:$AS$1,0),FALSE))</f>
        <v/>
      </c>
      <c r="F95" s="77">
        <f>IF(VLOOKUP(A95,Database!$A:$AS,MATCH($F$1,Database!$A$1:$AS$1,0),FALSE)=0,#N/A,VLOOKUP(A95,Database!$A:$AS,MATCH($F$1,Database!$A$1:$AS$1,0),FALSE))</f>
        <v/>
      </c>
      <c r="G95" s="77">
        <f>IF(VLOOKUP(A95,Database!$A:$AS,MATCH($G$1,Database!$A$1:$AS$1,0),FALSE)=0,#N/A,VLOOKUP(A95,Database!$A:$AS,MATCH($G$1,Database!$A$1:$AS$1,0),FALSE))</f>
        <v/>
      </c>
      <c r="H95" s="77">
        <f>(((Table134567891011121314151617343[[#This Row],[ITA]]-VLOOKUP($U$1,A:B,2,))/VLOOKUP($U$1,A:B,2,))*100)+100</f>
        <v/>
      </c>
      <c r="I95" s="77">
        <f>(((Table134567891011121314151617343[[#This Row],[FRA]]-VLOOKUP($U$1,A:C,3,))/VLOOKUP($U$1,A:C,3,))*100)+100</f>
        <v/>
      </c>
      <c r="J95" s="77">
        <f>(((Table134567891011121314151617343[[#This Row],[DEU]]-VLOOKUP($U$1,A:D,4,))/VLOOKUP($U$1,A:D,4,))*100)+100</f>
        <v/>
      </c>
      <c r="K95" s="77">
        <f>(((Table134567891011121314151617343[[#This Row],[ESP]]-VLOOKUP($U$1,A:E,5,))/VLOOKUP($U$1,A:E,5,))*100)+100</f>
        <v/>
      </c>
      <c r="L95" s="77">
        <f>(((Table134567891011121314151617343[[#This Row],[EA19]]-VLOOKUP($U$1,A:F,6,))/VLOOKUP($U$1,A:F,6,))*100)+100</f>
        <v/>
      </c>
      <c r="M95" s="77">
        <f>(((Table134567891011121314151617343[[#This Row],[GBR]]-VLOOKUP($U$1,A:G,7,))/VLOOKUP($U$1,A:G,7,))*100)+100</f>
        <v/>
      </c>
      <c r="N95" s="77">
        <f>IF(VLOOKUP(A95,Database!$A:$AU,MATCH($N$1,Database!$A$1:$AU$1,0),FALSE)=0,#N/A,VLOOKUP(A95,Database!$A:$AU,MATCH($N$1,Database!$A$1:$AU$1,0),FALSE))</f>
        <v/>
      </c>
      <c r="O95" s="77">
        <f>(((Table134567891011121314151617343[[#This Row],[USA]]-VLOOKUP($U$1,A:N,14,))/VLOOKUP($U$1,A:N,14,))*100)+100</f>
        <v/>
      </c>
      <c r="P95" s="77">
        <f>IF(VLOOKUP(A95,Database!$A:$AS,MATCH($P$1,Database!$A$1:$AS$1,0),FALSE)=0,#N/A,VLOOKUP(A95,Database!$A:$AS,MATCH($P$1,Database!$A$1:$AS$1,0),FALSE))</f>
        <v/>
      </c>
      <c r="Q95" s="77">
        <f>(((Table134567891011121314151617343[[#This Row],[JPN]]-VLOOKUP($U$1,A:Q,16,))/VLOOKUP($U$1,A:Q,16,))*100)+100</f>
        <v/>
      </c>
    </row>
    <row r="96" customFormat="1" s="87">
      <c r="A96" s="21" t="n">
        <v>35735</v>
      </c>
      <c r="B96" s="77">
        <f>IF(VLOOKUP(A96,Database!$A:$AS,MATCH($B$1,Database!$A$1:$AS$1,0),FALSE)=0,#N/A,VLOOKUP(A96,Database!$A:$AS,MATCH($B$1,Database!$A$1:$AS$1,0),FALSE))</f>
        <v/>
      </c>
      <c r="C96" s="77">
        <f>IF(VLOOKUP(A96,Database!$A:$AS,MATCH($C$1,Database!$A$1:$AS$1,0),FALSE)=0,#N/A,VLOOKUP(A96,Database!$A:$AS,MATCH($C$1,Database!$A$1:$AS$1,0),FALSE))</f>
        <v/>
      </c>
      <c r="D96" s="77">
        <f>IF(VLOOKUP(A96,Database!$A:$AS,MATCH($D$1,Database!$A$1:$AS$1,0),FALSE)=0,#N/A,VLOOKUP(A96,Database!$A:$AS,MATCH($D$1,Database!$A$1:$AS$1,0),FALSE))</f>
        <v/>
      </c>
      <c r="E96" s="77">
        <f>IF(VLOOKUP(A96,Database!$A:$AS,MATCH($E$1,Database!$A$1:$AS$1,0),FALSE)=0,#N/A,VLOOKUP(A96,Database!$A:$AS,MATCH($E$1,Database!$A$1:$AS$1,0),FALSE))</f>
        <v/>
      </c>
      <c r="F96" s="77">
        <f>IF(VLOOKUP(A96,Database!$A:$AS,MATCH($F$1,Database!$A$1:$AS$1,0),FALSE)=0,#N/A,VLOOKUP(A96,Database!$A:$AS,MATCH($F$1,Database!$A$1:$AS$1,0),FALSE))</f>
        <v/>
      </c>
      <c r="G96" s="77">
        <f>IF(VLOOKUP(A96,Database!$A:$AS,MATCH($G$1,Database!$A$1:$AS$1,0),FALSE)=0,#N/A,VLOOKUP(A96,Database!$A:$AS,MATCH($G$1,Database!$A$1:$AS$1,0),FALSE))</f>
        <v/>
      </c>
      <c r="H96" s="77">
        <f>(((Table134567891011121314151617343[[#This Row],[ITA]]-VLOOKUP($U$1,A:B,2,))/VLOOKUP($U$1,A:B,2,))*100)+100</f>
        <v/>
      </c>
      <c r="I96" s="77">
        <f>(((Table134567891011121314151617343[[#This Row],[FRA]]-VLOOKUP($U$1,A:C,3,))/VLOOKUP($U$1,A:C,3,))*100)+100</f>
        <v/>
      </c>
      <c r="J96" s="77">
        <f>(((Table134567891011121314151617343[[#This Row],[DEU]]-VLOOKUP($U$1,A:D,4,))/VLOOKUP($U$1,A:D,4,))*100)+100</f>
        <v/>
      </c>
      <c r="K96" s="77">
        <f>(((Table134567891011121314151617343[[#This Row],[ESP]]-VLOOKUP($U$1,A:E,5,))/VLOOKUP($U$1,A:E,5,))*100)+100</f>
        <v/>
      </c>
      <c r="L96" s="77">
        <f>(((Table134567891011121314151617343[[#This Row],[EA19]]-VLOOKUP($U$1,A:F,6,))/VLOOKUP($U$1,A:F,6,))*100)+100</f>
        <v/>
      </c>
      <c r="M96" s="77">
        <f>(((Table134567891011121314151617343[[#This Row],[GBR]]-VLOOKUP($U$1,A:G,7,))/VLOOKUP($U$1,A:G,7,))*100)+100</f>
        <v/>
      </c>
      <c r="N96" s="77">
        <f>IF(VLOOKUP(A96,Database!$A:$AU,MATCH($N$1,Database!$A$1:$AU$1,0),FALSE)=0,#N/A,VLOOKUP(A96,Database!$A:$AU,MATCH($N$1,Database!$A$1:$AU$1,0),FALSE))</f>
        <v/>
      </c>
      <c r="O96" s="77">
        <f>(((Table134567891011121314151617343[[#This Row],[USA]]-VLOOKUP($U$1,A:N,14,))/VLOOKUP($U$1,A:N,14,))*100)+100</f>
        <v/>
      </c>
      <c r="P96" s="77">
        <f>IF(VLOOKUP(A96,Database!$A:$AS,MATCH($P$1,Database!$A$1:$AS$1,0),FALSE)=0,#N/A,VLOOKUP(A96,Database!$A:$AS,MATCH($P$1,Database!$A$1:$AS$1,0),FALSE))</f>
        <v/>
      </c>
      <c r="Q96" s="77">
        <f>(((Table134567891011121314151617343[[#This Row],[JPN]]-VLOOKUP($U$1,A:Q,16,))/VLOOKUP($U$1,A:Q,16,))*100)+100</f>
        <v/>
      </c>
    </row>
    <row r="97" customFormat="1" s="87">
      <c r="A97" s="21" t="n">
        <v>35765</v>
      </c>
      <c r="B97" s="77">
        <f>IF(VLOOKUP(A97,Database!$A:$AS,MATCH($B$1,Database!$A$1:$AS$1,0),FALSE)=0,#N/A,VLOOKUP(A97,Database!$A:$AS,MATCH($B$1,Database!$A$1:$AS$1,0),FALSE))</f>
        <v/>
      </c>
      <c r="C97" s="77">
        <f>IF(VLOOKUP(A97,Database!$A:$AS,MATCH($C$1,Database!$A$1:$AS$1,0),FALSE)=0,#N/A,VLOOKUP(A97,Database!$A:$AS,MATCH($C$1,Database!$A$1:$AS$1,0),FALSE))</f>
        <v/>
      </c>
      <c r="D97" s="77">
        <f>IF(VLOOKUP(A97,Database!$A:$AS,MATCH($D$1,Database!$A$1:$AS$1,0),FALSE)=0,#N/A,VLOOKUP(A97,Database!$A:$AS,MATCH($D$1,Database!$A$1:$AS$1,0),FALSE))</f>
        <v/>
      </c>
      <c r="E97" s="77">
        <f>IF(VLOOKUP(A97,Database!$A:$AS,MATCH($E$1,Database!$A$1:$AS$1,0),FALSE)=0,#N/A,VLOOKUP(A97,Database!$A:$AS,MATCH($E$1,Database!$A$1:$AS$1,0),FALSE))</f>
        <v/>
      </c>
      <c r="F97" s="77">
        <f>IF(VLOOKUP(A97,Database!$A:$AS,MATCH($F$1,Database!$A$1:$AS$1,0),FALSE)=0,#N/A,VLOOKUP(A97,Database!$A:$AS,MATCH($F$1,Database!$A$1:$AS$1,0),FALSE))</f>
        <v/>
      </c>
      <c r="G97" s="77">
        <f>IF(VLOOKUP(A97,Database!$A:$AS,MATCH($G$1,Database!$A$1:$AS$1,0),FALSE)=0,#N/A,VLOOKUP(A97,Database!$A:$AS,MATCH($G$1,Database!$A$1:$AS$1,0),FALSE))</f>
        <v/>
      </c>
      <c r="H97" s="77">
        <f>(((Table134567891011121314151617343[[#This Row],[ITA]]-VLOOKUP($U$1,A:B,2,))/VLOOKUP($U$1,A:B,2,))*100)+100</f>
        <v/>
      </c>
      <c r="I97" s="77">
        <f>(((Table134567891011121314151617343[[#This Row],[FRA]]-VLOOKUP($U$1,A:C,3,))/VLOOKUP($U$1,A:C,3,))*100)+100</f>
        <v/>
      </c>
      <c r="J97" s="77">
        <f>(((Table134567891011121314151617343[[#This Row],[DEU]]-VLOOKUP($U$1,A:D,4,))/VLOOKUP($U$1,A:D,4,))*100)+100</f>
        <v/>
      </c>
      <c r="K97" s="77">
        <f>(((Table134567891011121314151617343[[#This Row],[ESP]]-VLOOKUP($U$1,A:E,5,))/VLOOKUP($U$1,A:E,5,))*100)+100</f>
        <v/>
      </c>
      <c r="L97" s="77">
        <f>(((Table134567891011121314151617343[[#This Row],[EA19]]-VLOOKUP($U$1,A:F,6,))/VLOOKUP($U$1,A:F,6,))*100)+100</f>
        <v/>
      </c>
      <c r="M97" s="77">
        <f>(((Table134567891011121314151617343[[#This Row],[GBR]]-VLOOKUP($U$1,A:G,7,))/VLOOKUP($U$1,A:G,7,))*100)+100</f>
        <v/>
      </c>
      <c r="N97" s="77">
        <f>IF(VLOOKUP(A97,Database!$A:$AU,MATCH($N$1,Database!$A$1:$AU$1,0),FALSE)=0,#N/A,VLOOKUP(A97,Database!$A:$AU,MATCH($N$1,Database!$A$1:$AU$1,0),FALSE))</f>
        <v/>
      </c>
      <c r="O97" s="77">
        <f>(((Table134567891011121314151617343[[#This Row],[USA]]-VLOOKUP($U$1,A:N,14,))/VLOOKUP($U$1,A:N,14,))*100)+100</f>
        <v/>
      </c>
      <c r="P97" s="77">
        <f>IF(VLOOKUP(A97,Database!$A:$AS,MATCH($P$1,Database!$A$1:$AS$1,0),FALSE)=0,#N/A,VLOOKUP(A97,Database!$A:$AS,MATCH($P$1,Database!$A$1:$AS$1,0),FALSE))</f>
        <v/>
      </c>
      <c r="Q97" s="77">
        <f>(((Table134567891011121314151617343[[#This Row],[JPN]]-VLOOKUP($U$1,A:Q,16,))/VLOOKUP($U$1,A:Q,16,))*100)+100</f>
        <v/>
      </c>
    </row>
    <row r="98" customFormat="1" s="87">
      <c r="A98" s="21" t="n">
        <v>35796</v>
      </c>
      <c r="B98" s="77">
        <f>IF(VLOOKUP(A98,Database!$A:$AS,MATCH($B$1,Database!$A$1:$AS$1,0),FALSE)=0,#N/A,VLOOKUP(A98,Database!$A:$AS,MATCH($B$1,Database!$A$1:$AS$1,0),FALSE))</f>
        <v/>
      </c>
      <c r="C98" s="77">
        <f>IF(VLOOKUP(A98,Database!$A:$AS,MATCH($C$1,Database!$A$1:$AS$1,0),FALSE)=0,#N/A,VLOOKUP(A98,Database!$A:$AS,MATCH($C$1,Database!$A$1:$AS$1,0),FALSE))</f>
        <v/>
      </c>
      <c r="D98" s="77">
        <f>IF(VLOOKUP(A98,Database!$A:$AS,MATCH($D$1,Database!$A$1:$AS$1,0),FALSE)=0,#N/A,VLOOKUP(A98,Database!$A:$AS,MATCH($D$1,Database!$A$1:$AS$1,0),FALSE))</f>
        <v/>
      </c>
      <c r="E98" s="77">
        <f>IF(VLOOKUP(A98,Database!$A:$AS,MATCH($E$1,Database!$A$1:$AS$1,0),FALSE)=0,#N/A,VLOOKUP(A98,Database!$A:$AS,MATCH($E$1,Database!$A$1:$AS$1,0),FALSE))</f>
        <v/>
      </c>
      <c r="F98" s="77">
        <f>IF(VLOOKUP(A98,Database!$A:$AS,MATCH($F$1,Database!$A$1:$AS$1,0),FALSE)=0,#N/A,VLOOKUP(A98,Database!$A:$AS,MATCH($F$1,Database!$A$1:$AS$1,0),FALSE))</f>
        <v/>
      </c>
      <c r="G98" s="77">
        <f>IF(VLOOKUP(A98,Database!$A:$AS,MATCH($G$1,Database!$A$1:$AS$1,0),FALSE)=0,#N/A,VLOOKUP(A98,Database!$A:$AS,MATCH($G$1,Database!$A$1:$AS$1,0),FALSE))</f>
        <v/>
      </c>
      <c r="H98" s="77">
        <f>(((Table134567891011121314151617343[[#This Row],[ITA]]-VLOOKUP($U$1,A:B,2,))/VLOOKUP($U$1,A:B,2,))*100)+100</f>
        <v/>
      </c>
      <c r="I98" s="77">
        <f>(((Table134567891011121314151617343[[#This Row],[FRA]]-VLOOKUP($U$1,A:C,3,))/VLOOKUP($U$1,A:C,3,))*100)+100</f>
        <v/>
      </c>
      <c r="J98" s="77">
        <f>(((Table134567891011121314151617343[[#This Row],[DEU]]-VLOOKUP($U$1,A:D,4,))/VLOOKUP($U$1,A:D,4,))*100)+100</f>
        <v/>
      </c>
      <c r="K98" s="77">
        <f>(((Table134567891011121314151617343[[#This Row],[ESP]]-VLOOKUP($U$1,A:E,5,))/VLOOKUP($U$1,A:E,5,))*100)+100</f>
        <v/>
      </c>
      <c r="L98" s="77">
        <f>(((Table134567891011121314151617343[[#This Row],[EA19]]-VLOOKUP($U$1,A:F,6,))/VLOOKUP($U$1,A:F,6,))*100)+100</f>
        <v/>
      </c>
      <c r="M98" s="77">
        <f>(((Table134567891011121314151617343[[#This Row],[GBR]]-VLOOKUP($U$1,A:G,7,))/VLOOKUP($U$1,A:G,7,))*100)+100</f>
        <v/>
      </c>
      <c r="N98" s="77">
        <f>IF(VLOOKUP(A98,Database!$A:$AU,MATCH($N$1,Database!$A$1:$AU$1,0),FALSE)=0,#N/A,VLOOKUP(A98,Database!$A:$AU,MATCH($N$1,Database!$A$1:$AU$1,0),FALSE))</f>
        <v/>
      </c>
      <c r="O98" s="77">
        <f>(((Table134567891011121314151617343[[#This Row],[USA]]-VLOOKUP($U$1,A:N,14,))/VLOOKUP($U$1,A:N,14,))*100)+100</f>
        <v/>
      </c>
      <c r="P98" s="77">
        <f>IF(VLOOKUP(A98,Database!$A:$AS,MATCH($P$1,Database!$A$1:$AS$1,0),FALSE)=0,#N/A,VLOOKUP(A98,Database!$A:$AS,MATCH($P$1,Database!$A$1:$AS$1,0),FALSE))</f>
        <v/>
      </c>
      <c r="Q98" s="77">
        <f>(((Table134567891011121314151617343[[#This Row],[JPN]]-VLOOKUP($U$1,A:Q,16,))/VLOOKUP($U$1,A:Q,16,))*100)+100</f>
        <v/>
      </c>
    </row>
    <row r="99" customFormat="1" s="87">
      <c r="A99" s="21" t="n">
        <v>35827</v>
      </c>
      <c r="B99" s="77">
        <f>IF(VLOOKUP(A99,Database!$A:$AS,MATCH($B$1,Database!$A$1:$AS$1,0),FALSE)=0,#N/A,VLOOKUP(A99,Database!$A:$AS,MATCH($B$1,Database!$A$1:$AS$1,0),FALSE))</f>
        <v/>
      </c>
      <c r="C99" s="77">
        <f>IF(VLOOKUP(A99,Database!$A:$AS,MATCH($C$1,Database!$A$1:$AS$1,0),FALSE)=0,#N/A,VLOOKUP(A99,Database!$A:$AS,MATCH($C$1,Database!$A$1:$AS$1,0),FALSE))</f>
        <v/>
      </c>
      <c r="D99" s="77">
        <f>IF(VLOOKUP(A99,Database!$A:$AS,MATCH($D$1,Database!$A$1:$AS$1,0),FALSE)=0,#N/A,VLOOKUP(A99,Database!$A:$AS,MATCH($D$1,Database!$A$1:$AS$1,0),FALSE))</f>
        <v/>
      </c>
      <c r="E99" s="77">
        <f>IF(VLOOKUP(A99,Database!$A:$AS,MATCH($E$1,Database!$A$1:$AS$1,0),FALSE)=0,#N/A,VLOOKUP(A99,Database!$A:$AS,MATCH($E$1,Database!$A$1:$AS$1,0),FALSE))</f>
        <v/>
      </c>
      <c r="F99" s="77">
        <f>IF(VLOOKUP(A99,Database!$A:$AS,MATCH($F$1,Database!$A$1:$AS$1,0),FALSE)=0,#N/A,VLOOKUP(A99,Database!$A:$AS,MATCH($F$1,Database!$A$1:$AS$1,0),FALSE))</f>
        <v/>
      </c>
      <c r="G99" s="77">
        <f>IF(VLOOKUP(A99,Database!$A:$AS,MATCH($G$1,Database!$A$1:$AS$1,0),FALSE)=0,#N/A,VLOOKUP(A99,Database!$A:$AS,MATCH($G$1,Database!$A$1:$AS$1,0),FALSE))</f>
        <v/>
      </c>
      <c r="H99" s="77">
        <f>(((Table134567891011121314151617343[[#This Row],[ITA]]-VLOOKUP($U$1,A:B,2,))/VLOOKUP($U$1,A:B,2,))*100)+100</f>
        <v/>
      </c>
      <c r="I99" s="77">
        <f>(((Table134567891011121314151617343[[#This Row],[FRA]]-VLOOKUP($U$1,A:C,3,))/VLOOKUP($U$1,A:C,3,))*100)+100</f>
        <v/>
      </c>
      <c r="J99" s="77">
        <f>(((Table134567891011121314151617343[[#This Row],[DEU]]-VLOOKUP($U$1,A:D,4,))/VLOOKUP($U$1,A:D,4,))*100)+100</f>
        <v/>
      </c>
      <c r="K99" s="77">
        <f>(((Table134567891011121314151617343[[#This Row],[ESP]]-VLOOKUP($U$1,A:E,5,))/VLOOKUP($U$1,A:E,5,))*100)+100</f>
        <v/>
      </c>
      <c r="L99" s="77">
        <f>(((Table134567891011121314151617343[[#This Row],[EA19]]-VLOOKUP($U$1,A:F,6,))/VLOOKUP($U$1,A:F,6,))*100)+100</f>
        <v/>
      </c>
      <c r="M99" s="77">
        <f>(((Table134567891011121314151617343[[#This Row],[GBR]]-VLOOKUP($U$1,A:G,7,))/VLOOKUP($U$1,A:G,7,))*100)+100</f>
        <v/>
      </c>
      <c r="N99" s="77">
        <f>IF(VLOOKUP(A99,Database!$A:$AU,MATCH($N$1,Database!$A$1:$AU$1,0),FALSE)=0,#N/A,VLOOKUP(A99,Database!$A:$AU,MATCH($N$1,Database!$A$1:$AU$1,0),FALSE))</f>
        <v/>
      </c>
      <c r="O99" s="77">
        <f>(((Table134567891011121314151617343[[#This Row],[USA]]-VLOOKUP($U$1,A:N,14,))/VLOOKUP($U$1,A:N,14,))*100)+100</f>
        <v/>
      </c>
      <c r="P99" s="77">
        <f>IF(VLOOKUP(A99,Database!$A:$AS,MATCH($P$1,Database!$A$1:$AS$1,0),FALSE)=0,#N/A,VLOOKUP(A99,Database!$A:$AS,MATCH($P$1,Database!$A$1:$AS$1,0),FALSE))</f>
        <v/>
      </c>
      <c r="Q99" s="77">
        <f>(((Table134567891011121314151617343[[#This Row],[JPN]]-VLOOKUP($U$1,A:Q,16,))/VLOOKUP($U$1,A:Q,16,))*100)+100</f>
        <v/>
      </c>
    </row>
    <row r="100" customFormat="1" s="87">
      <c r="A100" s="21" t="n">
        <v>35855</v>
      </c>
      <c r="B100" s="77">
        <f>IF(VLOOKUP(A100,Database!$A:$AS,MATCH($B$1,Database!$A$1:$AS$1,0),FALSE)=0,#N/A,VLOOKUP(A100,Database!$A:$AS,MATCH($B$1,Database!$A$1:$AS$1,0),FALSE))</f>
        <v/>
      </c>
      <c r="C100" s="77">
        <f>IF(VLOOKUP(A100,Database!$A:$AS,MATCH($C$1,Database!$A$1:$AS$1,0),FALSE)=0,#N/A,VLOOKUP(A100,Database!$A:$AS,MATCH($C$1,Database!$A$1:$AS$1,0),FALSE))</f>
        <v/>
      </c>
      <c r="D100" s="77">
        <f>IF(VLOOKUP(A100,Database!$A:$AS,MATCH($D$1,Database!$A$1:$AS$1,0),FALSE)=0,#N/A,VLOOKUP(A100,Database!$A:$AS,MATCH($D$1,Database!$A$1:$AS$1,0),FALSE))</f>
        <v/>
      </c>
      <c r="E100" s="77">
        <f>IF(VLOOKUP(A100,Database!$A:$AS,MATCH($E$1,Database!$A$1:$AS$1,0),FALSE)=0,#N/A,VLOOKUP(A100,Database!$A:$AS,MATCH($E$1,Database!$A$1:$AS$1,0),FALSE))</f>
        <v/>
      </c>
      <c r="F100" s="77">
        <f>IF(VLOOKUP(A100,Database!$A:$AS,MATCH($F$1,Database!$A$1:$AS$1,0),FALSE)=0,#N/A,VLOOKUP(A100,Database!$A:$AS,MATCH($F$1,Database!$A$1:$AS$1,0),FALSE))</f>
        <v/>
      </c>
      <c r="G100" s="77">
        <f>IF(VLOOKUP(A100,Database!$A:$AS,MATCH($G$1,Database!$A$1:$AS$1,0),FALSE)=0,#N/A,VLOOKUP(A100,Database!$A:$AS,MATCH($G$1,Database!$A$1:$AS$1,0),FALSE))</f>
        <v/>
      </c>
      <c r="H100" s="77">
        <f>(((Table134567891011121314151617343[[#This Row],[ITA]]-VLOOKUP($U$1,A:B,2,))/VLOOKUP($U$1,A:B,2,))*100)+100</f>
        <v/>
      </c>
      <c r="I100" s="77">
        <f>(((Table134567891011121314151617343[[#This Row],[FRA]]-VLOOKUP($U$1,A:C,3,))/VLOOKUP($U$1,A:C,3,))*100)+100</f>
        <v/>
      </c>
      <c r="J100" s="77">
        <f>(((Table134567891011121314151617343[[#This Row],[DEU]]-VLOOKUP($U$1,A:D,4,))/VLOOKUP($U$1,A:D,4,))*100)+100</f>
        <v/>
      </c>
      <c r="K100" s="77">
        <f>(((Table134567891011121314151617343[[#This Row],[ESP]]-VLOOKUP($U$1,A:E,5,))/VLOOKUP($U$1,A:E,5,))*100)+100</f>
        <v/>
      </c>
      <c r="L100" s="77">
        <f>(((Table134567891011121314151617343[[#This Row],[EA19]]-VLOOKUP($U$1,A:F,6,))/VLOOKUP($U$1,A:F,6,))*100)+100</f>
        <v/>
      </c>
      <c r="M100" s="77">
        <f>(((Table134567891011121314151617343[[#This Row],[GBR]]-VLOOKUP($U$1,A:G,7,))/VLOOKUP($U$1,A:G,7,))*100)+100</f>
        <v/>
      </c>
      <c r="N100" s="77">
        <f>IF(VLOOKUP(A100,Database!$A:$AU,MATCH($N$1,Database!$A$1:$AU$1,0),FALSE)=0,#N/A,VLOOKUP(A100,Database!$A:$AU,MATCH($N$1,Database!$A$1:$AU$1,0),FALSE))</f>
        <v/>
      </c>
      <c r="O100" s="77">
        <f>(((Table134567891011121314151617343[[#This Row],[USA]]-VLOOKUP($U$1,A:N,14,))/VLOOKUP($U$1,A:N,14,))*100)+100</f>
        <v/>
      </c>
      <c r="P100" s="77">
        <f>IF(VLOOKUP(A100,Database!$A:$AS,MATCH($P$1,Database!$A$1:$AS$1,0),FALSE)=0,#N/A,VLOOKUP(A100,Database!$A:$AS,MATCH($P$1,Database!$A$1:$AS$1,0),FALSE))</f>
        <v/>
      </c>
      <c r="Q100" s="77">
        <f>(((Table134567891011121314151617343[[#This Row],[JPN]]-VLOOKUP($U$1,A:Q,16,))/VLOOKUP($U$1,A:Q,16,))*100)+100</f>
        <v/>
      </c>
    </row>
    <row r="101" customFormat="1" s="87">
      <c r="A101" s="21" t="n">
        <v>35886</v>
      </c>
      <c r="B101" s="77">
        <f>IF(VLOOKUP(A101,Database!$A:$AS,MATCH($B$1,Database!$A$1:$AS$1,0),FALSE)=0,#N/A,VLOOKUP(A101,Database!$A:$AS,MATCH($B$1,Database!$A$1:$AS$1,0),FALSE))</f>
        <v/>
      </c>
      <c r="C101" s="77">
        <f>IF(VLOOKUP(A101,Database!$A:$AS,MATCH($C$1,Database!$A$1:$AS$1,0),FALSE)=0,#N/A,VLOOKUP(A101,Database!$A:$AS,MATCH($C$1,Database!$A$1:$AS$1,0),FALSE))</f>
        <v/>
      </c>
      <c r="D101" s="77">
        <f>IF(VLOOKUP(A101,Database!$A:$AS,MATCH($D$1,Database!$A$1:$AS$1,0),FALSE)=0,#N/A,VLOOKUP(A101,Database!$A:$AS,MATCH($D$1,Database!$A$1:$AS$1,0),FALSE))</f>
        <v/>
      </c>
      <c r="E101" s="77">
        <f>IF(VLOOKUP(A101,Database!$A:$AS,MATCH($E$1,Database!$A$1:$AS$1,0),FALSE)=0,#N/A,VLOOKUP(A101,Database!$A:$AS,MATCH($E$1,Database!$A$1:$AS$1,0),FALSE))</f>
        <v/>
      </c>
      <c r="F101" s="77">
        <f>IF(VLOOKUP(A101,Database!$A:$AS,MATCH($F$1,Database!$A$1:$AS$1,0),FALSE)=0,#N/A,VLOOKUP(A101,Database!$A:$AS,MATCH($F$1,Database!$A$1:$AS$1,0),FALSE))</f>
        <v/>
      </c>
      <c r="G101" s="77">
        <f>IF(VLOOKUP(A101,Database!$A:$AS,MATCH($G$1,Database!$A$1:$AS$1,0),FALSE)=0,#N/A,VLOOKUP(A101,Database!$A:$AS,MATCH($G$1,Database!$A$1:$AS$1,0),FALSE))</f>
        <v/>
      </c>
      <c r="H101" s="77">
        <f>(((Table134567891011121314151617343[[#This Row],[ITA]]-VLOOKUP($U$1,A:B,2,))/VLOOKUP($U$1,A:B,2,))*100)+100</f>
        <v/>
      </c>
      <c r="I101" s="77">
        <f>(((Table134567891011121314151617343[[#This Row],[FRA]]-VLOOKUP($U$1,A:C,3,))/VLOOKUP($U$1,A:C,3,))*100)+100</f>
        <v/>
      </c>
      <c r="J101" s="77">
        <f>(((Table134567891011121314151617343[[#This Row],[DEU]]-VLOOKUP($U$1,A:D,4,))/VLOOKUP($U$1,A:D,4,))*100)+100</f>
        <v/>
      </c>
      <c r="K101" s="77">
        <f>(((Table134567891011121314151617343[[#This Row],[ESP]]-VLOOKUP($U$1,A:E,5,))/VLOOKUP($U$1,A:E,5,))*100)+100</f>
        <v/>
      </c>
      <c r="L101" s="77">
        <f>(((Table134567891011121314151617343[[#This Row],[EA19]]-VLOOKUP($U$1,A:F,6,))/VLOOKUP($U$1,A:F,6,))*100)+100</f>
        <v/>
      </c>
      <c r="M101" s="77">
        <f>(((Table134567891011121314151617343[[#This Row],[GBR]]-VLOOKUP($U$1,A:G,7,))/VLOOKUP($U$1,A:G,7,))*100)+100</f>
        <v/>
      </c>
      <c r="N101" s="77">
        <f>IF(VLOOKUP(A101,Database!$A:$AU,MATCH($N$1,Database!$A$1:$AU$1,0),FALSE)=0,#N/A,VLOOKUP(A101,Database!$A:$AU,MATCH($N$1,Database!$A$1:$AU$1,0),FALSE))</f>
        <v/>
      </c>
      <c r="O101" s="77">
        <f>(((Table134567891011121314151617343[[#This Row],[USA]]-VLOOKUP($U$1,A:N,14,))/VLOOKUP($U$1,A:N,14,))*100)+100</f>
        <v/>
      </c>
      <c r="P101" s="77">
        <f>IF(VLOOKUP(A101,Database!$A:$AS,MATCH($P$1,Database!$A$1:$AS$1,0),FALSE)=0,#N/A,VLOOKUP(A101,Database!$A:$AS,MATCH($P$1,Database!$A$1:$AS$1,0),FALSE))</f>
        <v/>
      </c>
      <c r="Q101" s="77">
        <f>(((Table134567891011121314151617343[[#This Row],[JPN]]-VLOOKUP($U$1,A:Q,16,))/VLOOKUP($U$1,A:Q,16,))*100)+100</f>
        <v/>
      </c>
    </row>
    <row r="102" customFormat="1" s="87">
      <c r="A102" s="21" t="n">
        <v>35916</v>
      </c>
      <c r="B102" s="77">
        <f>IF(VLOOKUP(A102,Database!$A:$AS,MATCH($B$1,Database!$A$1:$AS$1,0),FALSE)=0,#N/A,VLOOKUP(A102,Database!$A:$AS,MATCH($B$1,Database!$A$1:$AS$1,0),FALSE))</f>
        <v/>
      </c>
      <c r="C102" s="77">
        <f>IF(VLOOKUP(A102,Database!$A:$AS,MATCH($C$1,Database!$A$1:$AS$1,0),FALSE)=0,#N/A,VLOOKUP(A102,Database!$A:$AS,MATCH($C$1,Database!$A$1:$AS$1,0),FALSE))</f>
        <v/>
      </c>
      <c r="D102" s="77">
        <f>IF(VLOOKUP(A102,Database!$A:$AS,MATCH($D$1,Database!$A$1:$AS$1,0),FALSE)=0,#N/A,VLOOKUP(A102,Database!$A:$AS,MATCH($D$1,Database!$A$1:$AS$1,0),FALSE))</f>
        <v/>
      </c>
      <c r="E102" s="77">
        <f>IF(VLOOKUP(A102,Database!$A:$AS,MATCH($E$1,Database!$A$1:$AS$1,0),FALSE)=0,#N/A,VLOOKUP(A102,Database!$A:$AS,MATCH($E$1,Database!$A$1:$AS$1,0),FALSE))</f>
        <v/>
      </c>
      <c r="F102" s="77">
        <f>IF(VLOOKUP(A102,Database!$A:$AS,MATCH($F$1,Database!$A$1:$AS$1,0),FALSE)=0,#N/A,VLOOKUP(A102,Database!$A:$AS,MATCH($F$1,Database!$A$1:$AS$1,0),FALSE))</f>
        <v/>
      </c>
      <c r="G102" s="77">
        <f>IF(VLOOKUP(A102,Database!$A:$AS,MATCH($G$1,Database!$A$1:$AS$1,0),FALSE)=0,#N/A,VLOOKUP(A102,Database!$A:$AS,MATCH($G$1,Database!$A$1:$AS$1,0),FALSE))</f>
        <v/>
      </c>
      <c r="H102" s="77">
        <f>(((Table134567891011121314151617343[[#This Row],[ITA]]-VLOOKUP($U$1,A:B,2,))/VLOOKUP($U$1,A:B,2,))*100)+100</f>
        <v/>
      </c>
      <c r="I102" s="77">
        <f>(((Table134567891011121314151617343[[#This Row],[FRA]]-VLOOKUP($U$1,A:C,3,))/VLOOKUP($U$1,A:C,3,))*100)+100</f>
        <v/>
      </c>
      <c r="J102" s="77">
        <f>(((Table134567891011121314151617343[[#This Row],[DEU]]-VLOOKUP($U$1,A:D,4,))/VLOOKUP($U$1,A:D,4,))*100)+100</f>
        <v/>
      </c>
      <c r="K102" s="77">
        <f>(((Table134567891011121314151617343[[#This Row],[ESP]]-VLOOKUP($U$1,A:E,5,))/VLOOKUP($U$1,A:E,5,))*100)+100</f>
        <v/>
      </c>
      <c r="L102" s="77">
        <f>(((Table134567891011121314151617343[[#This Row],[EA19]]-VLOOKUP($U$1,A:F,6,))/VLOOKUP($U$1,A:F,6,))*100)+100</f>
        <v/>
      </c>
      <c r="M102" s="77">
        <f>(((Table134567891011121314151617343[[#This Row],[GBR]]-VLOOKUP($U$1,A:G,7,))/VLOOKUP($U$1,A:G,7,))*100)+100</f>
        <v/>
      </c>
      <c r="N102" s="77">
        <f>IF(VLOOKUP(A102,Database!$A:$AU,MATCH($N$1,Database!$A$1:$AU$1,0),FALSE)=0,#N/A,VLOOKUP(A102,Database!$A:$AU,MATCH($N$1,Database!$A$1:$AU$1,0),FALSE))</f>
        <v/>
      </c>
      <c r="O102" s="77">
        <f>(((Table134567891011121314151617343[[#This Row],[USA]]-VLOOKUP($U$1,A:N,14,))/VLOOKUP($U$1,A:N,14,))*100)+100</f>
        <v/>
      </c>
      <c r="P102" s="77">
        <f>IF(VLOOKUP(A102,Database!$A:$AS,MATCH($P$1,Database!$A$1:$AS$1,0),FALSE)=0,#N/A,VLOOKUP(A102,Database!$A:$AS,MATCH($P$1,Database!$A$1:$AS$1,0),FALSE))</f>
        <v/>
      </c>
      <c r="Q102" s="77">
        <f>(((Table134567891011121314151617343[[#This Row],[JPN]]-VLOOKUP($U$1,A:Q,16,))/VLOOKUP($U$1,A:Q,16,))*100)+100</f>
        <v/>
      </c>
    </row>
    <row r="103" customFormat="1" s="87">
      <c r="A103" s="21" t="n">
        <v>35947</v>
      </c>
      <c r="B103" s="77">
        <f>IF(VLOOKUP(A103,Database!$A:$AS,MATCH($B$1,Database!$A$1:$AS$1,0),FALSE)=0,#N/A,VLOOKUP(A103,Database!$A:$AS,MATCH($B$1,Database!$A$1:$AS$1,0),FALSE))</f>
        <v/>
      </c>
      <c r="C103" s="77">
        <f>IF(VLOOKUP(A103,Database!$A:$AS,MATCH($C$1,Database!$A$1:$AS$1,0),FALSE)=0,#N/A,VLOOKUP(A103,Database!$A:$AS,MATCH($C$1,Database!$A$1:$AS$1,0),FALSE))</f>
        <v/>
      </c>
      <c r="D103" s="77">
        <f>IF(VLOOKUP(A103,Database!$A:$AS,MATCH($D$1,Database!$A$1:$AS$1,0),FALSE)=0,#N/A,VLOOKUP(A103,Database!$A:$AS,MATCH($D$1,Database!$A$1:$AS$1,0),FALSE))</f>
        <v/>
      </c>
      <c r="E103" s="77">
        <f>IF(VLOOKUP(A103,Database!$A:$AS,MATCH($E$1,Database!$A$1:$AS$1,0),FALSE)=0,#N/A,VLOOKUP(A103,Database!$A:$AS,MATCH($E$1,Database!$A$1:$AS$1,0),FALSE))</f>
        <v/>
      </c>
      <c r="F103" s="77">
        <f>IF(VLOOKUP(A103,Database!$A:$AS,MATCH($F$1,Database!$A$1:$AS$1,0),FALSE)=0,#N/A,VLOOKUP(A103,Database!$A:$AS,MATCH($F$1,Database!$A$1:$AS$1,0),FALSE))</f>
        <v/>
      </c>
      <c r="G103" s="77">
        <f>IF(VLOOKUP(A103,Database!$A:$AS,MATCH($G$1,Database!$A$1:$AS$1,0),FALSE)=0,#N/A,VLOOKUP(A103,Database!$A:$AS,MATCH($G$1,Database!$A$1:$AS$1,0),FALSE))</f>
        <v/>
      </c>
      <c r="H103" s="77">
        <f>(((Table134567891011121314151617343[[#This Row],[ITA]]-VLOOKUP($U$1,A:B,2,))/VLOOKUP($U$1,A:B,2,))*100)+100</f>
        <v/>
      </c>
      <c r="I103" s="77">
        <f>(((Table134567891011121314151617343[[#This Row],[FRA]]-VLOOKUP($U$1,A:C,3,))/VLOOKUP($U$1,A:C,3,))*100)+100</f>
        <v/>
      </c>
      <c r="J103" s="77">
        <f>(((Table134567891011121314151617343[[#This Row],[DEU]]-VLOOKUP($U$1,A:D,4,))/VLOOKUP($U$1,A:D,4,))*100)+100</f>
        <v/>
      </c>
      <c r="K103" s="77">
        <f>(((Table134567891011121314151617343[[#This Row],[ESP]]-VLOOKUP($U$1,A:E,5,))/VLOOKUP($U$1,A:E,5,))*100)+100</f>
        <v/>
      </c>
      <c r="L103" s="77">
        <f>(((Table134567891011121314151617343[[#This Row],[EA19]]-VLOOKUP($U$1,A:F,6,))/VLOOKUP($U$1,A:F,6,))*100)+100</f>
        <v/>
      </c>
      <c r="M103" s="77">
        <f>(((Table134567891011121314151617343[[#This Row],[GBR]]-VLOOKUP($U$1,A:G,7,))/VLOOKUP($U$1,A:G,7,))*100)+100</f>
        <v/>
      </c>
      <c r="N103" s="77">
        <f>IF(VLOOKUP(A103,Database!$A:$AU,MATCH($N$1,Database!$A$1:$AU$1,0),FALSE)=0,#N/A,VLOOKUP(A103,Database!$A:$AU,MATCH($N$1,Database!$A$1:$AU$1,0),FALSE))</f>
        <v/>
      </c>
      <c r="O103" s="77">
        <f>(((Table134567891011121314151617343[[#This Row],[USA]]-VLOOKUP($U$1,A:N,14,))/VLOOKUP($U$1,A:N,14,))*100)+100</f>
        <v/>
      </c>
      <c r="P103" s="77">
        <f>IF(VLOOKUP(A103,Database!$A:$AS,MATCH($P$1,Database!$A$1:$AS$1,0),FALSE)=0,#N/A,VLOOKUP(A103,Database!$A:$AS,MATCH($P$1,Database!$A$1:$AS$1,0),FALSE))</f>
        <v/>
      </c>
      <c r="Q103" s="77">
        <f>(((Table134567891011121314151617343[[#This Row],[JPN]]-VLOOKUP($U$1,A:Q,16,))/VLOOKUP($U$1,A:Q,16,))*100)+100</f>
        <v/>
      </c>
    </row>
    <row r="104" customFormat="1" s="87">
      <c r="A104" s="21" t="n">
        <v>35977</v>
      </c>
      <c r="B104" s="77">
        <f>IF(VLOOKUP(A104,Database!$A:$AS,MATCH($B$1,Database!$A$1:$AS$1,0),FALSE)=0,#N/A,VLOOKUP(A104,Database!$A:$AS,MATCH($B$1,Database!$A$1:$AS$1,0),FALSE))</f>
        <v/>
      </c>
      <c r="C104" s="77">
        <f>IF(VLOOKUP(A104,Database!$A:$AS,MATCH($C$1,Database!$A$1:$AS$1,0),FALSE)=0,#N/A,VLOOKUP(A104,Database!$A:$AS,MATCH($C$1,Database!$A$1:$AS$1,0),FALSE))</f>
        <v/>
      </c>
      <c r="D104" s="77">
        <f>IF(VLOOKUP(A104,Database!$A:$AS,MATCH($D$1,Database!$A$1:$AS$1,0),FALSE)=0,#N/A,VLOOKUP(A104,Database!$A:$AS,MATCH($D$1,Database!$A$1:$AS$1,0),FALSE))</f>
        <v/>
      </c>
      <c r="E104" s="77">
        <f>IF(VLOOKUP(A104,Database!$A:$AS,MATCH($E$1,Database!$A$1:$AS$1,0),FALSE)=0,#N/A,VLOOKUP(A104,Database!$A:$AS,MATCH($E$1,Database!$A$1:$AS$1,0),FALSE))</f>
        <v/>
      </c>
      <c r="F104" s="77">
        <f>IF(VLOOKUP(A104,Database!$A:$AS,MATCH($F$1,Database!$A$1:$AS$1,0),FALSE)=0,#N/A,VLOOKUP(A104,Database!$A:$AS,MATCH($F$1,Database!$A$1:$AS$1,0),FALSE))</f>
        <v/>
      </c>
      <c r="G104" s="77">
        <f>IF(VLOOKUP(A104,Database!$A:$AS,MATCH($G$1,Database!$A$1:$AS$1,0),FALSE)=0,#N/A,VLOOKUP(A104,Database!$A:$AS,MATCH($G$1,Database!$A$1:$AS$1,0),FALSE))</f>
        <v/>
      </c>
      <c r="H104" s="77">
        <f>(((Table134567891011121314151617343[[#This Row],[ITA]]-VLOOKUP($U$1,A:B,2,))/VLOOKUP($U$1,A:B,2,))*100)+100</f>
        <v/>
      </c>
      <c r="I104" s="77">
        <f>(((Table134567891011121314151617343[[#This Row],[FRA]]-VLOOKUP($U$1,A:C,3,))/VLOOKUP($U$1,A:C,3,))*100)+100</f>
        <v/>
      </c>
      <c r="J104" s="77">
        <f>(((Table134567891011121314151617343[[#This Row],[DEU]]-VLOOKUP($U$1,A:D,4,))/VLOOKUP($U$1,A:D,4,))*100)+100</f>
        <v/>
      </c>
      <c r="K104" s="77">
        <f>(((Table134567891011121314151617343[[#This Row],[ESP]]-VLOOKUP($U$1,A:E,5,))/VLOOKUP($U$1,A:E,5,))*100)+100</f>
        <v/>
      </c>
      <c r="L104" s="77">
        <f>(((Table134567891011121314151617343[[#This Row],[EA19]]-VLOOKUP($U$1,A:F,6,))/VLOOKUP($U$1,A:F,6,))*100)+100</f>
        <v/>
      </c>
      <c r="M104" s="77">
        <f>(((Table134567891011121314151617343[[#This Row],[GBR]]-VLOOKUP($U$1,A:G,7,))/VLOOKUP($U$1,A:G,7,))*100)+100</f>
        <v/>
      </c>
      <c r="N104" s="77">
        <f>IF(VLOOKUP(A104,Database!$A:$AU,MATCH($N$1,Database!$A$1:$AU$1,0),FALSE)=0,#N/A,VLOOKUP(A104,Database!$A:$AU,MATCH($N$1,Database!$A$1:$AU$1,0),FALSE))</f>
        <v/>
      </c>
      <c r="O104" s="77">
        <f>(((Table134567891011121314151617343[[#This Row],[USA]]-VLOOKUP($U$1,A:N,14,))/VLOOKUP($U$1,A:N,14,))*100)+100</f>
        <v/>
      </c>
      <c r="P104" s="77">
        <f>IF(VLOOKUP(A104,Database!$A:$AS,MATCH($P$1,Database!$A$1:$AS$1,0),FALSE)=0,#N/A,VLOOKUP(A104,Database!$A:$AS,MATCH($P$1,Database!$A$1:$AS$1,0),FALSE))</f>
        <v/>
      </c>
      <c r="Q104" s="77">
        <f>(((Table134567891011121314151617343[[#This Row],[JPN]]-VLOOKUP($U$1,A:Q,16,))/VLOOKUP($U$1,A:Q,16,))*100)+100</f>
        <v/>
      </c>
    </row>
    <row r="105" customFormat="1" s="87">
      <c r="A105" s="21" t="n">
        <v>36008</v>
      </c>
      <c r="B105" s="77">
        <f>IF(VLOOKUP(A105,Database!$A:$AS,MATCH($B$1,Database!$A$1:$AS$1,0),FALSE)=0,#N/A,VLOOKUP(A105,Database!$A:$AS,MATCH($B$1,Database!$A$1:$AS$1,0),FALSE))</f>
        <v/>
      </c>
      <c r="C105" s="77">
        <f>IF(VLOOKUP(A105,Database!$A:$AS,MATCH($C$1,Database!$A$1:$AS$1,0),FALSE)=0,#N/A,VLOOKUP(A105,Database!$A:$AS,MATCH($C$1,Database!$A$1:$AS$1,0),FALSE))</f>
        <v/>
      </c>
      <c r="D105" s="77">
        <f>IF(VLOOKUP(A105,Database!$A:$AS,MATCH($D$1,Database!$A$1:$AS$1,0),FALSE)=0,#N/A,VLOOKUP(A105,Database!$A:$AS,MATCH($D$1,Database!$A$1:$AS$1,0),FALSE))</f>
        <v/>
      </c>
      <c r="E105" s="77">
        <f>IF(VLOOKUP(A105,Database!$A:$AS,MATCH($E$1,Database!$A$1:$AS$1,0),FALSE)=0,#N/A,VLOOKUP(A105,Database!$A:$AS,MATCH($E$1,Database!$A$1:$AS$1,0),FALSE))</f>
        <v/>
      </c>
      <c r="F105" s="77">
        <f>IF(VLOOKUP(A105,Database!$A:$AS,MATCH($F$1,Database!$A$1:$AS$1,0),FALSE)=0,#N/A,VLOOKUP(A105,Database!$A:$AS,MATCH($F$1,Database!$A$1:$AS$1,0),FALSE))</f>
        <v/>
      </c>
      <c r="G105" s="77">
        <f>IF(VLOOKUP(A105,Database!$A:$AS,MATCH($G$1,Database!$A$1:$AS$1,0),FALSE)=0,#N/A,VLOOKUP(A105,Database!$A:$AS,MATCH($G$1,Database!$A$1:$AS$1,0),FALSE))</f>
        <v/>
      </c>
      <c r="H105" s="77">
        <f>(((Table134567891011121314151617343[[#This Row],[ITA]]-VLOOKUP($U$1,A:B,2,))/VLOOKUP($U$1,A:B,2,))*100)+100</f>
        <v/>
      </c>
      <c r="I105" s="77">
        <f>(((Table134567891011121314151617343[[#This Row],[FRA]]-VLOOKUP($U$1,A:C,3,))/VLOOKUP($U$1,A:C,3,))*100)+100</f>
        <v/>
      </c>
      <c r="J105" s="77">
        <f>(((Table134567891011121314151617343[[#This Row],[DEU]]-VLOOKUP($U$1,A:D,4,))/VLOOKUP($U$1,A:D,4,))*100)+100</f>
        <v/>
      </c>
      <c r="K105" s="77">
        <f>(((Table134567891011121314151617343[[#This Row],[ESP]]-VLOOKUP($U$1,A:E,5,))/VLOOKUP($U$1,A:E,5,))*100)+100</f>
        <v/>
      </c>
      <c r="L105" s="77">
        <f>(((Table134567891011121314151617343[[#This Row],[EA19]]-VLOOKUP($U$1,A:F,6,))/VLOOKUP($U$1,A:F,6,))*100)+100</f>
        <v/>
      </c>
      <c r="M105" s="77">
        <f>(((Table134567891011121314151617343[[#This Row],[GBR]]-VLOOKUP($U$1,A:G,7,))/VLOOKUP($U$1,A:G,7,))*100)+100</f>
        <v/>
      </c>
      <c r="N105" s="77">
        <f>IF(VLOOKUP(A105,Database!$A:$AU,MATCH($N$1,Database!$A$1:$AU$1,0),FALSE)=0,#N/A,VLOOKUP(A105,Database!$A:$AU,MATCH($N$1,Database!$A$1:$AU$1,0),FALSE))</f>
        <v/>
      </c>
      <c r="O105" s="77">
        <f>(((Table134567891011121314151617343[[#This Row],[USA]]-VLOOKUP($U$1,A:N,14,))/VLOOKUP($U$1,A:N,14,))*100)+100</f>
        <v/>
      </c>
      <c r="P105" s="77">
        <f>IF(VLOOKUP(A105,Database!$A:$AS,MATCH($P$1,Database!$A$1:$AS$1,0),FALSE)=0,#N/A,VLOOKUP(A105,Database!$A:$AS,MATCH($P$1,Database!$A$1:$AS$1,0),FALSE))</f>
        <v/>
      </c>
      <c r="Q105" s="77">
        <f>(((Table134567891011121314151617343[[#This Row],[JPN]]-VLOOKUP($U$1,A:Q,16,))/VLOOKUP($U$1,A:Q,16,))*100)+100</f>
        <v/>
      </c>
    </row>
    <row r="106" customFormat="1" s="87">
      <c r="A106" s="21" t="n">
        <v>36039</v>
      </c>
      <c r="B106" s="77">
        <f>IF(VLOOKUP(A106,Database!$A:$AS,MATCH($B$1,Database!$A$1:$AS$1,0),FALSE)=0,#N/A,VLOOKUP(A106,Database!$A:$AS,MATCH($B$1,Database!$A$1:$AS$1,0),FALSE))</f>
        <v/>
      </c>
      <c r="C106" s="77">
        <f>IF(VLOOKUP(A106,Database!$A:$AS,MATCH($C$1,Database!$A$1:$AS$1,0),FALSE)=0,#N/A,VLOOKUP(A106,Database!$A:$AS,MATCH($C$1,Database!$A$1:$AS$1,0),FALSE))</f>
        <v/>
      </c>
      <c r="D106" s="77">
        <f>IF(VLOOKUP(A106,Database!$A:$AS,MATCH($D$1,Database!$A$1:$AS$1,0),FALSE)=0,#N/A,VLOOKUP(A106,Database!$A:$AS,MATCH($D$1,Database!$A$1:$AS$1,0),FALSE))</f>
        <v/>
      </c>
      <c r="E106" s="77">
        <f>IF(VLOOKUP(A106,Database!$A:$AS,MATCH($E$1,Database!$A$1:$AS$1,0),FALSE)=0,#N/A,VLOOKUP(A106,Database!$A:$AS,MATCH($E$1,Database!$A$1:$AS$1,0),FALSE))</f>
        <v/>
      </c>
      <c r="F106" s="77">
        <f>IF(VLOOKUP(A106,Database!$A:$AS,MATCH($F$1,Database!$A$1:$AS$1,0),FALSE)=0,#N/A,VLOOKUP(A106,Database!$A:$AS,MATCH($F$1,Database!$A$1:$AS$1,0),FALSE))</f>
        <v/>
      </c>
      <c r="G106" s="77">
        <f>IF(VLOOKUP(A106,Database!$A:$AS,MATCH($G$1,Database!$A$1:$AS$1,0),FALSE)=0,#N/A,VLOOKUP(A106,Database!$A:$AS,MATCH($G$1,Database!$A$1:$AS$1,0),FALSE))</f>
        <v/>
      </c>
      <c r="H106" s="77">
        <f>(((Table134567891011121314151617343[[#This Row],[ITA]]-VLOOKUP($U$1,A:B,2,))/VLOOKUP($U$1,A:B,2,))*100)+100</f>
        <v/>
      </c>
      <c r="I106" s="77">
        <f>(((Table134567891011121314151617343[[#This Row],[FRA]]-VLOOKUP($U$1,A:C,3,))/VLOOKUP($U$1,A:C,3,))*100)+100</f>
        <v/>
      </c>
      <c r="J106" s="77">
        <f>(((Table134567891011121314151617343[[#This Row],[DEU]]-VLOOKUP($U$1,A:D,4,))/VLOOKUP($U$1,A:D,4,))*100)+100</f>
        <v/>
      </c>
      <c r="K106" s="77">
        <f>(((Table134567891011121314151617343[[#This Row],[ESP]]-VLOOKUP($U$1,A:E,5,))/VLOOKUP($U$1,A:E,5,))*100)+100</f>
        <v/>
      </c>
      <c r="L106" s="77">
        <f>(((Table134567891011121314151617343[[#This Row],[EA19]]-VLOOKUP($U$1,A:F,6,))/VLOOKUP($U$1,A:F,6,))*100)+100</f>
        <v/>
      </c>
      <c r="M106" s="77">
        <f>(((Table134567891011121314151617343[[#This Row],[GBR]]-VLOOKUP($U$1,A:G,7,))/VLOOKUP($U$1,A:G,7,))*100)+100</f>
        <v/>
      </c>
      <c r="N106" s="77">
        <f>IF(VLOOKUP(A106,Database!$A:$AU,MATCH($N$1,Database!$A$1:$AU$1,0),FALSE)=0,#N/A,VLOOKUP(A106,Database!$A:$AU,MATCH($N$1,Database!$A$1:$AU$1,0),FALSE))</f>
        <v/>
      </c>
      <c r="O106" s="77">
        <f>(((Table134567891011121314151617343[[#This Row],[USA]]-VLOOKUP($U$1,A:N,14,))/VLOOKUP($U$1,A:N,14,))*100)+100</f>
        <v/>
      </c>
      <c r="P106" s="77">
        <f>IF(VLOOKUP(A106,Database!$A:$AS,MATCH($P$1,Database!$A$1:$AS$1,0),FALSE)=0,#N/A,VLOOKUP(A106,Database!$A:$AS,MATCH($P$1,Database!$A$1:$AS$1,0),FALSE))</f>
        <v/>
      </c>
      <c r="Q106" s="77">
        <f>(((Table134567891011121314151617343[[#This Row],[JPN]]-VLOOKUP($U$1,A:Q,16,))/VLOOKUP($U$1,A:Q,16,))*100)+100</f>
        <v/>
      </c>
    </row>
    <row r="107" customFormat="1" s="87">
      <c r="A107" s="21" t="n">
        <v>36069</v>
      </c>
      <c r="B107" s="77">
        <f>IF(VLOOKUP(A107,Database!$A:$AS,MATCH($B$1,Database!$A$1:$AS$1,0),FALSE)=0,#N/A,VLOOKUP(A107,Database!$A:$AS,MATCH($B$1,Database!$A$1:$AS$1,0),FALSE))</f>
        <v/>
      </c>
      <c r="C107" s="77">
        <f>IF(VLOOKUP(A107,Database!$A:$AS,MATCH($C$1,Database!$A$1:$AS$1,0),FALSE)=0,#N/A,VLOOKUP(A107,Database!$A:$AS,MATCH($C$1,Database!$A$1:$AS$1,0),FALSE))</f>
        <v/>
      </c>
      <c r="D107" s="77">
        <f>IF(VLOOKUP(A107,Database!$A:$AS,MATCH($D$1,Database!$A$1:$AS$1,0),FALSE)=0,#N/A,VLOOKUP(A107,Database!$A:$AS,MATCH($D$1,Database!$A$1:$AS$1,0),FALSE))</f>
        <v/>
      </c>
      <c r="E107" s="77">
        <f>IF(VLOOKUP(A107,Database!$A:$AS,MATCH($E$1,Database!$A$1:$AS$1,0),FALSE)=0,#N/A,VLOOKUP(A107,Database!$A:$AS,MATCH($E$1,Database!$A$1:$AS$1,0),FALSE))</f>
        <v/>
      </c>
      <c r="F107" s="77">
        <f>IF(VLOOKUP(A107,Database!$A:$AS,MATCH($F$1,Database!$A$1:$AS$1,0),FALSE)=0,#N/A,VLOOKUP(A107,Database!$A:$AS,MATCH($F$1,Database!$A$1:$AS$1,0),FALSE))</f>
        <v/>
      </c>
      <c r="G107" s="77">
        <f>IF(VLOOKUP(A107,Database!$A:$AS,MATCH($G$1,Database!$A$1:$AS$1,0),FALSE)=0,#N/A,VLOOKUP(A107,Database!$A:$AS,MATCH($G$1,Database!$A$1:$AS$1,0),FALSE))</f>
        <v/>
      </c>
      <c r="H107" s="77">
        <f>(((Table134567891011121314151617343[[#This Row],[ITA]]-VLOOKUP($U$1,A:B,2,))/VLOOKUP($U$1,A:B,2,))*100)+100</f>
        <v/>
      </c>
      <c r="I107" s="77">
        <f>(((Table134567891011121314151617343[[#This Row],[FRA]]-VLOOKUP($U$1,A:C,3,))/VLOOKUP($U$1,A:C,3,))*100)+100</f>
        <v/>
      </c>
      <c r="J107" s="77">
        <f>(((Table134567891011121314151617343[[#This Row],[DEU]]-VLOOKUP($U$1,A:D,4,))/VLOOKUP($U$1,A:D,4,))*100)+100</f>
        <v/>
      </c>
      <c r="K107" s="77">
        <f>(((Table134567891011121314151617343[[#This Row],[ESP]]-VLOOKUP($U$1,A:E,5,))/VLOOKUP($U$1,A:E,5,))*100)+100</f>
        <v/>
      </c>
      <c r="L107" s="77">
        <f>(((Table134567891011121314151617343[[#This Row],[EA19]]-VLOOKUP($U$1,A:F,6,))/VLOOKUP($U$1,A:F,6,))*100)+100</f>
        <v/>
      </c>
      <c r="M107" s="77">
        <f>(((Table134567891011121314151617343[[#This Row],[GBR]]-VLOOKUP($U$1,A:G,7,))/VLOOKUP($U$1,A:G,7,))*100)+100</f>
        <v/>
      </c>
      <c r="N107" s="77">
        <f>IF(VLOOKUP(A107,Database!$A:$AU,MATCH($N$1,Database!$A$1:$AU$1,0),FALSE)=0,#N/A,VLOOKUP(A107,Database!$A:$AU,MATCH($N$1,Database!$A$1:$AU$1,0),FALSE))</f>
        <v/>
      </c>
      <c r="O107" s="77">
        <f>(((Table134567891011121314151617343[[#This Row],[USA]]-VLOOKUP($U$1,A:N,14,))/VLOOKUP($U$1,A:N,14,))*100)+100</f>
        <v/>
      </c>
      <c r="P107" s="77">
        <f>IF(VLOOKUP(A107,Database!$A:$AS,MATCH($P$1,Database!$A$1:$AS$1,0),FALSE)=0,#N/A,VLOOKUP(A107,Database!$A:$AS,MATCH($P$1,Database!$A$1:$AS$1,0),FALSE))</f>
        <v/>
      </c>
      <c r="Q107" s="77">
        <f>(((Table134567891011121314151617343[[#This Row],[JPN]]-VLOOKUP($U$1,A:Q,16,))/VLOOKUP($U$1,A:Q,16,))*100)+100</f>
        <v/>
      </c>
    </row>
    <row r="108" customFormat="1" s="87">
      <c r="A108" s="21" t="n">
        <v>36100</v>
      </c>
      <c r="B108" s="77">
        <f>IF(VLOOKUP(A108,Database!$A:$AS,MATCH($B$1,Database!$A$1:$AS$1,0),FALSE)=0,#N/A,VLOOKUP(A108,Database!$A:$AS,MATCH($B$1,Database!$A$1:$AS$1,0),FALSE))</f>
        <v/>
      </c>
      <c r="C108" s="77">
        <f>IF(VLOOKUP(A108,Database!$A:$AS,MATCH($C$1,Database!$A$1:$AS$1,0),FALSE)=0,#N/A,VLOOKUP(A108,Database!$A:$AS,MATCH($C$1,Database!$A$1:$AS$1,0),FALSE))</f>
        <v/>
      </c>
      <c r="D108" s="77">
        <f>IF(VLOOKUP(A108,Database!$A:$AS,MATCH($D$1,Database!$A$1:$AS$1,0),FALSE)=0,#N/A,VLOOKUP(A108,Database!$A:$AS,MATCH($D$1,Database!$A$1:$AS$1,0),FALSE))</f>
        <v/>
      </c>
      <c r="E108" s="77">
        <f>IF(VLOOKUP(A108,Database!$A:$AS,MATCH($E$1,Database!$A$1:$AS$1,0),FALSE)=0,#N/A,VLOOKUP(A108,Database!$A:$AS,MATCH($E$1,Database!$A$1:$AS$1,0),FALSE))</f>
        <v/>
      </c>
      <c r="F108" s="77">
        <f>IF(VLOOKUP(A108,Database!$A:$AS,MATCH($F$1,Database!$A$1:$AS$1,0),FALSE)=0,#N/A,VLOOKUP(A108,Database!$A:$AS,MATCH($F$1,Database!$A$1:$AS$1,0),FALSE))</f>
        <v/>
      </c>
      <c r="G108" s="77">
        <f>IF(VLOOKUP(A108,Database!$A:$AS,MATCH($G$1,Database!$A$1:$AS$1,0),FALSE)=0,#N/A,VLOOKUP(A108,Database!$A:$AS,MATCH($G$1,Database!$A$1:$AS$1,0),FALSE))</f>
        <v/>
      </c>
      <c r="H108" s="77">
        <f>(((Table134567891011121314151617343[[#This Row],[ITA]]-VLOOKUP($U$1,A:B,2,))/VLOOKUP($U$1,A:B,2,))*100)+100</f>
        <v/>
      </c>
      <c r="I108" s="77">
        <f>(((Table134567891011121314151617343[[#This Row],[FRA]]-VLOOKUP($U$1,A:C,3,))/VLOOKUP($U$1,A:C,3,))*100)+100</f>
        <v/>
      </c>
      <c r="J108" s="77">
        <f>(((Table134567891011121314151617343[[#This Row],[DEU]]-VLOOKUP($U$1,A:D,4,))/VLOOKUP($U$1,A:D,4,))*100)+100</f>
        <v/>
      </c>
      <c r="K108" s="77">
        <f>(((Table134567891011121314151617343[[#This Row],[ESP]]-VLOOKUP($U$1,A:E,5,))/VLOOKUP($U$1,A:E,5,))*100)+100</f>
        <v/>
      </c>
      <c r="L108" s="77">
        <f>(((Table134567891011121314151617343[[#This Row],[EA19]]-VLOOKUP($U$1,A:F,6,))/VLOOKUP($U$1,A:F,6,))*100)+100</f>
        <v/>
      </c>
      <c r="M108" s="77">
        <f>(((Table134567891011121314151617343[[#This Row],[GBR]]-VLOOKUP($U$1,A:G,7,))/VLOOKUP($U$1,A:G,7,))*100)+100</f>
        <v/>
      </c>
      <c r="N108" s="77">
        <f>IF(VLOOKUP(A108,Database!$A:$AU,MATCH($N$1,Database!$A$1:$AU$1,0),FALSE)=0,#N/A,VLOOKUP(A108,Database!$A:$AU,MATCH($N$1,Database!$A$1:$AU$1,0),FALSE))</f>
        <v/>
      </c>
      <c r="O108" s="77">
        <f>(((Table134567891011121314151617343[[#This Row],[USA]]-VLOOKUP($U$1,A:N,14,))/VLOOKUP($U$1,A:N,14,))*100)+100</f>
        <v/>
      </c>
      <c r="P108" s="77">
        <f>IF(VLOOKUP(A108,Database!$A:$AS,MATCH($P$1,Database!$A$1:$AS$1,0),FALSE)=0,#N/A,VLOOKUP(A108,Database!$A:$AS,MATCH($P$1,Database!$A$1:$AS$1,0),FALSE))</f>
        <v/>
      </c>
      <c r="Q108" s="77">
        <f>(((Table134567891011121314151617343[[#This Row],[JPN]]-VLOOKUP($U$1,A:Q,16,))/VLOOKUP($U$1,A:Q,16,))*100)+100</f>
        <v/>
      </c>
    </row>
    <row r="109" customFormat="1" s="87">
      <c r="A109" s="21" t="n">
        <v>36130</v>
      </c>
      <c r="B109" s="77">
        <f>IF(VLOOKUP(A109,Database!$A:$AS,MATCH($B$1,Database!$A$1:$AS$1,0),FALSE)=0,#N/A,VLOOKUP(A109,Database!$A:$AS,MATCH($B$1,Database!$A$1:$AS$1,0),FALSE))</f>
        <v/>
      </c>
      <c r="C109" s="77">
        <f>IF(VLOOKUP(A109,Database!$A:$AS,MATCH($C$1,Database!$A$1:$AS$1,0),FALSE)=0,#N/A,VLOOKUP(A109,Database!$A:$AS,MATCH($C$1,Database!$A$1:$AS$1,0),FALSE))</f>
        <v/>
      </c>
      <c r="D109" s="77">
        <f>IF(VLOOKUP(A109,Database!$A:$AS,MATCH($D$1,Database!$A$1:$AS$1,0),FALSE)=0,#N/A,VLOOKUP(A109,Database!$A:$AS,MATCH($D$1,Database!$A$1:$AS$1,0),FALSE))</f>
        <v/>
      </c>
      <c r="E109" s="77">
        <f>IF(VLOOKUP(A109,Database!$A:$AS,MATCH($E$1,Database!$A$1:$AS$1,0),FALSE)=0,#N/A,VLOOKUP(A109,Database!$A:$AS,MATCH($E$1,Database!$A$1:$AS$1,0),FALSE))</f>
        <v/>
      </c>
      <c r="F109" s="77">
        <f>IF(VLOOKUP(A109,Database!$A:$AS,MATCH($F$1,Database!$A$1:$AS$1,0),FALSE)=0,#N/A,VLOOKUP(A109,Database!$A:$AS,MATCH($F$1,Database!$A$1:$AS$1,0),FALSE))</f>
        <v/>
      </c>
      <c r="G109" s="77">
        <f>IF(VLOOKUP(A109,Database!$A:$AS,MATCH($G$1,Database!$A$1:$AS$1,0),FALSE)=0,#N/A,VLOOKUP(A109,Database!$A:$AS,MATCH($G$1,Database!$A$1:$AS$1,0),FALSE))</f>
        <v/>
      </c>
      <c r="H109" s="77">
        <f>(((Table134567891011121314151617343[[#This Row],[ITA]]-VLOOKUP($U$1,A:B,2,))/VLOOKUP($U$1,A:B,2,))*100)+100</f>
        <v/>
      </c>
      <c r="I109" s="77">
        <f>(((Table134567891011121314151617343[[#This Row],[FRA]]-VLOOKUP($U$1,A:C,3,))/VLOOKUP($U$1,A:C,3,))*100)+100</f>
        <v/>
      </c>
      <c r="J109" s="77">
        <f>(((Table134567891011121314151617343[[#This Row],[DEU]]-VLOOKUP($U$1,A:D,4,))/VLOOKUP($U$1,A:D,4,))*100)+100</f>
        <v/>
      </c>
      <c r="K109" s="77">
        <f>(((Table134567891011121314151617343[[#This Row],[ESP]]-VLOOKUP($U$1,A:E,5,))/VLOOKUP($U$1,A:E,5,))*100)+100</f>
        <v/>
      </c>
      <c r="L109" s="77">
        <f>(((Table134567891011121314151617343[[#This Row],[EA19]]-VLOOKUP($U$1,A:F,6,))/VLOOKUP($U$1,A:F,6,))*100)+100</f>
        <v/>
      </c>
      <c r="M109" s="77">
        <f>(((Table134567891011121314151617343[[#This Row],[GBR]]-VLOOKUP($U$1,A:G,7,))/VLOOKUP($U$1,A:G,7,))*100)+100</f>
        <v/>
      </c>
      <c r="N109" s="77">
        <f>IF(VLOOKUP(A109,Database!$A:$AU,MATCH($N$1,Database!$A$1:$AU$1,0),FALSE)=0,#N/A,VLOOKUP(A109,Database!$A:$AU,MATCH($N$1,Database!$A$1:$AU$1,0),FALSE))</f>
        <v/>
      </c>
      <c r="O109" s="77">
        <f>(((Table134567891011121314151617343[[#This Row],[USA]]-VLOOKUP($U$1,A:N,14,))/VLOOKUP($U$1,A:N,14,))*100)+100</f>
        <v/>
      </c>
      <c r="P109" s="77">
        <f>IF(VLOOKUP(A109,Database!$A:$AS,MATCH($P$1,Database!$A$1:$AS$1,0),FALSE)=0,#N/A,VLOOKUP(A109,Database!$A:$AS,MATCH($P$1,Database!$A$1:$AS$1,0),FALSE))</f>
        <v/>
      </c>
      <c r="Q109" s="77">
        <f>(((Table134567891011121314151617343[[#This Row],[JPN]]-VLOOKUP($U$1,A:Q,16,))/VLOOKUP($U$1,A:Q,16,))*100)+100</f>
        <v/>
      </c>
    </row>
    <row r="110" customFormat="1" s="87">
      <c r="A110" s="21" t="n">
        <v>36161</v>
      </c>
      <c r="B110" s="77">
        <f>IF(VLOOKUP(A110,Database!$A:$AS,MATCH($B$1,Database!$A$1:$AS$1,0),FALSE)=0,#N/A,VLOOKUP(A110,Database!$A:$AS,MATCH($B$1,Database!$A$1:$AS$1,0),FALSE))</f>
        <v/>
      </c>
      <c r="C110" s="77">
        <f>IF(VLOOKUP(A110,Database!$A:$AS,MATCH($C$1,Database!$A$1:$AS$1,0),FALSE)=0,#N/A,VLOOKUP(A110,Database!$A:$AS,MATCH($C$1,Database!$A$1:$AS$1,0),FALSE))</f>
        <v/>
      </c>
      <c r="D110" s="77">
        <f>IF(VLOOKUP(A110,Database!$A:$AS,MATCH($D$1,Database!$A$1:$AS$1,0),FALSE)=0,#N/A,VLOOKUP(A110,Database!$A:$AS,MATCH($D$1,Database!$A$1:$AS$1,0),FALSE))</f>
        <v/>
      </c>
      <c r="E110" s="77">
        <f>IF(VLOOKUP(A110,Database!$A:$AS,MATCH($E$1,Database!$A$1:$AS$1,0),FALSE)=0,#N/A,VLOOKUP(A110,Database!$A:$AS,MATCH($E$1,Database!$A$1:$AS$1,0),FALSE))</f>
        <v/>
      </c>
      <c r="F110" s="77">
        <f>IF(VLOOKUP(A110,Database!$A:$AS,MATCH($F$1,Database!$A$1:$AS$1,0),FALSE)=0,#N/A,VLOOKUP(A110,Database!$A:$AS,MATCH($F$1,Database!$A$1:$AS$1,0),FALSE))</f>
        <v/>
      </c>
      <c r="G110" s="77">
        <f>IF(VLOOKUP(A110,Database!$A:$AS,MATCH($G$1,Database!$A$1:$AS$1,0),FALSE)=0,#N/A,VLOOKUP(A110,Database!$A:$AS,MATCH($G$1,Database!$A$1:$AS$1,0),FALSE))</f>
        <v/>
      </c>
      <c r="H110" s="77">
        <f>(((Table134567891011121314151617343[[#This Row],[ITA]]-VLOOKUP($U$1,A:B,2,))/VLOOKUP($U$1,A:B,2,))*100)+100</f>
        <v/>
      </c>
      <c r="I110" s="77">
        <f>(((Table134567891011121314151617343[[#This Row],[FRA]]-VLOOKUP($U$1,A:C,3,))/VLOOKUP($U$1,A:C,3,))*100)+100</f>
        <v/>
      </c>
      <c r="J110" s="77">
        <f>(((Table134567891011121314151617343[[#This Row],[DEU]]-VLOOKUP($U$1,A:D,4,))/VLOOKUP($U$1,A:D,4,))*100)+100</f>
        <v/>
      </c>
      <c r="K110" s="77">
        <f>(((Table134567891011121314151617343[[#This Row],[ESP]]-VLOOKUP($U$1,A:E,5,))/VLOOKUP($U$1,A:E,5,))*100)+100</f>
        <v/>
      </c>
      <c r="L110" s="77">
        <f>(((Table134567891011121314151617343[[#This Row],[EA19]]-VLOOKUP($U$1,A:F,6,))/VLOOKUP($U$1,A:F,6,))*100)+100</f>
        <v/>
      </c>
      <c r="M110" s="77">
        <f>(((Table134567891011121314151617343[[#This Row],[GBR]]-VLOOKUP($U$1,A:G,7,))/VLOOKUP($U$1,A:G,7,))*100)+100</f>
        <v/>
      </c>
      <c r="N110" s="77">
        <f>IF(VLOOKUP(A110,Database!$A:$AU,MATCH($N$1,Database!$A$1:$AU$1,0),FALSE)=0,#N/A,VLOOKUP(A110,Database!$A:$AU,MATCH($N$1,Database!$A$1:$AU$1,0),FALSE))</f>
        <v/>
      </c>
      <c r="O110" s="77">
        <f>(((Table134567891011121314151617343[[#This Row],[USA]]-VLOOKUP($U$1,A:N,14,))/VLOOKUP($U$1,A:N,14,))*100)+100</f>
        <v/>
      </c>
      <c r="P110" s="77">
        <f>IF(VLOOKUP(A110,Database!$A:$AS,MATCH($P$1,Database!$A$1:$AS$1,0),FALSE)=0,#N/A,VLOOKUP(A110,Database!$A:$AS,MATCH($P$1,Database!$A$1:$AS$1,0),FALSE))</f>
        <v/>
      </c>
      <c r="Q110" s="77">
        <f>(((Table134567891011121314151617343[[#This Row],[JPN]]-VLOOKUP($U$1,A:Q,16,))/VLOOKUP($U$1,A:Q,16,))*100)+100</f>
        <v/>
      </c>
    </row>
    <row r="111" customFormat="1" s="87">
      <c r="A111" s="21" t="n">
        <v>36192</v>
      </c>
      <c r="B111" s="77">
        <f>IF(VLOOKUP(A111,Database!$A:$AS,MATCH($B$1,Database!$A$1:$AS$1,0),FALSE)=0,#N/A,VLOOKUP(A111,Database!$A:$AS,MATCH($B$1,Database!$A$1:$AS$1,0),FALSE))</f>
        <v/>
      </c>
      <c r="C111" s="77">
        <f>IF(VLOOKUP(A111,Database!$A:$AS,MATCH($C$1,Database!$A$1:$AS$1,0),FALSE)=0,#N/A,VLOOKUP(A111,Database!$A:$AS,MATCH($C$1,Database!$A$1:$AS$1,0),FALSE))</f>
        <v/>
      </c>
      <c r="D111" s="77">
        <f>IF(VLOOKUP(A111,Database!$A:$AS,MATCH($D$1,Database!$A$1:$AS$1,0),FALSE)=0,#N/A,VLOOKUP(A111,Database!$A:$AS,MATCH($D$1,Database!$A$1:$AS$1,0),FALSE))</f>
        <v/>
      </c>
      <c r="E111" s="77">
        <f>IF(VLOOKUP(A111,Database!$A:$AS,MATCH($E$1,Database!$A$1:$AS$1,0),FALSE)=0,#N/A,VLOOKUP(A111,Database!$A:$AS,MATCH($E$1,Database!$A$1:$AS$1,0),FALSE))</f>
        <v/>
      </c>
      <c r="F111" s="77">
        <f>IF(VLOOKUP(A111,Database!$A:$AS,MATCH($F$1,Database!$A$1:$AS$1,0),FALSE)=0,#N/A,VLOOKUP(A111,Database!$A:$AS,MATCH($F$1,Database!$A$1:$AS$1,0),FALSE))</f>
        <v/>
      </c>
      <c r="G111" s="77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7">
        <f>(((Table134567891011121314151617343[[#This Row],[FRA]]-VLOOKUP($U$1,A:C,3,))/VLOOKUP($U$1,A:C,3,))*100)+100</f>
        <v/>
      </c>
      <c r="J111" s="77">
        <f>(((Table134567891011121314151617343[[#This Row],[DEU]]-VLOOKUP($U$1,A:D,4,))/VLOOKUP($U$1,A:D,4,))*100)+100</f>
        <v/>
      </c>
      <c r="K111" s="77">
        <f>(((Table134567891011121314151617343[[#This Row],[ESP]]-VLOOKUP($U$1,A:E,5,))/VLOOKUP($U$1,A:E,5,))*100)+100</f>
        <v/>
      </c>
      <c r="L111" s="77">
        <f>(((Table134567891011121314151617343[[#This Row],[EA19]]-VLOOKUP($U$1,A:F,6,))/VLOOKUP($U$1,A:F,6,))*100)+100</f>
        <v/>
      </c>
      <c r="M111" s="77">
        <f>(((Table134567891011121314151617343[[#This Row],[GBR]]-VLOOKUP($U$1,A:G,7,))/VLOOKUP($U$1,A:G,7,))*100)+100</f>
        <v/>
      </c>
      <c r="N111" s="77">
        <f>IF(VLOOKUP(A111,Database!$A:$AU,MATCH($N$1,Database!$A$1:$AU$1,0),FALSE)=0,#N/A,VLOOKUP(A111,Database!$A:$AU,MATCH($N$1,Database!$A$1:$AU$1,0),FALSE))</f>
        <v/>
      </c>
      <c r="O111" s="77">
        <f>(((Table134567891011121314151617343[[#This Row],[USA]]-VLOOKUP($U$1,A:N,14,))/VLOOKUP($U$1,A:N,14,))*100)+100</f>
        <v/>
      </c>
      <c r="P111" s="77">
        <f>IF(VLOOKUP(A111,Database!$A:$AS,MATCH($P$1,Database!$A$1:$AS$1,0),FALSE)=0,#N/A,VLOOKUP(A111,Database!$A:$AS,MATCH($P$1,Database!$A$1:$AS$1,0),FALSE))</f>
        <v/>
      </c>
      <c r="Q111" s="77">
        <f>(((Table134567891011121314151617343[[#This Row],[JPN]]-VLOOKUP($U$1,A:Q,16,))/VLOOKUP($U$1,A:Q,16,))*100)+100</f>
        <v/>
      </c>
    </row>
    <row r="112" customFormat="1" s="87">
      <c r="A112" s="21" t="n">
        <v>36220</v>
      </c>
      <c r="B112" s="77">
        <f>IF(VLOOKUP(A112,Database!$A:$AS,MATCH($B$1,Database!$A$1:$AS$1,0),FALSE)=0,#N/A,VLOOKUP(A112,Database!$A:$AS,MATCH($B$1,Database!$A$1:$AS$1,0),FALSE))</f>
        <v/>
      </c>
      <c r="C112" s="77">
        <f>IF(VLOOKUP(A112,Database!$A:$AS,MATCH($C$1,Database!$A$1:$AS$1,0),FALSE)=0,#N/A,VLOOKUP(A112,Database!$A:$AS,MATCH($C$1,Database!$A$1:$AS$1,0),FALSE))</f>
        <v/>
      </c>
      <c r="D112" s="77">
        <f>IF(VLOOKUP(A112,Database!$A:$AS,MATCH($D$1,Database!$A$1:$AS$1,0),FALSE)=0,#N/A,VLOOKUP(A112,Database!$A:$AS,MATCH($D$1,Database!$A$1:$AS$1,0),FALSE))</f>
        <v/>
      </c>
      <c r="E112" s="77">
        <f>IF(VLOOKUP(A112,Database!$A:$AS,MATCH($E$1,Database!$A$1:$AS$1,0),FALSE)=0,#N/A,VLOOKUP(A112,Database!$A:$AS,MATCH($E$1,Database!$A$1:$AS$1,0),FALSE))</f>
        <v/>
      </c>
      <c r="F112" s="77">
        <f>IF(VLOOKUP(A112,Database!$A:$AS,MATCH($F$1,Database!$A$1:$AS$1,0),FALSE)=0,#N/A,VLOOKUP(A112,Database!$A:$AS,MATCH($F$1,Database!$A$1:$AS$1,0),FALSE))</f>
        <v/>
      </c>
      <c r="G112" s="77">
        <f>IF(VLOOKUP(A112,Database!$A:$AS,MATCH($G$1,Database!$A$1:$AS$1,0),FALSE)=0,#N/A,VLOOKUP(A112,Database!$A:$AS,MATCH($G$1,Database!$A$1:$AS$1,0),FALSE))</f>
        <v/>
      </c>
      <c r="H112" s="77">
        <f>(((Table134567891011121314151617343[[#This Row],[ITA]]-VLOOKUP($U$1,A:B,2,))/VLOOKUP($U$1,A:B,2,))*100)+100</f>
        <v/>
      </c>
      <c r="I112" s="77">
        <f>(((Table134567891011121314151617343[[#This Row],[FRA]]-VLOOKUP($U$1,A:C,3,))/VLOOKUP($U$1,A:C,3,))*100)+100</f>
        <v/>
      </c>
      <c r="J112" s="77">
        <f>(((Table134567891011121314151617343[[#This Row],[DEU]]-VLOOKUP($U$1,A:D,4,))/VLOOKUP($U$1,A:D,4,))*100)+100</f>
        <v/>
      </c>
      <c r="K112" s="77">
        <f>(((Table134567891011121314151617343[[#This Row],[ESP]]-VLOOKUP($U$1,A:E,5,))/VLOOKUP($U$1,A:E,5,))*100)+100</f>
        <v/>
      </c>
      <c r="L112" s="77">
        <f>(((Table134567891011121314151617343[[#This Row],[EA19]]-VLOOKUP($U$1,A:F,6,))/VLOOKUP($U$1,A:F,6,))*100)+100</f>
        <v/>
      </c>
      <c r="M112" s="77">
        <f>(((Table134567891011121314151617343[[#This Row],[GBR]]-VLOOKUP($U$1,A:G,7,))/VLOOKUP($U$1,A:G,7,))*100)+100</f>
        <v/>
      </c>
      <c r="N112" s="77">
        <f>IF(VLOOKUP(A112,Database!$A:$AU,MATCH($N$1,Database!$A$1:$AU$1,0),FALSE)=0,#N/A,VLOOKUP(A112,Database!$A:$AU,MATCH($N$1,Database!$A$1:$AU$1,0),FALSE))</f>
        <v/>
      </c>
      <c r="O112" s="77">
        <f>(((Table134567891011121314151617343[[#This Row],[USA]]-VLOOKUP($U$1,A:N,14,))/VLOOKUP($U$1,A:N,14,))*100)+100</f>
        <v/>
      </c>
      <c r="P112" s="77">
        <f>IF(VLOOKUP(A112,Database!$A:$AS,MATCH($P$1,Database!$A$1:$AS$1,0),FALSE)=0,#N/A,VLOOKUP(A112,Database!$A:$AS,MATCH($P$1,Database!$A$1:$AS$1,0),FALSE))</f>
        <v/>
      </c>
      <c r="Q112" s="77">
        <f>(((Table134567891011121314151617343[[#This Row],[JPN]]-VLOOKUP($U$1,A:Q,16,))/VLOOKUP($U$1,A:Q,16,))*100)+100</f>
        <v/>
      </c>
    </row>
    <row r="113" customFormat="1" s="87">
      <c r="A113" s="21" t="n">
        <v>36251</v>
      </c>
      <c r="B113" s="77">
        <f>IF(VLOOKUP(A113,Database!$A:$AS,MATCH($B$1,Database!$A$1:$AS$1,0),FALSE)=0,#N/A,VLOOKUP(A113,Database!$A:$AS,MATCH($B$1,Database!$A$1:$AS$1,0),FALSE))</f>
        <v/>
      </c>
      <c r="C113" s="77">
        <f>IF(VLOOKUP(A113,Database!$A:$AS,MATCH($C$1,Database!$A$1:$AS$1,0),FALSE)=0,#N/A,VLOOKUP(A113,Database!$A:$AS,MATCH($C$1,Database!$A$1:$AS$1,0),FALSE))</f>
        <v/>
      </c>
      <c r="D113" s="77">
        <f>IF(VLOOKUP(A113,Database!$A:$AS,MATCH($D$1,Database!$A$1:$AS$1,0),FALSE)=0,#N/A,VLOOKUP(A113,Database!$A:$AS,MATCH($D$1,Database!$A$1:$AS$1,0),FALSE))</f>
        <v/>
      </c>
      <c r="E113" s="77">
        <f>IF(VLOOKUP(A113,Database!$A:$AS,MATCH($E$1,Database!$A$1:$AS$1,0),FALSE)=0,#N/A,VLOOKUP(A113,Database!$A:$AS,MATCH($E$1,Database!$A$1:$AS$1,0),FALSE))</f>
        <v/>
      </c>
      <c r="F113" s="77">
        <f>IF(VLOOKUP(A113,Database!$A:$AS,MATCH($F$1,Database!$A$1:$AS$1,0),FALSE)=0,#N/A,VLOOKUP(A113,Database!$A:$AS,MATCH($F$1,Database!$A$1:$AS$1,0),FALSE))</f>
        <v/>
      </c>
      <c r="G113" s="77">
        <f>IF(VLOOKUP(A113,Database!$A:$AS,MATCH($G$1,Database!$A$1:$AS$1,0),FALSE)=0,#N/A,VLOOKUP(A113,Database!$A:$AS,MATCH($G$1,Database!$A$1:$AS$1,0),FALSE))</f>
        <v/>
      </c>
      <c r="H113" s="77">
        <f>(((Table134567891011121314151617343[[#This Row],[ITA]]-VLOOKUP($U$1,A:B,2,))/VLOOKUP($U$1,A:B,2,))*100)+100</f>
        <v/>
      </c>
      <c r="I113" s="77">
        <f>(((Table134567891011121314151617343[[#This Row],[FRA]]-VLOOKUP($U$1,A:C,3,))/VLOOKUP($U$1,A:C,3,))*100)+100</f>
        <v/>
      </c>
      <c r="J113" s="77">
        <f>(((Table134567891011121314151617343[[#This Row],[DEU]]-VLOOKUP($U$1,A:D,4,))/VLOOKUP($U$1,A:D,4,))*100)+100</f>
        <v/>
      </c>
      <c r="K113" s="77">
        <f>(((Table134567891011121314151617343[[#This Row],[ESP]]-VLOOKUP($U$1,A:E,5,))/VLOOKUP($U$1,A:E,5,))*100)+100</f>
        <v/>
      </c>
      <c r="L113" s="77">
        <f>(((Table134567891011121314151617343[[#This Row],[EA19]]-VLOOKUP($U$1,A:F,6,))/VLOOKUP($U$1,A:F,6,))*100)+100</f>
        <v/>
      </c>
      <c r="M113" s="77">
        <f>(((Table134567891011121314151617343[[#This Row],[GBR]]-VLOOKUP($U$1,A:G,7,))/VLOOKUP($U$1,A:G,7,))*100)+100</f>
        <v/>
      </c>
      <c r="N113" s="77">
        <f>IF(VLOOKUP(A113,Database!$A:$AU,MATCH($N$1,Database!$A$1:$AU$1,0),FALSE)=0,#N/A,VLOOKUP(A113,Database!$A:$AU,MATCH($N$1,Database!$A$1:$AU$1,0),FALSE))</f>
        <v/>
      </c>
      <c r="O113" s="77">
        <f>(((Table134567891011121314151617343[[#This Row],[USA]]-VLOOKUP($U$1,A:N,14,))/VLOOKUP($U$1,A:N,14,))*100)+100</f>
        <v/>
      </c>
      <c r="P113" s="77">
        <f>IF(VLOOKUP(A113,Database!$A:$AS,MATCH($P$1,Database!$A$1:$AS$1,0),FALSE)=0,#N/A,VLOOKUP(A113,Database!$A:$AS,MATCH($P$1,Database!$A$1:$AS$1,0),FALSE))</f>
        <v/>
      </c>
      <c r="Q113" s="77">
        <f>(((Table134567891011121314151617343[[#This Row],[JPN]]-VLOOKUP($U$1,A:Q,16,))/VLOOKUP($U$1,A:Q,16,))*100)+100</f>
        <v/>
      </c>
    </row>
    <row r="114" customFormat="1" s="87">
      <c r="A114" s="21" t="n">
        <v>36281</v>
      </c>
      <c r="B114" s="77">
        <f>IF(VLOOKUP(A114,Database!$A:$AS,MATCH($B$1,Database!$A$1:$AS$1,0),FALSE)=0,#N/A,VLOOKUP(A114,Database!$A:$AS,MATCH($B$1,Database!$A$1:$AS$1,0),FALSE))</f>
        <v/>
      </c>
      <c r="C114" s="77">
        <f>IF(VLOOKUP(A114,Database!$A:$AS,MATCH($C$1,Database!$A$1:$AS$1,0),FALSE)=0,#N/A,VLOOKUP(A114,Database!$A:$AS,MATCH($C$1,Database!$A$1:$AS$1,0),FALSE))</f>
        <v/>
      </c>
      <c r="D114" s="77">
        <f>IF(VLOOKUP(A114,Database!$A:$AS,MATCH($D$1,Database!$A$1:$AS$1,0),FALSE)=0,#N/A,VLOOKUP(A114,Database!$A:$AS,MATCH($D$1,Database!$A$1:$AS$1,0),FALSE))</f>
        <v/>
      </c>
      <c r="E114" s="77">
        <f>IF(VLOOKUP(A114,Database!$A:$AS,MATCH($E$1,Database!$A$1:$AS$1,0),FALSE)=0,#N/A,VLOOKUP(A114,Database!$A:$AS,MATCH($E$1,Database!$A$1:$AS$1,0),FALSE))</f>
        <v/>
      </c>
      <c r="F114" s="77">
        <f>IF(VLOOKUP(A114,Database!$A:$AS,MATCH($F$1,Database!$A$1:$AS$1,0),FALSE)=0,#N/A,VLOOKUP(A114,Database!$A:$AS,MATCH($F$1,Database!$A$1:$AS$1,0),FALSE))</f>
        <v/>
      </c>
      <c r="G114" s="77">
        <f>IF(VLOOKUP(A114,Database!$A:$AS,MATCH($G$1,Database!$A$1:$AS$1,0),FALSE)=0,#N/A,VLOOKUP(A114,Database!$A:$AS,MATCH($G$1,Database!$A$1:$AS$1,0),FALSE))</f>
        <v/>
      </c>
      <c r="H114" s="77">
        <f>(((Table134567891011121314151617343[[#This Row],[ITA]]-VLOOKUP($U$1,A:B,2,))/VLOOKUP($U$1,A:B,2,))*100)+100</f>
        <v/>
      </c>
      <c r="I114" s="77">
        <f>(((Table134567891011121314151617343[[#This Row],[FRA]]-VLOOKUP($U$1,A:C,3,))/VLOOKUP($U$1,A:C,3,))*100)+100</f>
        <v/>
      </c>
      <c r="J114" s="77">
        <f>(((Table134567891011121314151617343[[#This Row],[DEU]]-VLOOKUP($U$1,A:D,4,))/VLOOKUP($U$1,A:D,4,))*100)+100</f>
        <v/>
      </c>
      <c r="K114" s="77">
        <f>(((Table134567891011121314151617343[[#This Row],[ESP]]-VLOOKUP($U$1,A:E,5,))/VLOOKUP($U$1,A:E,5,))*100)+100</f>
        <v/>
      </c>
      <c r="L114" s="77">
        <f>(((Table134567891011121314151617343[[#This Row],[EA19]]-VLOOKUP($U$1,A:F,6,))/VLOOKUP($U$1,A:F,6,))*100)+100</f>
        <v/>
      </c>
      <c r="M114" s="77">
        <f>(((Table134567891011121314151617343[[#This Row],[GBR]]-VLOOKUP($U$1,A:G,7,))/VLOOKUP($U$1,A:G,7,))*100)+100</f>
        <v/>
      </c>
      <c r="N114" s="77">
        <f>IF(VLOOKUP(A114,Database!$A:$AU,MATCH($N$1,Database!$A$1:$AU$1,0),FALSE)=0,#N/A,VLOOKUP(A114,Database!$A:$AU,MATCH($N$1,Database!$A$1:$AU$1,0),FALSE))</f>
        <v/>
      </c>
      <c r="O114" s="77">
        <f>(((Table134567891011121314151617343[[#This Row],[USA]]-VLOOKUP($U$1,A:N,14,))/VLOOKUP($U$1,A:N,14,))*100)+100</f>
        <v/>
      </c>
      <c r="P114" s="77">
        <f>IF(VLOOKUP(A114,Database!$A:$AS,MATCH($P$1,Database!$A$1:$AS$1,0),FALSE)=0,#N/A,VLOOKUP(A114,Database!$A:$AS,MATCH($P$1,Database!$A$1:$AS$1,0),FALSE))</f>
        <v/>
      </c>
      <c r="Q114" s="77">
        <f>(((Table134567891011121314151617343[[#This Row],[JPN]]-VLOOKUP($U$1,A:Q,16,))/VLOOKUP($U$1,A:Q,16,))*100)+100</f>
        <v/>
      </c>
    </row>
    <row r="115" customFormat="1" s="87">
      <c r="A115" s="21" t="n">
        <v>36312</v>
      </c>
      <c r="B115" s="77">
        <f>IF(VLOOKUP(A115,Database!$A:$AS,MATCH($B$1,Database!$A$1:$AS$1,0),FALSE)=0,#N/A,VLOOKUP(A115,Database!$A:$AS,MATCH($B$1,Database!$A$1:$AS$1,0),FALSE))</f>
        <v/>
      </c>
      <c r="C115" s="77">
        <f>IF(VLOOKUP(A115,Database!$A:$AS,MATCH($C$1,Database!$A$1:$AS$1,0),FALSE)=0,#N/A,VLOOKUP(A115,Database!$A:$AS,MATCH($C$1,Database!$A$1:$AS$1,0),FALSE))</f>
        <v/>
      </c>
      <c r="D115" s="77">
        <f>IF(VLOOKUP(A115,Database!$A:$AS,MATCH($D$1,Database!$A$1:$AS$1,0),FALSE)=0,#N/A,VLOOKUP(A115,Database!$A:$AS,MATCH($D$1,Database!$A$1:$AS$1,0),FALSE))</f>
        <v/>
      </c>
      <c r="E115" s="77">
        <f>IF(VLOOKUP(A115,Database!$A:$AS,MATCH($E$1,Database!$A$1:$AS$1,0),FALSE)=0,#N/A,VLOOKUP(A115,Database!$A:$AS,MATCH($E$1,Database!$A$1:$AS$1,0),FALSE))</f>
        <v/>
      </c>
      <c r="F115" s="77">
        <f>IF(VLOOKUP(A115,Database!$A:$AS,MATCH($F$1,Database!$A$1:$AS$1,0),FALSE)=0,#N/A,VLOOKUP(A115,Database!$A:$AS,MATCH($F$1,Database!$A$1:$AS$1,0),FALSE))</f>
        <v/>
      </c>
      <c r="G115" s="77">
        <f>IF(VLOOKUP(A115,Database!$A:$AS,MATCH($G$1,Database!$A$1:$AS$1,0),FALSE)=0,#N/A,VLOOKUP(A115,Database!$A:$AS,MATCH($G$1,Database!$A$1:$AS$1,0),FALSE))</f>
        <v/>
      </c>
      <c r="H115" s="77">
        <f>(((Table134567891011121314151617343[[#This Row],[ITA]]-VLOOKUP($U$1,A:B,2,))/VLOOKUP($U$1,A:B,2,))*100)+100</f>
        <v/>
      </c>
      <c r="I115" s="77">
        <f>(((Table134567891011121314151617343[[#This Row],[FRA]]-VLOOKUP($U$1,A:C,3,))/VLOOKUP($U$1,A:C,3,))*100)+100</f>
        <v/>
      </c>
      <c r="J115" s="77">
        <f>(((Table134567891011121314151617343[[#This Row],[DEU]]-VLOOKUP($U$1,A:D,4,))/VLOOKUP($U$1,A:D,4,))*100)+100</f>
        <v/>
      </c>
      <c r="K115" s="77">
        <f>(((Table134567891011121314151617343[[#This Row],[ESP]]-VLOOKUP($U$1,A:E,5,))/VLOOKUP($U$1,A:E,5,))*100)+100</f>
        <v/>
      </c>
      <c r="L115" s="77">
        <f>(((Table134567891011121314151617343[[#This Row],[EA19]]-VLOOKUP($U$1,A:F,6,))/VLOOKUP($U$1,A:F,6,))*100)+100</f>
        <v/>
      </c>
      <c r="M115" s="77">
        <f>(((Table134567891011121314151617343[[#This Row],[GBR]]-VLOOKUP($U$1,A:G,7,))/VLOOKUP($U$1,A:G,7,))*100)+100</f>
        <v/>
      </c>
      <c r="N115" s="77">
        <f>IF(VLOOKUP(A115,Database!$A:$AU,MATCH($N$1,Database!$A$1:$AU$1,0),FALSE)=0,#N/A,VLOOKUP(A115,Database!$A:$AU,MATCH($N$1,Database!$A$1:$AU$1,0),FALSE))</f>
        <v/>
      </c>
      <c r="O115" s="77">
        <f>(((Table134567891011121314151617343[[#This Row],[USA]]-VLOOKUP($U$1,A:N,14,))/VLOOKUP($U$1,A:N,14,))*100)+100</f>
        <v/>
      </c>
      <c r="P115" s="77">
        <f>IF(VLOOKUP(A115,Database!$A:$AS,MATCH($P$1,Database!$A$1:$AS$1,0),FALSE)=0,#N/A,VLOOKUP(A115,Database!$A:$AS,MATCH($P$1,Database!$A$1:$AS$1,0),FALSE))</f>
        <v/>
      </c>
      <c r="Q115" s="77">
        <f>(((Table134567891011121314151617343[[#This Row],[JPN]]-VLOOKUP($U$1,A:Q,16,))/VLOOKUP($U$1,A:Q,16,))*100)+100</f>
        <v/>
      </c>
    </row>
    <row r="116" customFormat="1" s="87">
      <c r="A116" s="21" t="n">
        <v>36342</v>
      </c>
      <c r="B116" s="77">
        <f>IF(VLOOKUP(A116,Database!$A:$AS,MATCH($B$1,Database!$A$1:$AS$1,0),FALSE)=0,#N/A,VLOOKUP(A116,Database!$A:$AS,MATCH($B$1,Database!$A$1:$AS$1,0),FALSE))</f>
        <v/>
      </c>
      <c r="C116" s="77">
        <f>IF(VLOOKUP(A116,Database!$A:$AS,MATCH($C$1,Database!$A$1:$AS$1,0),FALSE)=0,#N/A,VLOOKUP(A116,Database!$A:$AS,MATCH($C$1,Database!$A$1:$AS$1,0),FALSE))</f>
        <v/>
      </c>
      <c r="D116" s="77">
        <f>IF(VLOOKUP(A116,Database!$A:$AS,MATCH($D$1,Database!$A$1:$AS$1,0),FALSE)=0,#N/A,VLOOKUP(A116,Database!$A:$AS,MATCH($D$1,Database!$A$1:$AS$1,0),FALSE))</f>
        <v/>
      </c>
      <c r="E116" s="77">
        <f>IF(VLOOKUP(A116,Database!$A:$AS,MATCH($E$1,Database!$A$1:$AS$1,0),FALSE)=0,#N/A,VLOOKUP(A116,Database!$A:$AS,MATCH($E$1,Database!$A$1:$AS$1,0),FALSE))</f>
        <v/>
      </c>
      <c r="F116" s="77">
        <f>IF(VLOOKUP(A116,Database!$A:$AS,MATCH($F$1,Database!$A$1:$AS$1,0),FALSE)=0,#N/A,VLOOKUP(A116,Database!$A:$AS,MATCH($F$1,Database!$A$1:$AS$1,0),FALSE))</f>
        <v/>
      </c>
      <c r="G116" s="77">
        <f>IF(VLOOKUP(A116,Database!$A:$AS,MATCH($G$1,Database!$A$1:$AS$1,0),FALSE)=0,#N/A,VLOOKUP(A116,Database!$A:$AS,MATCH($G$1,Database!$A$1:$AS$1,0),FALSE))</f>
        <v/>
      </c>
      <c r="H116" s="77">
        <f>(((Table134567891011121314151617343[[#This Row],[ITA]]-VLOOKUP($U$1,A:B,2,))/VLOOKUP($U$1,A:B,2,))*100)+100</f>
        <v/>
      </c>
      <c r="I116" s="77">
        <f>(((Table134567891011121314151617343[[#This Row],[FRA]]-VLOOKUP($U$1,A:C,3,))/VLOOKUP($U$1,A:C,3,))*100)+100</f>
        <v/>
      </c>
      <c r="J116" s="77">
        <f>(((Table134567891011121314151617343[[#This Row],[DEU]]-VLOOKUP($U$1,A:D,4,))/VLOOKUP($U$1,A:D,4,))*100)+100</f>
        <v/>
      </c>
      <c r="K116" s="77">
        <f>(((Table134567891011121314151617343[[#This Row],[ESP]]-VLOOKUP($U$1,A:E,5,))/VLOOKUP($U$1,A:E,5,))*100)+100</f>
        <v/>
      </c>
      <c r="L116" s="77">
        <f>(((Table134567891011121314151617343[[#This Row],[EA19]]-VLOOKUP($U$1,A:F,6,))/VLOOKUP($U$1,A:F,6,))*100)+100</f>
        <v/>
      </c>
      <c r="M116" s="77">
        <f>(((Table134567891011121314151617343[[#This Row],[GBR]]-VLOOKUP($U$1,A:G,7,))/VLOOKUP($U$1,A:G,7,))*100)+100</f>
        <v/>
      </c>
      <c r="N116" s="77">
        <f>IF(VLOOKUP(A116,Database!$A:$AU,MATCH($N$1,Database!$A$1:$AU$1,0),FALSE)=0,#N/A,VLOOKUP(A116,Database!$A:$AU,MATCH($N$1,Database!$A$1:$AU$1,0),FALSE))</f>
        <v/>
      </c>
      <c r="O116" s="77">
        <f>(((Table134567891011121314151617343[[#This Row],[USA]]-VLOOKUP($U$1,A:N,14,))/VLOOKUP($U$1,A:N,14,))*100)+100</f>
        <v/>
      </c>
      <c r="P116" s="77">
        <f>IF(VLOOKUP(A116,Database!$A:$AS,MATCH($P$1,Database!$A$1:$AS$1,0),FALSE)=0,#N/A,VLOOKUP(A116,Database!$A:$AS,MATCH($P$1,Database!$A$1:$AS$1,0),FALSE))</f>
        <v/>
      </c>
      <c r="Q116" s="77">
        <f>(((Table134567891011121314151617343[[#This Row],[JPN]]-VLOOKUP($U$1,A:Q,16,))/VLOOKUP($U$1,A:Q,16,))*100)+100</f>
        <v/>
      </c>
    </row>
    <row r="117" customFormat="1" s="87">
      <c r="A117" s="21" t="n">
        <v>36373</v>
      </c>
      <c r="B117" s="77">
        <f>IF(VLOOKUP(A117,Database!$A:$AS,MATCH($B$1,Database!$A$1:$AS$1,0),FALSE)=0,#N/A,VLOOKUP(A117,Database!$A:$AS,MATCH($B$1,Database!$A$1:$AS$1,0),FALSE))</f>
        <v/>
      </c>
      <c r="C117" s="77">
        <f>IF(VLOOKUP(A117,Database!$A:$AS,MATCH($C$1,Database!$A$1:$AS$1,0),FALSE)=0,#N/A,VLOOKUP(A117,Database!$A:$AS,MATCH($C$1,Database!$A$1:$AS$1,0),FALSE))</f>
        <v/>
      </c>
      <c r="D117" s="77">
        <f>IF(VLOOKUP(A117,Database!$A:$AS,MATCH($D$1,Database!$A$1:$AS$1,0),FALSE)=0,#N/A,VLOOKUP(A117,Database!$A:$AS,MATCH($D$1,Database!$A$1:$AS$1,0),FALSE))</f>
        <v/>
      </c>
      <c r="E117" s="77">
        <f>IF(VLOOKUP(A117,Database!$A:$AS,MATCH($E$1,Database!$A$1:$AS$1,0),FALSE)=0,#N/A,VLOOKUP(A117,Database!$A:$AS,MATCH($E$1,Database!$A$1:$AS$1,0),FALSE))</f>
        <v/>
      </c>
      <c r="F117" s="77">
        <f>IF(VLOOKUP(A117,Database!$A:$AS,MATCH($F$1,Database!$A$1:$AS$1,0),FALSE)=0,#N/A,VLOOKUP(A117,Database!$A:$AS,MATCH($F$1,Database!$A$1:$AS$1,0),FALSE))</f>
        <v/>
      </c>
      <c r="G117" s="77">
        <f>IF(VLOOKUP(A117,Database!$A:$AS,MATCH($G$1,Database!$A$1:$AS$1,0),FALSE)=0,#N/A,VLOOKUP(A117,Database!$A:$AS,MATCH($G$1,Database!$A$1:$AS$1,0),FALSE))</f>
        <v/>
      </c>
      <c r="H117" s="77">
        <f>(((Table134567891011121314151617343[[#This Row],[ITA]]-VLOOKUP($U$1,A:B,2,))/VLOOKUP($U$1,A:B,2,))*100)+100</f>
        <v/>
      </c>
      <c r="I117" s="77">
        <f>(((Table134567891011121314151617343[[#This Row],[FRA]]-VLOOKUP($U$1,A:C,3,))/VLOOKUP($U$1,A:C,3,))*100)+100</f>
        <v/>
      </c>
      <c r="J117" s="77">
        <f>(((Table134567891011121314151617343[[#This Row],[DEU]]-VLOOKUP($U$1,A:D,4,))/VLOOKUP($U$1,A:D,4,))*100)+100</f>
        <v/>
      </c>
      <c r="K117" s="77">
        <f>(((Table134567891011121314151617343[[#This Row],[ESP]]-VLOOKUP($U$1,A:E,5,))/VLOOKUP($U$1,A:E,5,))*100)+100</f>
        <v/>
      </c>
      <c r="L117" s="77">
        <f>(((Table134567891011121314151617343[[#This Row],[EA19]]-VLOOKUP($U$1,A:F,6,))/VLOOKUP($U$1,A:F,6,))*100)+100</f>
        <v/>
      </c>
      <c r="M117" s="77">
        <f>(((Table134567891011121314151617343[[#This Row],[GBR]]-VLOOKUP($U$1,A:G,7,))/VLOOKUP($U$1,A:G,7,))*100)+100</f>
        <v/>
      </c>
      <c r="N117" s="77">
        <f>IF(VLOOKUP(A117,Database!$A:$AU,MATCH($N$1,Database!$A$1:$AU$1,0),FALSE)=0,#N/A,VLOOKUP(A117,Database!$A:$AU,MATCH($N$1,Database!$A$1:$AU$1,0),FALSE))</f>
        <v/>
      </c>
      <c r="O117" s="77">
        <f>(((Table134567891011121314151617343[[#This Row],[USA]]-VLOOKUP($U$1,A:N,14,))/VLOOKUP($U$1,A:N,14,))*100)+100</f>
        <v/>
      </c>
      <c r="P117" s="77">
        <f>IF(VLOOKUP(A117,Database!$A:$AS,MATCH($P$1,Database!$A$1:$AS$1,0),FALSE)=0,#N/A,VLOOKUP(A117,Database!$A:$AS,MATCH($P$1,Database!$A$1:$AS$1,0),FALSE))</f>
        <v/>
      </c>
      <c r="Q117" s="77">
        <f>(((Table134567891011121314151617343[[#This Row],[JPN]]-VLOOKUP($U$1,A:Q,16,))/VLOOKUP($U$1,A:Q,16,))*100)+100</f>
        <v/>
      </c>
    </row>
    <row r="118" customFormat="1" s="87">
      <c r="A118" s="21" t="n">
        <v>36404</v>
      </c>
      <c r="B118" s="77">
        <f>IF(VLOOKUP(A118,Database!$A:$AS,MATCH($B$1,Database!$A$1:$AS$1,0),FALSE)=0,#N/A,VLOOKUP(A118,Database!$A:$AS,MATCH($B$1,Database!$A$1:$AS$1,0),FALSE))</f>
        <v/>
      </c>
      <c r="C118" s="77">
        <f>IF(VLOOKUP(A118,Database!$A:$AS,MATCH($C$1,Database!$A$1:$AS$1,0),FALSE)=0,#N/A,VLOOKUP(A118,Database!$A:$AS,MATCH($C$1,Database!$A$1:$AS$1,0),FALSE))</f>
        <v/>
      </c>
      <c r="D118" s="77">
        <f>IF(VLOOKUP(A118,Database!$A:$AS,MATCH($D$1,Database!$A$1:$AS$1,0),FALSE)=0,#N/A,VLOOKUP(A118,Database!$A:$AS,MATCH($D$1,Database!$A$1:$AS$1,0),FALSE))</f>
        <v/>
      </c>
      <c r="E118" s="77">
        <f>IF(VLOOKUP(A118,Database!$A:$AS,MATCH($E$1,Database!$A$1:$AS$1,0),FALSE)=0,#N/A,VLOOKUP(A118,Database!$A:$AS,MATCH($E$1,Database!$A$1:$AS$1,0),FALSE))</f>
        <v/>
      </c>
      <c r="F118" s="77">
        <f>IF(VLOOKUP(A118,Database!$A:$AS,MATCH($F$1,Database!$A$1:$AS$1,0),FALSE)=0,#N/A,VLOOKUP(A118,Database!$A:$AS,MATCH($F$1,Database!$A$1:$AS$1,0),FALSE))</f>
        <v/>
      </c>
      <c r="G118" s="77">
        <f>IF(VLOOKUP(A118,Database!$A:$AS,MATCH($G$1,Database!$A$1:$AS$1,0),FALSE)=0,#N/A,VLOOKUP(A118,Database!$A:$AS,MATCH($G$1,Database!$A$1:$AS$1,0),FALSE))</f>
        <v/>
      </c>
      <c r="H118" s="77">
        <f>(((Table134567891011121314151617343[[#This Row],[ITA]]-VLOOKUP($U$1,A:B,2,))/VLOOKUP($U$1,A:B,2,))*100)+100</f>
        <v/>
      </c>
      <c r="I118" s="77">
        <f>(((Table134567891011121314151617343[[#This Row],[FRA]]-VLOOKUP($U$1,A:C,3,))/VLOOKUP($U$1,A:C,3,))*100)+100</f>
        <v/>
      </c>
      <c r="J118" s="77">
        <f>(((Table134567891011121314151617343[[#This Row],[DEU]]-VLOOKUP($U$1,A:D,4,))/VLOOKUP($U$1,A:D,4,))*100)+100</f>
        <v/>
      </c>
      <c r="K118" s="77">
        <f>(((Table134567891011121314151617343[[#This Row],[ESP]]-VLOOKUP($U$1,A:E,5,))/VLOOKUP($U$1,A:E,5,))*100)+100</f>
        <v/>
      </c>
      <c r="L118" s="77">
        <f>(((Table134567891011121314151617343[[#This Row],[EA19]]-VLOOKUP($U$1,A:F,6,))/VLOOKUP($U$1,A:F,6,))*100)+100</f>
        <v/>
      </c>
      <c r="M118" s="77">
        <f>(((Table134567891011121314151617343[[#This Row],[GBR]]-VLOOKUP($U$1,A:G,7,))/VLOOKUP($U$1,A:G,7,))*100)+100</f>
        <v/>
      </c>
      <c r="N118" s="77">
        <f>IF(VLOOKUP(A118,Database!$A:$AU,MATCH($N$1,Database!$A$1:$AU$1,0),FALSE)=0,#N/A,VLOOKUP(A118,Database!$A:$AU,MATCH($N$1,Database!$A$1:$AU$1,0),FALSE))</f>
        <v/>
      </c>
      <c r="O118" s="77">
        <f>(((Table134567891011121314151617343[[#This Row],[USA]]-VLOOKUP($U$1,A:N,14,))/VLOOKUP($U$1,A:N,14,))*100)+100</f>
        <v/>
      </c>
      <c r="P118" s="77">
        <f>IF(VLOOKUP(A118,Database!$A:$AS,MATCH($P$1,Database!$A$1:$AS$1,0),FALSE)=0,#N/A,VLOOKUP(A118,Database!$A:$AS,MATCH($P$1,Database!$A$1:$AS$1,0),FALSE))</f>
        <v/>
      </c>
      <c r="Q118" s="77">
        <f>(((Table134567891011121314151617343[[#This Row],[JPN]]-VLOOKUP($U$1,A:Q,16,))/VLOOKUP($U$1,A:Q,16,))*100)+100</f>
        <v/>
      </c>
    </row>
    <row r="119" customFormat="1" s="87">
      <c r="A119" s="21" t="n">
        <v>36434</v>
      </c>
      <c r="B119" s="77">
        <f>IF(VLOOKUP(A119,Database!$A:$AS,MATCH($B$1,Database!$A$1:$AS$1,0),FALSE)=0,#N/A,VLOOKUP(A119,Database!$A:$AS,MATCH($B$1,Database!$A$1:$AS$1,0),FALSE))</f>
        <v/>
      </c>
      <c r="C119" s="77">
        <f>IF(VLOOKUP(A119,Database!$A:$AS,MATCH($C$1,Database!$A$1:$AS$1,0),FALSE)=0,#N/A,VLOOKUP(A119,Database!$A:$AS,MATCH($C$1,Database!$A$1:$AS$1,0),FALSE))</f>
        <v/>
      </c>
      <c r="D119" s="77">
        <f>IF(VLOOKUP(A119,Database!$A:$AS,MATCH($D$1,Database!$A$1:$AS$1,0),FALSE)=0,#N/A,VLOOKUP(A119,Database!$A:$AS,MATCH($D$1,Database!$A$1:$AS$1,0),FALSE))</f>
        <v/>
      </c>
      <c r="E119" s="77">
        <f>IF(VLOOKUP(A119,Database!$A:$AS,MATCH($E$1,Database!$A$1:$AS$1,0),FALSE)=0,#N/A,VLOOKUP(A119,Database!$A:$AS,MATCH($E$1,Database!$A$1:$AS$1,0),FALSE))</f>
        <v/>
      </c>
      <c r="F119" s="77">
        <f>IF(VLOOKUP(A119,Database!$A:$AS,MATCH($F$1,Database!$A$1:$AS$1,0),FALSE)=0,#N/A,VLOOKUP(A119,Database!$A:$AS,MATCH($F$1,Database!$A$1:$AS$1,0),FALSE))</f>
        <v/>
      </c>
      <c r="G119" s="77">
        <f>IF(VLOOKUP(A119,Database!$A:$AS,MATCH($G$1,Database!$A$1:$AS$1,0),FALSE)=0,#N/A,VLOOKUP(A119,Database!$A:$AS,MATCH($G$1,Database!$A$1:$AS$1,0),FALSE))</f>
        <v/>
      </c>
      <c r="H119" s="77">
        <f>(((Table134567891011121314151617343[[#This Row],[ITA]]-VLOOKUP($U$1,A:B,2,))/VLOOKUP($U$1,A:B,2,))*100)+100</f>
        <v/>
      </c>
      <c r="I119" s="77">
        <f>(((Table134567891011121314151617343[[#This Row],[FRA]]-VLOOKUP($U$1,A:C,3,))/VLOOKUP($U$1,A:C,3,))*100)+100</f>
        <v/>
      </c>
      <c r="J119" s="77">
        <f>(((Table134567891011121314151617343[[#This Row],[DEU]]-VLOOKUP($U$1,A:D,4,))/VLOOKUP($U$1,A:D,4,))*100)+100</f>
        <v/>
      </c>
      <c r="K119" s="77">
        <f>(((Table134567891011121314151617343[[#This Row],[ESP]]-VLOOKUP($U$1,A:E,5,))/VLOOKUP($U$1,A:E,5,))*100)+100</f>
        <v/>
      </c>
      <c r="L119" s="77">
        <f>(((Table134567891011121314151617343[[#This Row],[EA19]]-VLOOKUP($U$1,A:F,6,))/VLOOKUP($U$1,A:F,6,))*100)+100</f>
        <v/>
      </c>
      <c r="M119" s="77">
        <f>(((Table134567891011121314151617343[[#This Row],[GBR]]-VLOOKUP($U$1,A:G,7,))/VLOOKUP($U$1,A:G,7,))*100)+100</f>
        <v/>
      </c>
      <c r="N119" s="77">
        <f>IF(VLOOKUP(A119,Database!$A:$AU,MATCH($N$1,Database!$A$1:$AU$1,0),FALSE)=0,#N/A,VLOOKUP(A119,Database!$A:$AU,MATCH($N$1,Database!$A$1:$AU$1,0),FALSE))</f>
        <v/>
      </c>
      <c r="O119" s="77">
        <f>(((Table134567891011121314151617343[[#This Row],[USA]]-VLOOKUP($U$1,A:N,14,))/VLOOKUP($U$1,A:N,14,))*100)+100</f>
        <v/>
      </c>
      <c r="P119" s="77">
        <f>IF(VLOOKUP(A119,Database!$A:$AS,MATCH($P$1,Database!$A$1:$AS$1,0),FALSE)=0,#N/A,VLOOKUP(A119,Database!$A:$AS,MATCH($P$1,Database!$A$1:$AS$1,0),FALSE))</f>
        <v/>
      </c>
      <c r="Q119" s="77">
        <f>(((Table134567891011121314151617343[[#This Row],[JPN]]-VLOOKUP($U$1,A:Q,16,))/VLOOKUP($U$1,A:Q,16,))*100)+100</f>
        <v/>
      </c>
    </row>
    <row r="120" customFormat="1" s="87">
      <c r="A120" s="21" t="n">
        <v>36465</v>
      </c>
      <c r="B120" s="77">
        <f>IF(VLOOKUP(A120,Database!$A:$AS,MATCH($B$1,Database!$A$1:$AS$1,0),FALSE)=0,#N/A,VLOOKUP(A120,Database!$A:$AS,MATCH($B$1,Database!$A$1:$AS$1,0),FALSE))</f>
        <v/>
      </c>
      <c r="C120" s="77">
        <f>IF(VLOOKUP(A120,Database!$A:$AS,MATCH($C$1,Database!$A$1:$AS$1,0),FALSE)=0,#N/A,VLOOKUP(A120,Database!$A:$AS,MATCH($C$1,Database!$A$1:$AS$1,0),FALSE))</f>
        <v/>
      </c>
      <c r="D120" s="77">
        <f>IF(VLOOKUP(A120,Database!$A:$AS,MATCH($D$1,Database!$A$1:$AS$1,0),FALSE)=0,#N/A,VLOOKUP(A120,Database!$A:$AS,MATCH($D$1,Database!$A$1:$AS$1,0),FALSE))</f>
        <v/>
      </c>
      <c r="E120" s="77">
        <f>IF(VLOOKUP(A120,Database!$A:$AS,MATCH($E$1,Database!$A$1:$AS$1,0),FALSE)=0,#N/A,VLOOKUP(A120,Database!$A:$AS,MATCH($E$1,Database!$A$1:$AS$1,0),FALSE))</f>
        <v/>
      </c>
      <c r="F120" s="77">
        <f>IF(VLOOKUP(A120,Database!$A:$AS,MATCH($F$1,Database!$A$1:$AS$1,0),FALSE)=0,#N/A,VLOOKUP(A120,Database!$A:$AS,MATCH($F$1,Database!$A$1:$AS$1,0),FALSE))</f>
        <v/>
      </c>
      <c r="G120" s="77">
        <f>IF(VLOOKUP(A120,Database!$A:$AS,MATCH($G$1,Database!$A$1:$AS$1,0),FALSE)=0,#N/A,VLOOKUP(A120,Database!$A:$AS,MATCH($G$1,Database!$A$1:$AS$1,0),FALSE))</f>
        <v/>
      </c>
      <c r="H120" s="77">
        <f>(((Table134567891011121314151617343[[#This Row],[ITA]]-VLOOKUP($U$1,A:B,2,))/VLOOKUP($U$1,A:B,2,))*100)+100</f>
        <v/>
      </c>
      <c r="I120" s="77">
        <f>(((Table134567891011121314151617343[[#This Row],[FRA]]-VLOOKUP($U$1,A:C,3,))/VLOOKUP($U$1,A:C,3,))*100)+100</f>
        <v/>
      </c>
      <c r="J120" s="77">
        <f>(((Table134567891011121314151617343[[#This Row],[DEU]]-VLOOKUP($U$1,A:D,4,))/VLOOKUP($U$1,A:D,4,))*100)+100</f>
        <v/>
      </c>
      <c r="K120" s="77">
        <f>(((Table134567891011121314151617343[[#This Row],[ESP]]-VLOOKUP($U$1,A:E,5,))/VLOOKUP($U$1,A:E,5,))*100)+100</f>
        <v/>
      </c>
      <c r="L120" s="77">
        <f>(((Table134567891011121314151617343[[#This Row],[EA19]]-VLOOKUP($U$1,A:F,6,))/VLOOKUP($U$1,A:F,6,))*100)+100</f>
        <v/>
      </c>
      <c r="M120" s="77">
        <f>(((Table134567891011121314151617343[[#This Row],[GBR]]-VLOOKUP($U$1,A:G,7,))/VLOOKUP($U$1,A:G,7,))*100)+100</f>
        <v/>
      </c>
      <c r="N120" s="77">
        <f>IF(VLOOKUP(A120,Database!$A:$AU,MATCH($N$1,Database!$A$1:$AU$1,0),FALSE)=0,#N/A,VLOOKUP(A120,Database!$A:$AU,MATCH($N$1,Database!$A$1:$AU$1,0),FALSE))</f>
        <v/>
      </c>
      <c r="O120" s="77">
        <f>(((Table134567891011121314151617343[[#This Row],[USA]]-VLOOKUP($U$1,A:N,14,))/VLOOKUP($U$1,A:N,14,))*100)+100</f>
        <v/>
      </c>
      <c r="P120" s="77">
        <f>IF(VLOOKUP(A120,Database!$A:$AS,MATCH($P$1,Database!$A$1:$AS$1,0),FALSE)=0,#N/A,VLOOKUP(A120,Database!$A:$AS,MATCH($P$1,Database!$A$1:$AS$1,0),FALSE))</f>
        <v/>
      </c>
      <c r="Q120" s="77">
        <f>(((Table134567891011121314151617343[[#This Row],[JPN]]-VLOOKUP($U$1,A:Q,16,))/VLOOKUP($U$1,A:Q,16,))*100)+100</f>
        <v/>
      </c>
    </row>
    <row r="121" customFormat="1" s="87">
      <c r="A121" s="21" t="n">
        <v>36495</v>
      </c>
      <c r="B121" s="77">
        <f>IF(VLOOKUP(A121,Database!$A:$AS,MATCH($B$1,Database!$A$1:$AS$1,0),FALSE)=0,#N/A,VLOOKUP(A121,Database!$A:$AS,MATCH($B$1,Database!$A$1:$AS$1,0),FALSE))</f>
        <v/>
      </c>
      <c r="C121" s="77">
        <f>IF(VLOOKUP(A121,Database!$A:$AS,MATCH($C$1,Database!$A$1:$AS$1,0),FALSE)=0,#N/A,VLOOKUP(A121,Database!$A:$AS,MATCH($C$1,Database!$A$1:$AS$1,0),FALSE))</f>
        <v/>
      </c>
      <c r="D121" s="77">
        <f>IF(VLOOKUP(A121,Database!$A:$AS,MATCH($D$1,Database!$A$1:$AS$1,0),FALSE)=0,#N/A,VLOOKUP(A121,Database!$A:$AS,MATCH($D$1,Database!$A$1:$AS$1,0),FALSE))</f>
        <v/>
      </c>
      <c r="E121" s="77">
        <f>IF(VLOOKUP(A121,Database!$A:$AS,MATCH($E$1,Database!$A$1:$AS$1,0),FALSE)=0,#N/A,VLOOKUP(A121,Database!$A:$AS,MATCH($E$1,Database!$A$1:$AS$1,0),FALSE))</f>
        <v/>
      </c>
      <c r="F121" s="77">
        <f>IF(VLOOKUP(A121,Database!$A:$AS,MATCH($F$1,Database!$A$1:$AS$1,0),FALSE)=0,#N/A,VLOOKUP(A121,Database!$A:$AS,MATCH($F$1,Database!$A$1:$AS$1,0),FALSE))</f>
        <v/>
      </c>
      <c r="G121" s="77">
        <f>IF(VLOOKUP(A121,Database!$A:$AS,MATCH($G$1,Database!$A$1:$AS$1,0),FALSE)=0,#N/A,VLOOKUP(A121,Database!$A:$AS,MATCH($G$1,Database!$A$1:$AS$1,0),FALSE))</f>
        <v/>
      </c>
      <c r="H121" s="77">
        <f>(((Table134567891011121314151617343[[#This Row],[ITA]]-VLOOKUP($U$1,A:B,2,))/VLOOKUP($U$1,A:B,2,))*100)+100</f>
        <v/>
      </c>
      <c r="I121" s="77">
        <f>(((Table134567891011121314151617343[[#This Row],[FRA]]-VLOOKUP($U$1,A:C,3,))/VLOOKUP($U$1,A:C,3,))*100)+100</f>
        <v/>
      </c>
      <c r="J121" s="77">
        <f>(((Table134567891011121314151617343[[#This Row],[DEU]]-VLOOKUP($U$1,A:D,4,))/VLOOKUP($U$1,A:D,4,))*100)+100</f>
        <v/>
      </c>
      <c r="K121" s="77">
        <f>(((Table134567891011121314151617343[[#This Row],[ESP]]-VLOOKUP($U$1,A:E,5,))/VLOOKUP($U$1,A:E,5,))*100)+100</f>
        <v/>
      </c>
      <c r="L121" s="77">
        <f>(((Table134567891011121314151617343[[#This Row],[EA19]]-VLOOKUP($U$1,A:F,6,))/VLOOKUP($U$1,A:F,6,))*100)+100</f>
        <v/>
      </c>
      <c r="M121" s="77">
        <f>(((Table134567891011121314151617343[[#This Row],[GBR]]-VLOOKUP($U$1,A:G,7,))/VLOOKUP($U$1,A:G,7,))*100)+100</f>
        <v/>
      </c>
      <c r="N121" s="77">
        <f>IF(VLOOKUP(A121,Database!$A:$AU,MATCH($N$1,Database!$A$1:$AU$1,0),FALSE)=0,#N/A,VLOOKUP(A121,Database!$A:$AU,MATCH($N$1,Database!$A$1:$AU$1,0),FALSE))</f>
        <v/>
      </c>
      <c r="O121" s="77">
        <f>(((Table134567891011121314151617343[[#This Row],[USA]]-VLOOKUP($U$1,A:N,14,))/VLOOKUP($U$1,A:N,14,))*100)+100</f>
        <v/>
      </c>
      <c r="P121" s="77">
        <f>IF(VLOOKUP(A121,Database!$A:$AS,MATCH($P$1,Database!$A$1:$AS$1,0),FALSE)=0,#N/A,VLOOKUP(A121,Database!$A:$AS,MATCH($P$1,Database!$A$1:$AS$1,0),FALSE))</f>
        <v/>
      </c>
      <c r="Q121" s="77">
        <f>(((Table134567891011121314151617343[[#This Row],[JPN]]-VLOOKUP($U$1,A:Q,16,))/VLOOKUP($U$1,A:Q,16,))*100)+100</f>
        <v/>
      </c>
    </row>
    <row r="122" customFormat="1" s="87">
      <c r="A122" s="21" t="n">
        <v>36526</v>
      </c>
      <c r="B122" s="77">
        <f>IF(VLOOKUP(A122,Database!$A:$AS,MATCH($B$1,Database!$A$1:$AS$1,0),FALSE)=0,#N/A,VLOOKUP(A122,Database!$A:$AS,MATCH($B$1,Database!$A$1:$AS$1,0),FALSE))</f>
        <v/>
      </c>
      <c r="C122" s="77">
        <f>IF(VLOOKUP(A122,Database!$A:$AS,MATCH($C$1,Database!$A$1:$AS$1,0),FALSE)=0,#N/A,VLOOKUP(A122,Database!$A:$AS,MATCH($C$1,Database!$A$1:$AS$1,0),FALSE))</f>
        <v/>
      </c>
      <c r="D122" s="77">
        <f>IF(VLOOKUP(A122,Database!$A:$AS,MATCH($D$1,Database!$A$1:$AS$1,0),FALSE)=0,#N/A,VLOOKUP(A122,Database!$A:$AS,MATCH($D$1,Database!$A$1:$AS$1,0),FALSE))</f>
        <v/>
      </c>
      <c r="E122" s="77">
        <f>IF(VLOOKUP(A122,Database!$A:$AS,MATCH($E$1,Database!$A$1:$AS$1,0),FALSE)=0,#N/A,VLOOKUP(A122,Database!$A:$AS,MATCH($E$1,Database!$A$1:$AS$1,0),FALSE))</f>
        <v/>
      </c>
      <c r="F122" s="77">
        <f>IF(VLOOKUP(A122,Database!$A:$AS,MATCH($F$1,Database!$A$1:$AS$1,0),FALSE)=0,#N/A,VLOOKUP(A122,Database!$A:$AS,MATCH($F$1,Database!$A$1:$AS$1,0),FALSE))</f>
        <v/>
      </c>
      <c r="G122" s="77">
        <f>IF(VLOOKUP(A122,Database!$A:$AS,MATCH($G$1,Database!$A$1:$AS$1,0),FALSE)=0,#N/A,VLOOKUP(A122,Database!$A:$AS,MATCH($G$1,Database!$A$1:$AS$1,0),FALSE))</f>
        <v/>
      </c>
      <c r="H122" s="77">
        <f>(((Table134567891011121314151617343[[#This Row],[ITA]]-VLOOKUP($U$1,A:B,2,))/VLOOKUP($U$1,A:B,2,))*100)+100</f>
        <v/>
      </c>
      <c r="I122" s="77">
        <f>(((Table134567891011121314151617343[[#This Row],[FRA]]-VLOOKUP($U$1,A:C,3,))/VLOOKUP($U$1,A:C,3,))*100)+100</f>
        <v/>
      </c>
      <c r="J122" s="77">
        <f>(((Table134567891011121314151617343[[#This Row],[DEU]]-VLOOKUP($U$1,A:D,4,))/VLOOKUP($U$1,A:D,4,))*100)+100</f>
        <v/>
      </c>
      <c r="K122" s="77">
        <f>(((Table134567891011121314151617343[[#This Row],[ESP]]-VLOOKUP($U$1,A:E,5,))/VLOOKUP($U$1,A:E,5,))*100)+100</f>
        <v/>
      </c>
      <c r="L122" s="77">
        <f>(((Table134567891011121314151617343[[#This Row],[EA19]]-VLOOKUP($U$1,A:F,6,))/VLOOKUP($U$1,A:F,6,))*100)+100</f>
        <v/>
      </c>
      <c r="M122" s="77">
        <f>(((Table134567891011121314151617343[[#This Row],[GBR]]-VLOOKUP($U$1,A:G,7,))/VLOOKUP($U$1,A:G,7,))*100)+100</f>
        <v/>
      </c>
      <c r="N122" s="77">
        <f>IF(VLOOKUP(A122,Database!$A:$AU,MATCH($N$1,Database!$A$1:$AU$1,0),FALSE)=0,#N/A,VLOOKUP(A122,Database!$A:$AU,MATCH($N$1,Database!$A$1:$AU$1,0),FALSE))</f>
        <v/>
      </c>
      <c r="O122" s="77">
        <f>(((Table134567891011121314151617343[[#This Row],[USA]]-VLOOKUP($U$1,A:N,14,))/VLOOKUP($U$1,A:N,14,))*100)+100</f>
        <v/>
      </c>
      <c r="P122" s="77">
        <f>IF(VLOOKUP(A122,Database!$A:$AS,MATCH($P$1,Database!$A$1:$AS$1,0),FALSE)=0,#N/A,VLOOKUP(A122,Database!$A:$AS,MATCH($P$1,Database!$A$1:$AS$1,0),FALSE))</f>
        <v/>
      </c>
      <c r="Q122" s="77">
        <f>(((Table134567891011121314151617343[[#This Row],[JPN]]-VLOOKUP($U$1,A:Q,16,))/VLOOKUP($U$1,A:Q,16,))*100)+100</f>
        <v/>
      </c>
    </row>
    <row r="123" customFormat="1" s="87">
      <c r="A123" s="21" t="n">
        <v>36557</v>
      </c>
      <c r="B123" s="77">
        <f>IF(VLOOKUP(A123,Database!$A:$AS,MATCH($B$1,Database!$A$1:$AS$1,0),FALSE)=0,#N/A,VLOOKUP(A123,Database!$A:$AS,MATCH($B$1,Database!$A$1:$AS$1,0),FALSE))</f>
        <v/>
      </c>
      <c r="C123" s="77">
        <f>IF(VLOOKUP(A123,Database!$A:$AS,MATCH($C$1,Database!$A$1:$AS$1,0),FALSE)=0,#N/A,VLOOKUP(A123,Database!$A:$AS,MATCH($C$1,Database!$A$1:$AS$1,0),FALSE))</f>
        <v/>
      </c>
      <c r="D123" s="77">
        <f>IF(VLOOKUP(A123,Database!$A:$AS,MATCH($D$1,Database!$A$1:$AS$1,0),FALSE)=0,#N/A,VLOOKUP(A123,Database!$A:$AS,MATCH($D$1,Database!$A$1:$AS$1,0),FALSE))</f>
        <v/>
      </c>
      <c r="E123" s="77">
        <f>IF(VLOOKUP(A123,Database!$A:$AS,MATCH($E$1,Database!$A$1:$AS$1,0),FALSE)=0,#N/A,VLOOKUP(A123,Database!$A:$AS,MATCH($E$1,Database!$A$1:$AS$1,0),FALSE))</f>
        <v/>
      </c>
      <c r="F123" s="77">
        <f>IF(VLOOKUP(A123,Database!$A:$AS,MATCH($F$1,Database!$A$1:$AS$1,0),FALSE)=0,#N/A,VLOOKUP(A123,Database!$A:$AS,MATCH($F$1,Database!$A$1:$AS$1,0),FALSE))</f>
        <v/>
      </c>
      <c r="G123" s="77">
        <f>IF(VLOOKUP(A123,Database!$A:$AS,MATCH($G$1,Database!$A$1:$AS$1,0),FALSE)=0,#N/A,VLOOKUP(A123,Database!$A:$AS,MATCH($G$1,Database!$A$1:$AS$1,0),FALSE))</f>
        <v/>
      </c>
      <c r="H123" s="77">
        <f>(((Table134567891011121314151617343[[#This Row],[ITA]]-VLOOKUP($U$1,A:B,2,))/VLOOKUP($U$1,A:B,2,))*100)+100</f>
        <v/>
      </c>
      <c r="I123" s="77">
        <f>(((Table134567891011121314151617343[[#This Row],[FRA]]-VLOOKUP($U$1,A:C,3,))/VLOOKUP($U$1,A:C,3,))*100)+100</f>
        <v/>
      </c>
      <c r="J123" s="77">
        <f>(((Table134567891011121314151617343[[#This Row],[DEU]]-VLOOKUP($U$1,A:D,4,))/VLOOKUP($U$1,A:D,4,))*100)+100</f>
        <v/>
      </c>
      <c r="K123" s="77">
        <f>(((Table134567891011121314151617343[[#This Row],[ESP]]-VLOOKUP($U$1,A:E,5,))/VLOOKUP($U$1,A:E,5,))*100)+100</f>
        <v/>
      </c>
      <c r="L123" s="77">
        <f>(((Table134567891011121314151617343[[#This Row],[EA19]]-VLOOKUP($U$1,A:F,6,))/VLOOKUP($U$1,A:F,6,))*100)+100</f>
        <v/>
      </c>
      <c r="M123" s="77">
        <f>(((Table134567891011121314151617343[[#This Row],[GBR]]-VLOOKUP($U$1,A:G,7,))/VLOOKUP($U$1,A:G,7,))*100)+100</f>
        <v/>
      </c>
      <c r="N123" s="77">
        <f>IF(VLOOKUP(A123,Database!$A:$AU,MATCH($N$1,Database!$A$1:$AU$1,0),FALSE)=0,#N/A,VLOOKUP(A123,Database!$A:$AU,MATCH($N$1,Database!$A$1:$AU$1,0),FALSE))</f>
        <v/>
      </c>
      <c r="O123" s="77">
        <f>(((Table134567891011121314151617343[[#This Row],[USA]]-VLOOKUP($U$1,A:N,14,))/VLOOKUP($U$1,A:N,14,))*100)+100</f>
        <v/>
      </c>
      <c r="P123" s="77">
        <f>IF(VLOOKUP(A123,Database!$A:$AS,MATCH($P$1,Database!$A$1:$AS$1,0),FALSE)=0,#N/A,VLOOKUP(A123,Database!$A:$AS,MATCH($P$1,Database!$A$1:$AS$1,0),FALSE))</f>
        <v/>
      </c>
      <c r="Q123" s="77">
        <f>(((Table134567891011121314151617343[[#This Row],[JPN]]-VLOOKUP($U$1,A:Q,16,))/VLOOKUP($U$1,A:Q,16,))*100)+100</f>
        <v/>
      </c>
    </row>
    <row r="124" customFormat="1" s="87">
      <c r="A124" s="21" t="n">
        <v>36586</v>
      </c>
      <c r="B124" s="77">
        <f>IF(VLOOKUP(A124,Database!$A:$AS,MATCH($B$1,Database!$A$1:$AS$1,0),FALSE)=0,#N/A,VLOOKUP(A124,Database!$A:$AS,MATCH($B$1,Database!$A$1:$AS$1,0),FALSE))</f>
        <v/>
      </c>
      <c r="C124" s="77">
        <f>IF(VLOOKUP(A124,Database!$A:$AS,MATCH($C$1,Database!$A$1:$AS$1,0),FALSE)=0,#N/A,VLOOKUP(A124,Database!$A:$AS,MATCH($C$1,Database!$A$1:$AS$1,0),FALSE))</f>
        <v/>
      </c>
      <c r="D124" s="77">
        <f>IF(VLOOKUP(A124,Database!$A:$AS,MATCH($D$1,Database!$A$1:$AS$1,0),FALSE)=0,#N/A,VLOOKUP(A124,Database!$A:$AS,MATCH($D$1,Database!$A$1:$AS$1,0),FALSE))</f>
        <v/>
      </c>
      <c r="E124" s="77">
        <f>IF(VLOOKUP(A124,Database!$A:$AS,MATCH($E$1,Database!$A$1:$AS$1,0),FALSE)=0,#N/A,VLOOKUP(A124,Database!$A:$AS,MATCH($E$1,Database!$A$1:$AS$1,0),FALSE))</f>
        <v/>
      </c>
      <c r="F124" s="77">
        <f>IF(VLOOKUP(A124,Database!$A:$AS,MATCH($F$1,Database!$A$1:$AS$1,0),FALSE)=0,#N/A,VLOOKUP(A124,Database!$A:$AS,MATCH($F$1,Database!$A$1:$AS$1,0),FALSE))</f>
        <v/>
      </c>
      <c r="G124" s="77">
        <f>IF(VLOOKUP(A124,Database!$A:$AS,MATCH($G$1,Database!$A$1:$AS$1,0),FALSE)=0,#N/A,VLOOKUP(A124,Database!$A:$AS,MATCH($G$1,Database!$A$1:$AS$1,0),FALSE))</f>
        <v/>
      </c>
      <c r="H124" s="77">
        <f>(((Table134567891011121314151617343[[#This Row],[ITA]]-VLOOKUP($U$1,A:B,2,))/VLOOKUP($U$1,A:B,2,))*100)+100</f>
        <v/>
      </c>
      <c r="I124" s="77">
        <f>(((Table134567891011121314151617343[[#This Row],[FRA]]-VLOOKUP($U$1,A:C,3,))/VLOOKUP($U$1,A:C,3,))*100)+100</f>
        <v/>
      </c>
      <c r="J124" s="77">
        <f>(((Table134567891011121314151617343[[#This Row],[DEU]]-VLOOKUP($U$1,A:D,4,))/VLOOKUP($U$1,A:D,4,))*100)+100</f>
        <v/>
      </c>
      <c r="K124" s="77">
        <f>(((Table134567891011121314151617343[[#This Row],[ESP]]-VLOOKUP($U$1,A:E,5,))/VLOOKUP($U$1,A:E,5,))*100)+100</f>
        <v/>
      </c>
      <c r="L124" s="77">
        <f>(((Table134567891011121314151617343[[#This Row],[EA19]]-VLOOKUP($U$1,A:F,6,))/VLOOKUP($U$1,A:F,6,))*100)+100</f>
        <v/>
      </c>
      <c r="M124" s="77">
        <f>(((Table134567891011121314151617343[[#This Row],[GBR]]-VLOOKUP($U$1,A:G,7,))/VLOOKUP($U$1,A:G,7,))*100)+100</f>
        <v/>
      </c>
      <c r="N124" s="77">
        <f>IF(VLOOKUP(A124,Database!$A:$AU,MATCH($N$1,Database!$A$1:$AU$1,0),FALSE)=0,#N/A,VLOOKUP(A124,Database!$A:$AU,MATCH($N$1,Database!$A$1:$AU$1,0),FALSE))</f>
        <v/>
      </c>
      <c r="O124" s="77">
        <f>(((Table134567891011121314151617343[[#This Row],[USA]]-VLOOKUP($U$1,A:N,14,))/VLOOKUP($U$1,A:N,14,))*100)+100</f>
        <v/>
      </c>
      <c r="P124" s="77">
        <f>IF(VLOOKUP(A124,Database!$A:$AS,MATCH($P$1,Database!$A$1:$AS$1,0),FALSE)=0,#N/A,VLOOKUP(A124,Database!$A:$AS,MATCH($P$1,Database!$A$1:$AS$1,0),FALSE))</f>
        <v/>
      </c>
      <c r="Q124" s="77">
        <f>(((Table134567891011121314151617343[[#This Row],[JPN]]-VLOOKUP($U$1,A:Q,16,))/VLOOKUP($U$1,A:Q,16,))*100)+100</f>
        <v/>
      </c>
    </row>
    <row r="125" customFormat="1" s="87">
      <c r="A125" s="21" t="n">
        <v>36617</v>
      </c>
      <c r="B125" s="77">
        <f>IF(VLOOKUP(A125,Database!$A:$AS,MATCH($B$1,Database!$A$1:$AS$1,0),FALSE)=0,#N/A,VLOOKUP(A125,Database!$A:$AS,MATCH($B$1,Database!$A$1:$AS$1,0),FALSE))</f>
        <v/>
      </c>
      <c r="C125" s="77">
        <f>IF(VLOOKUP(A125,Database!$A:$AS,MATCH($C$1,Database!$A$1:$AS$1,0),FALSE)=0,#N/A,VLOOKUP(A125,Database!$A:$AS,MATCH($C$1,Database!$A$1:$AS$1,0),FALSE))</f>
        <v/>
      </c>
      <c r="D125" s="77">
        <f>IF(VLOOKUP(A125,Database!$A:$AS,MATCH($D$1,Database!$A$1:$AS$1,0),FALSE)=0,#N/A,VLOOKUP(A125,Database!$A:$AS,MATCH($D$1,Database!$A$1:$AS$1,0),FALSE))</f>
        <v/>
      </c>
      <c r="E125" s="77">
        <f>IF(VLOOKUP(A125,Database!$A:$AS,MATCH($E$1,Database!$A$1:$AS$1,0),FALSE)=0,#N/A,VLOOKUP(A125,Database!$A:$AS,MATCH($E$1,Database!$A$1:$AS$1,0),FALSE))</f>
        <v/>
      </c>
      <c r="F125" s="77">
        <f>IF(VLOOKUP(A125,Database!$A:$AS,MATCH($F$1,Database!$A$1:$AS$1,0),FALSE)=0,#N/A,VLOOKUP(A125,Database!$A:$AS,MATCH($F$1,Database!$A$1:$AS$1,0),FALSE))</f>
        <v/>
      </c>
      <c r="G125" s="77">
        <f>IF(VLOOKUP(A125,Database!$A:$AS,MATCH($G$1,Database!$A$1:$AS$1,0),FALSE)=0,#N/A,VLOOKUP(A125,Database!$A:$AS,MATCH($G$1,Database!$A$1:$AS$1,0),FALSE))</f>
        <v/>
      </c>
      <c r="H125" s="77">
        <f>(((Table134567891011121314151617343[[#This Row],[ITA]]-VLOOKUP($U$1,A:B,2,))/VLOOKUP($U$1,A:B,2,))*100)+100</f>
        <v/>
      </c>
      <c r="I125" s="77">
        <f>(((Table134567891011121314151617343[[#This Row],[FRA]]-VLOOKUP($U$1,A:C,3,))/VLOOKUP($U$1,A:C,3,))*100)+100</f>
        <v/>
      </c>
      <c r="J125" s="77">
        <f>(((Table134567891011121314151617343[[#This Row],[DEU]]-VLOOKUP($U$1,A:D,4,))/VLOOKUP($U$1,A:D,4,))*100)+100</f>
        <v/>
      </c>
      <c r="K125" s="77">
        <f>(((Table134567891011121314151617343[[#This Row],[ESP]]-VLOOKUP($U$1,A:E,5,))/VLOOKUP($U$1,A:E,5,))*100)+100</f>
        <v/>
      </c>
      <c r="L125" s="77">
        <f>(((Table134567891011121314151617343[[#This Row],[EA19]]-VLOOKUP($U$1,A:F,6,))/VLOOKUP($U$1,A:F,6,))*100)+100</f>
        <v/>
      </c>
      <c r="M125" s="77">
        <f>(((Table134567891011121314151617343[[#This Row],[GBR]]-VLOOKUP($U$1,A:G,7,))/VLOOKUP($U$1,A:G,7,))*100)+100</f>
        <v/>
      </c>
      <c r="N125" s="77">
        <f>IF(VLOOKUP(A125,Database!$A:$AU,MATCH($N$1,Database!$A$1:$AU$1,0),FALSE)=0,#N/A,VLOOKUP(A125,Database!$A:$AU,MATCH($N$1,Database!$A$1:$AU$1,0),FALSE))</f>
        <v/>
      </c>
      <c r="O125" s="77">
        <f>(((Table134567891011121314151617343[[#This Row],[USA]]-VLOOKUP($U$1,A:N,14,))/VLOOKUP($U$1,A:N,14,))*100)+100</f>
        <v/>
      </c>
      <c r="P125" s="77">
        <f>IF(VLOOKUP(A125,Database!$A:$AS,MATCH($P$1,Database!$A$1:$AS$1,0),FALSE)=0,#N/A,VLOOKUP(A125,Database!$A:$AS,MATCH($P$1,Database!$A$1:$AS$1,0),FALSE))</f>
        <v/>
      </c>
      <c r="Q125" s="77">
        <f>(((Table134567891011121314151617343[[#This Row],[JPN]]-VLOOKUP($U$1,A:Q,16,))/VLOOKUP($U$1,A:Q,16,))*100)+100</f>
        <v/>
      </c>
    </row>
    <row r="126" customFormat="1" s="87">
      <c r="A126" s="21" t="n">
        <v>36647</v>
      </c>
      <c r="B126" s="77">
        <f>IF(VLOOKUP(A126,Database!$A:$AS,MATCH($B$1,Database!$A$1:$AS$1,0),FALSE)=0,#N/A,VLOOKUP(A126,Database!$A:$AS,MATCH($B$1,Database!$A$1:$AS$1,0),FALSE))</f>
        <v/>
      </c>
      <c r="C126" s="77">
        <f>IF(VLOOKUP(A126,Database!$A:$AS,MATCH($C$1,Database!$A$1:$AS$1,0),FALSE)=0,#N/A,VLOOKUP(A126,Database!$A:$AS,MATCH($C$1,Database!$A$1:$AS$1,0),FALSE))</f>
        <v/>
      </c>
      <c r="D126" s="77">
        <f>IF(VLOOKUP(A126,Database!$A:$AS,MATCH($D$1,Database!$A$1:$AS$1,0),FALSE)=0,#N/A,VLOOKUP(A126,Database!$A:$AS,MATCH($D$1,Database!$A$1:$AS$1,0),FALSE))</f>
        <v/>
      </c>
      <c r="E126" s="77">
        <f>IF(VLOOKUP(A126,Database!$A:$AS,MATCH($E$1,Database!$A$1:$AS$1,0),FALSE)=0,#N/A,VLOOKUP(A126,Database!$A:$AS,MATCH($E$1,Database!$A$1:$AS$1,0),FALSE))</f>
        <v/>
      </c>
      <c r="F126" s="77">
        <f>IF(VLOOKUP(A126,Database!$A:$AS,MATCH($F$1,Database!$A$1:$AS$1,0),FALSE)=0,#N/A,VLOOKUP(A126,Database!$A:$AS,MATCH($F$1,Database!$A$1:$AS$1,0),FALSE))</f>
        <v/>
      </c>
      <c r="G126" s="77">
        <f>IF(VLOOKUP(A126,Database!$A:$AS,MATCH($G$1,Database!$A$1:$AS$1,0),FALSE)=0,#N/A,VLOOKUP(A126,Database!$A:$AS,MATCH($G$1,Database!$A$1:$AS$1,0),FALSE))</f>
        <v/>
      </c>
      <c r="H126" s="77">
        <f>(((Table134567891011121314151617343[[#This Row],[ITA]]-VLOOKUP($U$1,A:B,2,))/VLOOKUP($U$1,A:B,2,))*100)+100</f>
        <v/>
      </c>
      <c r="I126" s="77">
        <f>(((Table134567891011121314151617343[[#This Row],[FRA]]-VLOOKUP($U$1,A:C,3,))/VLOOKUP($U$1,A:C,3,))*100)+100</f>
        <v/>
      </c>
      <c r="J126" s="77">
        <f>(((Table134567891011121314151617343[[#This Row],[DEU]]-VLOOKUP($U$1,A:D,4,))/VLOOKUP($U$1,A:D,4,))*100)+100</f>
        <v/>
      </c>
      <c r="K126" s="77">
        <f>(((Table134567891011121314151617343[[#This Row],[ESP]]-VLOOKUP($U$1,A:E,5,))/VLOOKUP($U$1,A:E,5,))*100)+100</f>
        <v/>
      </c>
      <c r="L126" s="77">
        <f>(((Table134567891011121314151617343[[#This Row],[EA19]]-VLOOKUP($U$1,A:F,6,))/VLOOKUP($U$1,A:F,6,))*100)+100</f>
        <v/>
      </c>
      <c r="M126" s="77">
        <f>(((Table134567891011121314151617343[[#This Row],[GBR]]-VLOOKUP($U$1,A:G,7,))/VLOOKUP($U$1,A:G,7,))*100)+100</f>
        <v/>
      </c>
      <c r="N126" s="77">
        <f>IF(VLOOKUP(A126,Database!$A:$AU,MATCH($N$1,Database!$A$1:$AU$1,0),FALSE)=0,#N/A,VLOOKUP(A126,Database!$A:$AU,MATCH($N$1,Database!$A$1:$AU$1,0),FALSE))</f>
        <v/>
      </c>
      <c r="O126" s="77">
        <f>(((Table134567891011121314151617343[[#This Row],[USA]]-VLOOKUP($U$1,A:N,14,))/VLOOKUP($U$1,A:N,14,))*100)+100</f>
        <v/>
      </c>
      <c r="P126" s="77">
        <f>IF(VLOOKUP(A126,Database!$A:$AS,MATCH($P$1,Database!$A$1:$AS$1,0),FALSE)=0,#N/A,VLOOKUP(A126,Database!$A:$AS,MATCH($P$1,Database!$A$1:$AS$1,0),FALSE))</f>
        <v/>
      </c>
      <c r="Q126" s="77">
        <f>(((Table134567891011121314151617343[[#This Row],[JPN]]-VLOOKUP($U$1,A:Q,16,))/VLOOKUP($U$1,A:Q,16,))*100)+100</f>
        <v/>
      </c>
    </row>
    <row r="127" customFormat="1" s="87">
      <c r="A127" s="21" t="n">
        <v>36678</v>
      </c>
      <c r="B127" s="77">
        <f>IF(VLOOKUP(A127,Database!$A:$AS,MATCH($B$1,Database!$A$1:$AS$1,0),FALSE)=0,#N/A,VLOOKUP(A127,Database!$A:$AS,MATCH($B$1,Database!$A$1:$AS$1,0),FALSE))</f>
        <v/>
      </c>
      <c r="C127" s="77">
        <f>IF(VLOOKUP(A127,Database!$A:$AS,MATCH($C$1,Database!$A$1:$AS$1,0),FALSE)=0,#N/A,VLOOKUP(A127,Database!$A:$AS,MATCH($C$1,Database!$A$1:$AS$1,0),FALSE))</f>
        <v/>
      </c>
      <c r="D127" s="77">
        <f>IF(VLOOKUP(A127,Database!$A:$AS,MATCH($D$1,Database!$A$1:$AS$1,0),FALSE)=0,#N/A,VLOOKUP(A127,Database!$A:$AS,MATCH($D$1,Database!$A$1:$AS$1,0),FALSE))</f>
        <v/>
      </c>
      <c r="E127" s="77">
        <f>IF(VLOOKUP(A127,Database!$A:$AS,MATCH($E$1,Database!$A$1:$AS$1,0),FALSE)=0,#N/A,VLOOKUP(A127,Database!$A:$AS,MATCH($E$1,Database!$A$1:$AS$1,0),FALSE))</f>
        <v/>
      </c>
      <c r="F127" s="77">
        <f>IF(VLOOKUP(A127,Database!$A:$AS,MATCH($F$1,Database!$A$1:$AS$1,0),FALSE)=0,#N/A,VLOOKUP(A127,Database!$A:$AS,MATCH($F$1,Database!$A$1:$AS$1,0),FALSE))</f>
        <v/>
      </c>
      <c r="G127" s="77">
        <f>IF(VLOOKUP(A127,Database!$A:$AS,MATCH($G$1,Database!$A$1:$AS$1,0),FALSE)=0,#N/A,VLOOKUP(A127,Database!$A:$AS,MATCH($G$1,Database!$A$1:$AS$1,0),FALSE))</f>
        <v/>
      </c>
      <c r="H127" s="77">
        <f>(((Table134567891011121314151617343[[#This Row],[ITA]]-VLOOKUP($U$1,A:B,2,))/VLOOKUP($U$1,A:B,2,))*100)+100</f>
        <v/>
      </c>
      <c r="I127" s="77">
        <f>(((Table134567891011121314151617343[[#This Row],[FRA]]-VLOOKUP($U$1,A:C,3,))/VLOOKUP($U$1,A:C,3,))*100)+100</f>
        <v/>
      </c>
      <c r="J127" s="77">
        <f>(((Table134567891011121314151617343[[#This Row],[DEU]]-VLOOKUP($U$1,A:D,4,))/VLOOKUP($U$1,A:D,4,))*100)+100</f>
        <v/>
      </c>
      <c r="K127" s="77">
        <f>(((Table134567891011121314151617343[[#This Row],[ESP]]-VLOOKUP($U$1,A:E,5,))/VLOOKUP($U$1,A:E,5,))*100)+100</f>
        <v/>
      </c>
      <c r="L127" s="77">
        <f>(((Table134567891011121314151617343[[#This Row],[EA19]]-VLOOKUP($U$1,A:F,6,))/VLOOKUP($U$1,A:F,6,))*100)+100</f>
        <v/>
      </c>
      <c r="M127" s="77">
        <f>(((Table134567891011121314151617343[[#This Row],[GBR]]-VLOOKUP($U$1,A:G,7,))/VLOOKUP($U$1,A:G,7,))*100)+100</f>
        <v/>
      </c>
      <c r="N127" s="77">
        <f>IF(VLOOKUP(A127,Database!$A:$AU,MATCH($N$1,Database!$A$1:$AU$1,0),FALSE)=0,#N/A,VLOOKUP(A127,Database!$A:$AU,MATCH($N$1,Database!$A$1:$AU$1,0),FALSE))</f>
        <v/>
      </c>
      <c r="O127" s="77">
        <f>(((Table134567891011121314151617343[[#This Row],[USA]]-VLOOKUP($U$1,A:N,14,))/VLOOKUP($U$1,A:N,14,))*100)+100</f>
        <v/>
      </c>
      <c r="P127" s="77">
        <f>IF(VLOOKUP(A127,Database!$A:$AS,MATCH($P$1,Database!$A$1:$AS$1,0),FALSE)=0,#N/A,VLOOKUP(A127,Database!$A:$AS,MATCH($P$1,Database!$A$1:$AS$1,0),FALSE))</f>
        <v/>
      </c>
      <c r="Q127" s="77">
        <f>(((Table134567891011121314151617343[[#This Row],[JPN]]-VLOOKUP($U$1,A:Q,16,))/VLOOKUP($U$1,A:Q,16,))*100)+100</f>
        <v/>
      </c>
    </row>
    <row r="128" customFormat="1" s="87">
      <c r="A128" s="21" t="n">
        <v>36708</v>
      </c>
      <c r="B128" s="77">
        <f>IF(VLOOKUP(A128,Database!$A:$AS,MATCH($B$1,Database!$A$1:$AS$1,0),FALSE)=0,#N/A,VLOOKUP(A128,Database!$A:$AS,MATCH($B$1,Database!$A$1:$AS$1,0),FALSE))</f>
        <v/>
      </c>
      <c r="C128" s="77">
        <f>IF(VLOOKUP(A128,Database!$A:$AS,MATCH($C$1,Database!$A$1:$AS$1,0),FALSE)=0,#N/A,VLOOKUP(A128,Database!$A:$AS,MATCH($C$1,Database!$A$1:$AS$1,0),FALSE))</f>
        <v/>
      </c>
      <c r="D128" s="77">
        <f>IF(VLOOKUP(A128,Database!$A:$AS,MATCH($D$1,Database!$A$1:$AS$1,0),FALSE)=0,#N/A,VLOOKUP(A128,Database!$A:$AS,MATCH($D$1,Database!$A$1:$AS$1,0),FALSE))</f>
        <v/>
      </c>
      <c r="E128" s="77">
        <f>IF(VLOOKUP(A128,Database!$A:$AS,MATCH($E$1,Database!$A$1:$AS$1,0),FALSE)=0,#N/A,VLOOKUP(A128,Database!$A:$AS,MATCH($E$1,Database!$A$1:$AS$1,0),FALSE))</f>
        <v/>
      </c>
      <c r="F128" s="77">
        <f>IF(VLOOKUP(A128,Database!$A:$AS,MATCH($F$1,Database!$A$1:$AS$1,0),FALSE)=0,#N/A,VLOOKUP(A128,Database!$A:$AS,MATCH($F$1,Database!$A$1:$AS$1,0),FALSE))</f>
        <v/>
      </c>
      <c r="G128" s="77">
        <f>IF(VLOOKUP(A128,Database!$A:$AS,MATCH($G$1,Database!$A$1:$AS$1,0),FALSE)=0,#N/A,VLOOKUP(A128,Database!$A:$AS,MATCH($G$1,Database!$A$1:$AS$1,0),FALSE))</f>
        <v/>
      </c>
      <c r="H128" s="77">
        <f>(((Table134567891011121314151617343[[#This Row],[ITA]]-VLOOKUP($U$1,A:B,2,))/VLOOKUP($U$1,A:B,2,))*100)+100</f>
        <v/>
      </c>
      <c r="I128" s="77">
        <f>(((Table134567891011121314151617343[[#This Row],[FRA]]-VLOOKUP($U$1,A:C,3,))/VLOOKUP($U$1,A:C,3,))*100)+100</f>
        <v/>
      </c>
      <c r="J128" s="77">
        <f>(((Table134567891011121314151617343[[#This Row],[DEU]]-VLOOKUP($U$1,A:D,4,))/VLOOKUP($U$1,A:D,4,))*100)+100</f>
        <v/>
      </c>
      <c r="K128" s="77">
        <f>(((Table134567891011121314151617343[[#This Row],[ESP]]-VLOOKUP($U$1,A:E,5,))/VLOOKUP($U$1,A:E,5,))*100)+100</f>
        <v/>
      </c>
      <c r="L128" s="77">
        <f>(((Table134567891011121314151617343[[#This Row],[EA19]]-VLOOKUP($U$1,A:F,6,))/VLOOKUP($U$1,A:F,6,))*100)+100</f>
        <v/>
      </c>
      <c r="M128" s="77">
        <f>(((Table134567891011121314151617343[[#This Row],[GBR]]-VLOOKUP($U$1,A:G,7,))/VLOOKUP($U$1,A:G,7,))*100)+100</f>
        <v/>
      </c>
      <c r="N128" s="77">
        <f>IF(VLOOKUP(A128,Database!$A:$AU,MATCH($N$1,Database!$A$1:$AU$1,0),FALSE)=0,#N/A,VLOOKUP(A128,Database!$A:$AU,MATCH($N$1,Database!$A$1:$AU$1,0),FALSE))</f>
        <v/>
      </c>
      <c r="O128" s="77">
        <f>(((Table134567891011121314151617343[[#This Row],[USA]]-VLOOKUP($U$1,A:N,14,))/VLOOKUP($U$1,A:N,14,))*100)+100</f>
        <v/>
      </c>
      <c r="P128" s="77">
        <f>IF(VLOOKUP(A128,Database!$A:$AS,MATCH($P$1,Database!$A$1:$AS$1,0),FALSE)=0,#N/A,VLOOKUP(A128,Database!$A:$AS,MATCH($P$1,Database!$A$1:$AS$1,0),FALSE))</f>
        <v/>
      </c>
      <c r="Q128" s="77">
        <f>(((Table134567891011121314151617343[[#This Row],[JPN]]-VLOOKUP($U$1,A:Q,16,))/VLOOKUP($U$1,A:Q,16,))*100)+100</f>
        <v/>
      </c>
    </row>
    <row r="129" customFormat="1" s="87">
      <c r="A129" s="21" t="n">
        <v>36739</v>
      </c>
      <c r="B129" s="77">
        <f>IF(VLOOKUP(A129,Database!$A:$AS,MATCH($B$1,Database!$A$1:$AS$1,0),FALSE)=0,#N/A,VLOOKUP(A129,Database!$A:$AS,MATCH($B$1,Database!$A$1:$AS$1,0),FALSE))</f>
        <v/>
      </c>
      <c r="C129" s="77">
        <f>IF(VLOOKUP(A129,Database!$A:$AS,MATCH($C$1,Database!$A$1:$AS$1,0),FALSE)=0,#N/A,VLOOKUP(A129,Database!$A:$AS,MATCH($C$1,Database!$A$1:$AS$1,0),FALSE))</f>
        <v/>
      </c>
      <c r="D129" s="77">
        <f>IF(VLOOKUP(A129,Database!$A:$AS,MATCH($D$1,Database!$A$1:$AS$1,0),FALSE)=0,#N/A,VLOOKUP(A129,Database!$A:$AS,MATCH($D$1,Database!$A$1:$AS$1,0),FALSE))</f>
        <v/>
      </c>
      <c r="E129" s="77">
        <f>IF(VLOOKUP(A129,Database!$A:$AS,MATCH($E$1,Database!$A$1:$AS$1,0),FALSE)=0,#N/A,VLOOKUP(A129,Database!$A:$AS,MATCH($E$1,Database!$A$1:$AS$1,0),FALSE))</f>
        <v/>
      </c>
      <c r="F129" s="77">
        <f>IF(VLOOKUP(A129,Database!$A:$AS,MATCH($F$1,Database!$A$1:$AS$1,0),FALSE)=0,#N/A,VLOOKUP(A129,Database!$A:$AS,MATCH($F$1,Database!$A$1:$AS$1,0),FALSE))</f>
        <v/>
      </c>
      <c r="G129" s="77">
        <f>IF(VLOOKUP(A129,Database!$A:$AS,MATCH($G$1,Database!$A$1:$AS$1,0),FALSE)=0,#N/A,VLOOKUP(A129,Database!$A:$AS,MATCH($G$1,Database!$A$1:$AS$1,0),FALSE))</f>
        <v/>
      </c>
      <c r="H129" s="77">
        <f>(((Table134567891011121314151617343[[#This Row],[ITA]]-VLOOKUP($U$1,A:B,2,))/VLOOKUP($U$1,A:B,2,))*100)+100</f>
        <v/>
      </c>
      <c r="I129" s="77">
        <f>(((Table134567891011121314151617343[[#This Row],[FRA]]-VLOOKUP($U$1,A:C,3,))/VLOOKUP($U$1,A:C,3,))*100)+100</f>
        <v/>
      </c>
      <c r="J129" s="77">
        <f>(((Table134567891011121314151617343[[#This Row],[DEU]]-VLOOKUP($U$1,A:D,4,))/VLOOKUP($U$1,A:D,4,))*100)+100</f>
        <v/>
      </c>
      <c r="K129" s="77">
        <f>(((Table134567891011121314151617343[[#This Row],[ESP]]-VLOOKUP($U$1,A:E,5,))/VLOOKUP($U$1,A:E,5,))*100)+100</f>
        <v/>
      </c>
      <c r="L129" s="77">
        <f>(((Table134567891011121314151617343[[#This Row],[EA19]]-VLOOKUP($U$1,A:F,6,))/VLOOKUP($U$1,A:F,6,))*100)+100</f>
        <v/>
      </c>
      <c r="M129" s="77">
        <f>(((Table134567891011121314151617343[[#This Row],[GBR]]-VLOOKUP($U$1,A:G,7,))/VLOOKUP($U$1,A:G,7,))*100)+100</f>
        <v/>
      </c>
      <c r="N129" s="77">
        <f>IF(VLOOKUP(A129,Database!$A:$AU,MATCH($N$1,Database!$A$1:$AU$1,0),FALSE)=0,#N/A,VLOOKUP(A129,Database!$A:$AU,MATCH($N$1,Database!$A$1:$AU$1,0),FALSE))</f>
        <v/>
      </c>
      <c r="O129" s="77">
        <f>(((Table134567891011121314151617343[[#This Row],[USA]]-VLOOKUP($U$1,A:N,14,))/VLOOKUP($U$1,A:N,14,))*100)+100</f>
        <v/>
      </c>
      <c r="P129" s="77">
        <f>IF(VLOOKUP(A129,Database!$A:$AS,MATCH($P$1,Database!$A$1:$AS$1,0),FALSE)=0,#N/A,VLOOKUP(A129,Database!$A:$AS,MATCH($P$1,Database!$A$1:$AS$1,0),FALSE))</f>
        <v/>
      </c>
      <c r="Q129" s="77">
        <f>(((Table134567891011121314151617343[[#This Row],[JPN]]-VLOOKUP($U$1,A:Q,16,))/VLOOKUP($U$1,A:Q,16,))*100)+100</f>
        <v/>
      </c>
    </row>
    <row r="130" customFormat="1" s="87">
      <c r="A130" s="21" t="n">
        <v>36770</v>
      </c>
      <c r="B130" s="77">
        <f>IF(VLOOKUP(A130,Database!$A:$AS,MATCH($B$1,Database!$A$1:$AS$1,0),FALSE)=0,#N/A,VLOOKUP(A130,Database!$A:$AS,MATCH($B$1,Database!$A$1:$AS$1,0),FALSE))</f>
        <v/>
      </c>
      <c r="C130" s="77">
        <f>IF(VLOOKUP(A130,Database!$A:$AS,MATCH($C$1,Database!$A$1:$AS$1,0),FALSE)=0,#N/A,VLOOKUP(A130,Database!$A:$AS,MATCH($C$1,Database!$A$1:$AS$1,0),FALSE))</f>
        <v/>
      </c>
      <c r="D130" s="77">
        <f>IF(VLOOKUP(A130,Database!$A:$AS,MATCH($D$1,Database!$A$1:$AS$1,0),FALSE)=0,#N/A,VLOOKUP(A130,Database!$A:$AS,MATCH($D$1,Database!$A$1:$AS$1,0),FALSE))</f>
        <v/>
      </c>
      <c r="E130" s="77">
        <f>IF(VLOOKUP(A130,Database!$A:$AS,MATCH($E$1,Database!$A$1:$AS$1,0),FALSE)=0,#N/A,VLOOKUP(A130,Database!$A:$AS,MATCH($E$1,Database!$A$1:$AS$1,0),FALSE))</f>
        <v/>
      </c>
      <c r="F130" s="77">
        <f>IF(VLOOKUP(A130,Database!$A:$AS,MATCH($F$1,Database!$A$1:$AS$1,0),FALSE)=0,#N/A,VLOOKUP(A130,Database!$A:$AS,MATCH($F$1,Database!$A$1:$AS$1,0),FALSE))</f>
        <v/>
      </c>
      <c r="G130" s="77">
        <f>IF(VLOOKUP(A130,Database!$A:$AS,MATCH($G$1,Database!$A$1:$AS$1,0),FALSE)=0,#N/A,VLOOKUP(A130,Database!$A:$AS,MATCH($G$1,Database!$A$1:$AS$1,0),FALSE))</f>
        <v/>
      </c>
      <c r="H130" s="77">
        <f>(((Table134567891011121314151617343[[#This Row],[ITA]]-VLOOKUP($U$1,A:B,2,))/VLOOKUP($U$1,A:B,2,))*100)+100</f>
        <v/>
      </c>
      <c r="I130" s="77">
        <f>(((Table134567891011121314151617343[[#This Row],[FRA]]-VLOOKUP($U$1,A:C,3,))/VLOOKUP($U$1,A:C,3,))*100)+100</f>
        <v/>
      </c>
      <c r="J130" s="77">
        <f>(((Table134567891011121314151617343[[#This Row],[DEU]]-VLOOKUP($U$1,A:D,4,))/VLOOKUP($U$1,A:D,4,))*100)+100</f>
        <v/>
      </c>
      <c r="K130" s="77">
        <f>(((Table134567891011121314151617343[[#This Row],[ESP]]-VLOOKUP($U$1,A:E,5,))/VLOOKUP($U$1,A:E,5,))*100)+100</f>
        <v/>
      </c>
      <c r="L130" s="77">
        <f>(((Table134567891011121314151617343[[#This Row],[EA19]]-VLOOKUP($U$1,A:F,6,))/VLOOKUP($U$1,A:F,6,))*100)+100</f>
        <v/>
      </c>
      <c r="M130" s="77">
        <f>(((Table134567891011121314151617343[[#This Row],[GBR]]-VLOOKUP($U$1,A:G,7,))/VLOOKUP($U$1,A:G,7,))*100)+100</f>
        <v/>
      </c>
      <c r="N130" s="77">
        <f>IF(VLOOKUP(A130,Database!$A:$AU,MATCH($N$1,Database!$A$1:$AU$1,0),FALSE)=0,#N/A,VLOOKUP(A130,Database!$A:$AU,MATCH($N$1,Database!$A$1:$AU$1,0),FALSE))</f>
        <v/>
      </c>
      <c r="O130" s="77">
        <f>(((Table134567891011121314151617343[[#This Row],[USA]]-VLOOKUP($U$1,A:N,14,))/VLOOKUP($U$1,A:N,14,))*100)+100</f>
        <v/>
      </c>
      <c r="P130" s="77">
        <f>IF(VLOOKUP(A130,Database!$A:$AS,MATCH($P$1,Database!$A$1:$AS$1,0),FALSE)=0,#N/A,VLOOKUP(A130,Database!$A:$AS,MATCH($P$1,Database!$A$1:$AS$1,0),FALSE))</f>
        <v/>
      </c>
      <c r="Q130" s="77">
        <f>(((Table134567891011121314151617343[[#This Row],[JPN]]-VLOOKUP($U$1,A:Q,16,))/VLOOKUP($U$1,A:Q,16,))*100)+100</f>
        <v/>
      </c>
    </row>
    <row r="131" customFormat="1" s="87">
      <c r="A131" s="21" t="n">
        <v>36800</v>
      </c>
      <c r="B131" s="77">
        <f>IF(VLOOKUP(A131,Database!$A:$AS,MATCH($B$1,Database!$A$1:$AS$1,0),FALSE)=0,#N/A,VLOOKUP(A131,Database!$A:$AS,MATCH($B$1,Database!$A$1:$AS$1,0),FALSE))</f>
        <v/>
      </c>
      <c r="C131" s="77">
        <f>IF(VLOOKUP(A131,Database!$A:$AS,MATCH($C$1,Database!$A$1:$AS$1,0),FALSE)=0,#N/A,VLOOKUP(A131,Database!$A:$AS,MATCH($C$1,Database!$A$1:$AS$1,0),FALSE))</f>
        <v/>
      </c>
      <c r="D131" s="77">
        <f>IF(VLOOKUP(A131,Database!$A:$AS,MATCH($D$1,Database!$A$1:$AS$1,0),FALSE)=0,#N/A,VLOOKUP(A131,Database!$A:$AS,MATCH($D$1,Database!$A$1:$AS$1,0),FALSE))</f>
        <v/>
      </c>
      <c r="E131" s="77">
        <f>IF(VLOOKUP(A131,Database!$A:$AS,MATCH($E$1,Database!$A$1:$AS$1,0),FALSE)=0,#N/A,VLOOKUP(A131,Database!$A:$AS,MATCH($E$1,Database!$A$1:$AS$1,0),FALSE))</f>
        <v/>
      </c>
      <c r="F131" s="77">
        <f>IF(VLOOKUP(A131,Database!$A:$AS,MATCH($F$1,Database!$A$1:$AS$1,0),FALSE)=0,#N/A,VLOOKUP(A131,Database!$A:$AS,MATCH($F$1,Database!$A$1:$AS$1,0),FALSE))</f>
        <v/>
      </c>
      <c r="G131" s="77">
        <f>IF(VLOOKUP(A131,Database!$A:$AS,MATCH($G$1,Database!$A$1:$AS$1,0),FALSE)=0,#N/A,VLOOKUP(A131,Database!$A:$AS,MATCH($G$1,Database!$A$1:$AS$1,0),FALSE))</f>
        <v/>
      </c>
      <c r="H131" s="77">
        <f>(((Table134567891011121314151617343[[#This Row],[ITA]]-VLOOKUP($U$1,A:B,2,))/VLOOKUP($U$1,A:B,2,))*100)+100</f>
        <v/>
      </c>
      <c r="I131" s="77">
        <f>(((Table134567891011121314151617343[[#This Row],[FRA]]-VLOOKUP($U$1,A:C,3,))/VLOOKUP($U$1,A:C,3,))*100)+100</f>
        <v/>
      </c>
      <c r="J131" s="77">
        <f>(((Table134567891011121314151617343[[#This Row],[DEU]]-VLOOKUP($U$1,A:D,4,))/VLOOKUP($U$1,A:D,4,))*100)+100</f>
        <v/>
      </c>
      <c r="K131" s="77">
        <f>(((Table134567891011121314151617343[[#This Row],[ESP]]-VLOOKUP($U$1,A:E,5,))/VLOOKUP($U$1,A:E,5,))*100)+100</f>
        <v/>
      </c>
      <c r="L131" s="77">
        <f>(((Table134567891011121314151617343[[#This Row],[EA19]]-VLOOKUP($U$1,A:F,6,))/VLOOKUP($U$1,A:F,6,))*100)+100</f>
        <v/>
      </c>
      <c r="M131" s="77">
        <f>(((Table134567891011121314151617343[[#This Row],[GBR]]-VLOOKUP($U$1,A:G,7,))/VLOOKUP($U$1,A:G,7,))*100)+100</f>
        <v/>
      </c>
      <c r="N131" s="77">
        <f>IF(VLOOKUP(A131,Database!$A:$AU,MATCH($N$1,Database!$A$1:$AU$1,0),FALSE)=0,#N/A,VLOOKUP(A131,Database!$A:$AU,MATCH($N$1,Database!$A$1:$AU$1,0),FALSE))</f>
        <v/>
      </c>
      <c r="O131" s="77">
        <f>(((Table134567891011121314151617343[[#This Row],[USA]]-VLOOKUP($U$1,A:N,14,))/VLOOKUP($U$1,A:N,14,))*100)+100</f>
        <v/>
      </c>
      <c r="P131" s="77">
        <f>IF(VLOOKUP(A131,Database!$A:$AS,MATCH($P$1,Database!$A$1:$AS$1,0),FALSE)=0,#N/A,VLOOKUP(A131,Database!$A:$AS,MATCH($P$1,Database!$A$1:$AS$1,0),FALSE))</f>
        <v/>
      </c>
      <c r="Q131" s="77">
        <f>(((Table134567891011121314151617343[[#This Row],[JPN]]-VLOOKUP($U$1,A:Q,16,))/VLOOKUP($U$1,A:Q,16,))*100)+100</f>
        <v/>
      </c>
    </row>
    <row r="132" customFormat="1" s="87">
      <c r="A132" s="21" t="n">
        <v>36831</v>
      </c>
      <c r="B132" s="77">
        <f>IF(VLOOKUP(A132,Database!$A:$AS,MATCH($B$1,Database!$A$1:$AS$1,0),FALSE)=0,#N/A,VLOOKUP(A132,Database!$A:$AS,MATCH($B$1,Database!$A$1:$AS$1,0),FALSE))</f>
        <v/>
      </c>
      <c r="C132" s="77">
        <f>IF(VLOOKUP(A132,Database!$A:$AS,MATCH($C$1,Database!$A$1:$AS$1,0),FALSE)=0,#N/A,VLOOKUP(A132,Database!$A:$AS,MATCH($C$1,Database!$A$1:$AS$1,0),FALSE))</f>
        <v/>
      </c>
      <c r="D132" s="77">
        <f>IF(VLOOKUP(A132,Database!$A:$AS,MATCH($D$1,Database!$A$1:$AS$1,0),FALSE)=0,#N/A,VLOOKUP(A132,Database!$A:$AS,MATCH($D$1,Database!$A$1:$AS$1,0),FALSE))</f>
        <v/>
      </c>
      <c r="E132" s="77">
        <f>IF(VLOOKUP(A132,Database!$A:$AS,MATCH($E$1,Database!$A$1:$AS$1,0),FALSE)=0,#N/A,VLOOKUP(A132,Database!$A:$AS,MATCH($E$1,Database!$A$1:$AS$1,0),FALSE))</f>
        <v/>
      </c>
      <c r="F132" s="77">
        <f>IF(VLOOKUP(A132,Database!$A:$AS,MATCH($F$1,Database!$A$1:$AS$1,0),FALSE)=0,#N/A,VLOOKUP(A132,Database!$A:$AS,MATCH($F$1,Database!$A$1:$AS$1,0),FALSE))</f>
        <v/>
      </c>
      <c r="G132" s="77">
        <f>IF(VLOOKUP(A132,Database!$A:$AS,MATCH($G$1,Database!$A$1:$AS$1,0),FALSE)=0,#N/A,VLOOKUP(A132,Database!$A:$AS,MATCH($G$1,Database!$A$1:$AS$1,0),FALSE))</f>
        <v/>
      </c>
      <c r="H132" s="77">
        <f>(((Table134567891011121314151617343[[#This Row],[ITA]]-VLOOKUP($U$1,A:B,2,))/VLOOKUP($U$1,A:B,2,))*100)+100</f>
        <v/>
      </c>
      <c r="I132" s="77">
        <f>(((Table134567891011121314151617343[[#This Row],[FRA]]-VLOOKUP($U$1,A:C,3,))/VLOOKUP($U$1,A:C,3,))*100)+100</f>
        <v/>
      </c>
      <c r="J132" s="77">
        <f>(((Table134567891011121314151617343[[#This Row],[DEU]]-VLOOKUP($U$1,A:D,4,))/VLOOKUP($U$1,A:D,4,))*100)+100</f>
        <v/>
      </c>
      <c r="K132" s="77">
        <f>(((Table134567891011121314151617343[[#This Row],[ESP]]-VLOOKUP($U$1,A:E,5,))/VLOOKUP($U$1,A:E,5,))*100)+100</f>
        <v/>
      </c>
      <c r="L132" s="77">
        <f>(((Table134567891011121314151617343[[#This Row],[EA19]]-VLOOKUP($U$1,A:F,6,))/VLOOKUP($U$1,A:F,6,))*100)+100</f>
        <v/>
      </c>
      <c r="M132" s="77">
        <f>(((Table134567891011121314151617343[[#This Row],[GBR]]-VLOOKUP($U$1,A:G,7,))/VLOOKUP($U$1,A:G,7,))*100)+100</f>
        <v/>
      </c>
      <c r="N132" s="77">
        <f>IF(VLOOKUP(A132,Database!$A:$AU,MATCH($N$1,Database!$A$1:$AU$1,0),FALSE)=0,#N/A,VLOOKUP(A132,Database!$A:$AU,MATCH($N$1,Database!$A$1:$AU$1,0),FALSE))</f>
        <v/>
      </c>
      <c r="O132" s="77">
        <f>(((Table134567891011121314151617343[[#This Row],[USA]]-VLOOKUP($U$1,A:N,14,))/VLOOKUP($U$1,A:N,14,))*100)+100</f>
        <v/>
      </c>
      <c r="P132" s="77">
        <f>IF(VLOOKUP(A132,Database!$A:$AS,MATCH($P$1,Database!$A$1:$AS$1,0),FALSE)=0,#N/A,VLOOKUP(A132,Database!$A:$AS,MATCH($P$1,Database!$A$1:$AS$1,0),FALSE))</f>
        <v/>
      </c>
      <c r="Q132" s="77">
        <f>(((Table134567891011121314151617343[[#This Row],[JPN]]-VLOOKUP($U$1,A:Q,16,))/VLOOKUP($U$1,A:Q,16,))*100)+100</f>
        <v/>
      </c>
    </row>
    <row r="133" customFormat="1" s="87">
      <c r="A133" s="21" t="n">
        <v>36861</v>
      </c>
      <c r="B133" s="77">
        <f>IF(VLOOKUP(A133,Database!$A:$AS,MATCH($B$1,Database!$A$1:$AS$1,0),FALSE)=0,#N/A,VLOOKUP(A133,Database!$A:$AS,MATCH($B$1,Database!$A$1:$AS$1,0),FALSE))</f>
        <v/>
      </c>
      <c r="C133" s="77">
        <f>IF(VLOOKUP(A133,Database!$A:$AS,MATCH($C$1,Database!$A$1:$AS$1,0),FALSE)=0,#N/A,VLOOKUP(A133,Database!$A:$AS,MATCH($C$1,Database!$A$1:$AS$1,0),FALSE))</f>
        <v/>
      </c>
      <c r="D133" s="77">
        <f>IF(VLOOKUP(A133,Database!$A:$AS,MATCH($D$1,Database!$A$1:$AS$1,0),FALSE)=0,#N/A,VLOOKUP(A133,Database!$A:$AS,MATCH($D$1,Database!$A$1:$AS$1,0),FALSE))</f>
        <v/>
      </c>
      <c r="E133" s="77">
        <f>IF(VLOOKUP(A133,Database!$A:$AS,MATCH($E$1,Database!$A$1:$AS$1,0),FALSE)=0,#N/A,VLOOKUP(A133,Database!$A:$AS,MATCH($E$1,Database!$A$1:$AS$1,0),FALSE))</f>
        <v/>
      </c>
      <c r="F133" s="77">
        <f>IF(VLOOKUP(A133,Database!$A:$AS,MATCH($F$1,Database!$A$1:$AS$1,0),FALSE)=0,#N/A,VLOOKUP(A133,Database!$A:$AS,MATCH($F$1,Database!$A$1:$AS$1,0),FALSE))</f>
        <v/>
      </c>
      <c r="G133" s="77">
        <f>IF(VLOOKUP(A133,Database!$A:$AS,MATCH($G$1,Database!$A$1:$AS$1,0),FALSE)=0,#N/A,VLOOKUP(A133,Database!$A:$AS,MATCH($G$1,Database!$A$1:$AS$1,0),FALSE))</f>
        <v/>
      </c>
      <c r="H133" s="77">
        <f>(((Table134567891011121314151617343[[#This Row],[ITA]]-VLOOKUP($U$1,A:B,2,))/VLOOKUP($U$1,A:B,2,))*100)+100</f>
        <v/>
      </c>
      <c r="I133" s="77">
        <f>(((Table134567891011121314151617343[[#This Row],[FRA]]-VLOOKUP($U$1,A:C,3,))/VLOOKUP($U$1,A:C,3,))*100)+100</f>
        <v/>
      </c>
      <c r="J133" s="77">
        <f>(((Table134567891011121314151617343[[#This Row],[DEU]]-VLOOKUP($U$1,A:D,4,))/VLOOKUP($U$1,A:D,4,))*100)+100</f>
        <v/>
      </c>
      <c r="K133" s="77">
        <f>(((Table134567891011121314151617343[[#This Row],[ESP]]-VLOOKUP($U$1,A:E,5,))/VLOOKUP($U$1,A:E,5,))*100)+100</f>
        <v/>
      </c>
      <c r="L133" s="77">
        <f>(((Table134567891011121314151617343[[#This Row],[EA19]]-VLOOKUP($U$1,A:F,6,))/VLOOKUP($U$1,A:F,6,))*100)+100</f>
        <v/>
      </c>
      <c r="M133" s="77">
        <f>(((Table134567891011121314151617343[[#This Row],[GBR]]-VLOOKUP($U$1,A:G,7,))/VLOOKUP($U$1,A:G,7,))*100)+100</f>
        <v/>
      </c>
      <c r="N133" s="77">
        <f>IF(VLOOKUP(A133,Database!$A:$AU,MATCH($N$1,Database!$A$1:$AU$1,0),FALSE)=0,#N/A,VLOOKUP(A133,Database!$A:$AU,MATCH($N$1,Database!$A$1:$AU$1,0),FALSE))</f>
        <v/>
      </c>
      <c r="O133" s="77">
        <f>(((Table134567891011121314151617343[[#This Row],[USA]]-VLOOKUP($U$1,A:N,14,))/VLOOKUP($U$1,A:N,14,))*100)+100</f>
        <v/>
      </c>
      <c r="P133" s="77">
        <f>IF(VLOOKUP(A133,Database!$A:$AS,MATCH($P$1,Database!$A$1:$AS$1,0),FALSE)=0,#N/A,VLOOKUP(A133,Database!$A:$AS,MATCH($P$1,Database!$A$1:$AS$1,0),FALSE))</f>
        <v/>
      </c>
      <c r="Q133" s="77">
        <f>(((Table134567891011121314151617343[[#This Row],[JPN]]-VLOOKUP($U$1,A:Q,16,))/VLOOKUP($U$1,A:Q,16,))*100)+100</f>
        <v/>
      </c>
    </row>
    <row r="134" customFormat="1" s="87">
      <c r="A134" s="21" t="n">
        <v>36892</v>
      </c>
      <c r="B134" s="77">
        <f>IF(VLOOKUP(A134,Database!$A:$AS,MATCH($B$1,Database!$A$1:$AS$1,0),FALSE)=0,#N/A,VLOOKUP(A134,Database!$A:$AS,MATCH($B$1,Database!$A$1:$AS$1,0),FALSE))</f>
        <v/>
      </c>
      <c r="C134" s="77">
        <f>IF(VLOOKUP(A134,Database!$A:$AS,MATCH($C$1,Database!$A$1:$AS$1,0),FALSE)=0,#N/A,VLOOKUP(A134,Database!$A:$AS,MATCH($C$1,Database!$A$1:$AS$1,0),FALSE))</f>
        <v/>
      </c>
      <c r="D134" s="77">
        <f>IF(VLOOKUP(A134,Database!$A:$AS,MATCH($D$1,Database!$A$1:$AS$1,0),FALSE)=0,#N/A,VLOOKUP(A134,Database!$A:$AS,MATCH($D$1,Database!$A$1:$AS$1,0),FALSE))</f>
        <v/>
      </c>
      <c r="E134" s="77">
        <f>IF(VLOOKUP(A134,Database!$A:$AS,MATCH($E$1,Database!$A$1:$AS$1,0),FALSE)=0,#N/A,VLOOKUP(A134,Database!$A:$AS,MATCH($E$1,Database!$A$1:$AS$1,0),FALSE))</f>
        <v/>
      </c>
      <c r="F134" s="77">
        <f>IF(VLOOKUP(A134,Database!$A:$AS,MATCH($F$1,Database!$A$1:$AS$1,0),FALSE)=0,#N/A,VLOOKUP(A134,Database!$A:$AS,MATCH($F$1,Database!$A$1:$AS$1,0),FALSE))</f>
        <v/>
      </c>
      <c r="G134" s="77">
        <f>IF(VLOOKUP(A134,Database!$A:$AS,MATCH($G$1,Database!$A$1:$AS$1,0),FALSE)=0,#N/A,VLOOKUP(A134,Database!$A:$AS,MATCH($G$1,Database!$A$1:$AS$1,0),FALSE))</f>
        <v/>
      </c>
      <c r="H134" s="77">
        <f>(((Table134567891011121314151617343[[#This Row],[ITA]]-VLOOKUP($U$1,A:B,2,))/VLOOKUP($U$1,A:B,2,))*100)+100</f>
        <v/>
      </c>
      <c r="I134" s="77">
        <f>(((Table134567891011121314151617343[[#This Row],[FRA]]-VLOOKUP($U$1,A:C,3,))/VLOOKUP($U$1,A:C,3,))*100)+100</f>
        <v/>
      </c>
      <c r="J134" s="77">
        <f>(((Table134567891011121314151617343[[#This Row],[DEU]]-VLOOKUP($U$1,A:D,4,))/VLOOKUP($U$1,A:D,4,))*100)+100</f>
        <v/>
      </c>
      <c r="K134" s="77">
        <f>(((Table134567891011121314151617343[[#This Row],[ESP]]-VLOOKUP($U$1,A:E,5,))/VLOOKUP($U$1,A:E,5,))*100)+100</f>
        <v/>
      </c>
      <c r="L134" s="77">
        <f>(((Table134567891011121314151617343[[#This Row],[EA19]]-VLOOKUP($U$1,A:F,6,))/VLOOKUP($U$1,A:F,6,))*100)+100</f>
        <v/>
      </c>
      <c r="M134" s="77">
        <f>(((Table134567891011121314151617343[[#This Row],[GBR]]-VLOOKUP($U$1,A:G,7,))/VLOOKUP($U$1,A:G,7,))*100)+100</f>
        <v/>
      </c>
      <c r="N134" s="77">
        <f>IF(VLOOKUP(A134,Database!$A:$AU,MATCH($N$1,Database!$A$1:$AU$1,0),FALSE)=0,#N/A,VLOOKUP(A134,Database!$A:$AU,MATCH($N$1,Database!$A$1:$AU$1,0),FALSE))</f>
        <v/>
      </c>
      <c r="O134" s="77">
        <f>(((Table134567891011121314151617343[[#This Row],[USA]]-VLOOKUP($U$1,A:N,14,))/VLOOKUP($U$1,A:N,14,))*100)+100</f>
        <v/>
      </c>
      <c r="P134" s="77">
        <f>IF(VLOOKUP(A134,Database!$A:$AS,MATCH($P$1,Database!$A$1:$AS$1,0),FALSE)=0,#N/A,VLOOKUP(A134,Database!$A:$AS,MATCH($P$1,Database!$A$1:$AS$1,0),FALSE))</f>
        <v/>
      </c>
      <c r="Q134" s="77">
        <f>(((Table134567891011121314151617343[[#This Row],[JPN]]-VLOOKUP($U$1,A:Q,16,))/VLOOKUP($U$1,A:Q,16,))*100)+100</f>
        <v/>
      </c>
    </row>
    <row r="135" customFormat="1" s="87">
      <c r="A135" s="21" t="n">
        <v>36923</v>
      </c>
      <c r="B135" s="77">
        <f>IF(VLOOKUP(A135,Database!$A:$AS,MATCH($B$1,Database!$A$1:$AS$1,0),FALSE)=0,#N/A,VLOOKUP(A135,Database!$A:$AS,MATCH($B$1,Database!$A$1:$AS$1,0),FALSE))</f>
        <v/>
      </c>
      <c r="C135" s="77">
        <f>IF(VLOOKUP(A135,Database!$A:$AS,MATCH($C$1,Database!$A$1:$AS$1,0),FALSE)=0,#N/A,VLOOKUP(A135,Database!$A:$AS,MATCH($C$1,Database!$A$1:$AS$1,0),FALSE))</f>
        <v/>
      </c>
      <c r="D135" s="77">
        <f>IF(VLOOKUP(A135,Database!$A:$AS,MATCH($D$1,Database!$A$1:$AS$1,0),FALSE)=0,#N/A,VLOOKUP(A135,Database!$A:$AS,MATCH($D$1,Database!$A$1:$AS$1,0),FALSE))</f>
        <v/>
      </c>
      <c r="E135" s="77">
        <f>IF(VLOOKUP(A135,Database!$A:$AS,MATCH($E$1,Database!$A$1:$AS$1,0),FALSE)=0,#N/A,VLOOKUP(A135,Database!$A:$AS,MATCH($E$1,Database!$A$1:$AS$1,0),FALSE))</f>
        <v/>
      </c>
      <c r="F135" s="77">
        <f>IF(VLOOKUP(A135,Database!$A:$AS,MATCH($F$1,Database!$A$1:$AS$1,0),FALSE)=0,#N/A,VLOOKUP(A135,Database!$A:$AS,MATCH($F$1,Database!$A$1:$AS$1,0),FALSE))</f>
        <v/>
      </c>
      <c r="G135" s="77">
        <f>IF(VLOOKUP(A135,Database!$A:$AS,MATCH($G$1,Database!$A$1:$AS$1,0),FALSE)=0,#N/A,VLOOKUP(A135,Database!$A:$AS,MATCH($G$1,Database!$A$1:$AS$1,0),FALSE))</f>
        <v/>
      </c>
      <c r="H135" s="77">
        <f>(((Table134567891011121314151617343[[#This Row],[ITA]]-VLOOKUP($U$1,A:B,2,))/VLOOKUP($U$1,A:B,2,))*100)+100</f>
        <v/>
      </c>
      <c r="I135" s="77">
        <f>(((Table134567891011121314151617343[[#This Row],[FRA]]-VLOOKUP($U$1,A:C,3,))/VLOOKUP($U$1,A:C,3,))*100)+100</f>
        <v/>
      </c>
      <c r="J135" s="77">
        <f>(((Table134567891011121314151617343[[#This Row],[DEU]]-VLOOKUP($U$1,A:D,4,))/VLOOKUP($U$1,A:D,4,))*100)+100</f>
        <v/>
      </c>
      <c r="K135" s="77">
        <f>(((Table134567891011121314151617343[[#This Row],[ESP]]-VLOOKUP($U$1,A:E,5,))/VLOOKUP($U$1,A:E,5,))*100)+100</f>
        <v/>
      </c>
      <c r="L135" s="77">
        <f>(((Table134567891011121314151617343[[#This Row],[EA19]]-VLOOKUP($U$1,A:F,6,))/VLOOKUP($U$1,A:F,6,))*100)+100</f>
        <v/>
      </c>
      <c r="M135" s="77">
        <f>(((Table134567891011121314151617343[[#This Row],[GBR]]-VLOOKUP($U$1,A:G,7,))/VLOOKUP($U$1,A:G,7,))*100)+100</f>
        <v/>
      </c>
      <c r="N135" s="77">
        <f>IF(VLOOKUP(A135,Database!$A:$AU,MATCH($N$1,Database!$A$1:$AU$1,0),FALSE)=0,#N/A,VLOOKUP(A135,Database!$A:$AU,MATCH($N$1,Database!$A$1:$AU$1,0),FALSE))</f>
        <v/>
      </c>
      <c r="O135" s="77">
        <f>(((Table134567891011121314151617343[[#This Row],[USA]]-VLOOKUP($U$1,A:N,14,))/VLOOKUP($U$1,A:N,14,))*100)+100</f>
        <v/>
      </c>
      <c r="P135" s="77">
        <f>IF(VLOOKUP(A135,Database!$A:$AS,MATCH($P$1,Database!$A$1:$AS$1,0),FALSE)=0,#N/A,VLOOKUP(A135,Database!$A:$AS,MATCH($P$1,Database!$A$1:$AS$1,0),FALSE))</f>
        <v/>
      </c>
      <c r="Q135" s="77">
        <f>(((Table134567891011121314151617343[[#This Row],[JPN]]-VLOOKUP($U$1,A:Q,16,))/VLOOKUP($U$1,A:Q,16,))*100)+100</f>
        <v/>
      </c>
    </row>
    <row r="136" customFormat="1" s="87">
      <c r="A136" s="21" t="n">
        <v>36951</v>
      </c>
      <c r="B136" s="77">
        <f>IF(VLOOKUP(A136,Database!$A:$AS,MATCH($B$1,Database!$A$1:$AS$1,0),FALSE)=0,#N/A,VLOOKUP(A136,Database!$A:$AS,MATCH($B$1,Database!$A$1:$AS$1,0),FALSE))</f>
        <v/>
      </c>
      <c r="C136" s="77">
        <f>IF(VLOOKUP(A136,Database!$A:$AS,MATCH($C$1,Database!$A$1:$AS$1,0),FALSE)=0,#N/A,VLOOKUP(A136,Database!$A:$AS,MATCH($C$1,Database!$A$1:$AS$1,0),FALSE))</f>
        <v/>
      </c>
      <c r="D136" s="77">
        <f>IF(VLOOKUP(A136,Database!$A:$AS,MATCH($D$1,Database!$A$1:$AS$1,0),FALSE)=0,#N/A,VLOOKUP(A136,Database!$A:$AS,MATCH($D$1,Database!$A$1:$AS$1,0),FALSE))</f>
        <v/>
      </c>
      <c r="E136" s="77">
        <f>IF(VLOOKUP(A136,Database!$A:$AS,MATCH($E$1,Database!$A$1:$AS$1,0),FALSE)=0,#N/A,VLOOKUP(A136,Database!$A:$AS,MATCH($E$1,Database!$A$1:$AS$1,0),FALSE))</f>
        <v/>
      </c>
      <c r="F136" s="77">
        <f>IF(VLOOKUP(A136,Database!$A:$AS,MATCH($F$1,Database!$A$1:$AS$1,0),FALSE)=0,#N/A,VLOOKUP(A136,Database!$A:$AS,MATCH($F$1,Database!$A$1:$AS$1,0),FALSE))</f>
        <v/>
      </c>
      <c r="G136" s="77">
        <f>IF(VLOOKUP(A136,Database!$A:$AS,MATCH($G$1,Database!$A$1:$AS$1,0),FALSE)=0,#N/A,VLOOKUP(A136,Database!$A:$AS,MATCH($G$1,Database!$A$1:$AS$1,0),FALSE))</f>
        <v/>
      </c>
      <c r="H136" s="77">
        <f>(((Table134567891011121314151617343[[#This Row],[ITA]]-VLOOKUP($U$1,A:B,2,))/VLOOKUP($U$1,A:B,2,))*100)+100</f>
        <v/>
      </c>
      <c r="I136" s="77">
        <f>(((Table134567891011121314151617343[[#This Row],[FRA]]-VLOOKUP($U$1,A:C,3,))/VLOOKUP($U$1,A:C,3,))*100)+100</f>
        <v/>
      </c>
      <c r="J136" s="77">
        <f>(((Table134567891011121314151617343[[#This Row],[DEU]]-VLOOKUP($U$1,A:D,4,))/VLOOKUP($U$1,A:D,4,))*100)+100</f>
        <v/>
      </c>
      <c r="K136" s="77">
        <f>(((Table134567891011121314151617343[[#This Row],[ESP]]-VLOOKUP($U$1,A:E,5,))/VLOOKUP($U$1,A:E,5,))*100)+100</f>
        <v/>
      </c>
      <c r="L136" s="77">
        <f>(((Table134567891011121314151617343[[#This Row],[EA19]]-VLOOKUP($U$1,A:F,6,))/VLOOKUP($U$1,A:F,6,))*100)+100</f>
        <v/>
      </c>
      <c r="M136" s="77">
        <f>(((Table134567891011121314151617343[[#This Row],[GBR]]-VLOOKUP($U$1,A:G,7,))/VLOOKUP($U$1,A:G,7,))*100)+100</f>
        <v/>
      </c>
      <c r="N136" s="77">
        <f>IF(VLOOKUP(A136,Database!$A:$AU,MATCH($N$1,Database!$A$1:$AU$1,0),FALSE)=0,#N/A,VLOOKUP(A136,Database!$A:$AU,MATCH($N$1,Database!$A$1:$AU$1,0),FALSE))</f>
        <v/>
      </c>
      <c r="O136" s="77">
        <f>(((Table134567891011121314151617343[[#This Row],[USA]]-VLOOKUP($U$1,A:N,14,))/VLOOKUP($U$1,A:N,14,))*100)+100</f>
        <v/>
      </c>
      <c r="P136" s="77">
        <f>IF(VLOOKUP(A136,Database!$A:$AS,MATCH($P$1,Database!$A$1:$AS$1,0),FALSE)=0,#N/A,VLOOKUP(A136,Database!$A:$AS,MATCH($P$1,Database!$A$1:$AS$1,0),FALSE))</f>
        <v/>
      </c>
      <c r="Q136" s="77">
        <f>(((Table134567891011121314151617343[[#This Row],[JPN]]-VLOOKUP($U$1,A:Q,16,))/VLOOKUP($U$1,A:Q,16,))*100)+100</f>
        <v/>
      </c>
    </row>
    <row r="137" customFormat="1" s="87">
      <c r="A137" s="21" t="n">
        <v>36982</v>
      </c>
      <c r="B137" s="77">
        <f>IF(VLOOKUP(A137,Database!$A:$AS,MATCH($B$1,Database!$A$1:$AS$1,0),FALSE)=0,#N/A,VLOOKUP(A137,Database!$A:$AS,MATCH($B$1,Database!$A$1:$AS$1,0),FALSE))</f>
        <v/>
      </c>
      <c r="C137" s="77">
        <f>IF(VLOOKUP(A137,Database!$A:$AS,MATCH($C$1,Database!$A$1:$AS$1,0),FALSE)=0,#N/A,VLOOKUP(A137,Database!$A:$AS,MATCH($C$1,Database!$A$1:$AS$1,0),FALSE))</f>
        <v/>
      </c>
      <c r="D137" s="77">
        <f>IF(VLOOKUP(A137,Database!$A:$AS,MATCH($D$1,Database!$A$1:$AS$1,0),FALSE)=0,#N/A,VLOOKUP(A137,Database!$A:$AS,MATCH($D$1,Database!$A$1:$AS$1,0),FALSE))</f>
        <v/>
      </c>
      <c r="E137" s="77">
        <f>IF(VLOOKUP(A137,Database!$A:$AS,MATCH($E$1,Database!$A$1:$AS$1,0),FALSE)=0,#N/A,VLOOKUP(A137,Database!$A:$AS,MATCH($E$1,Database!$A$1:$AS$1,0),FALSE))</f>
        <v/>
      </c>
      <c r="F137" s="77">
        <f>IF(VLOOKUP(A137,Database!$A:$AS,MATCH($F$1,Database!$A$1:$AS$1,0),FALSE)=0,#N/A,VLOOKUP(A137,Database!$A:$AS,MATCH($F$1,Database!$A$1:$AS$1,0),FALSE))</f>
        <v/>
      </c>
      <c r="G137" s="77">
        <f>IF(VLOOKUP(A137,Database!$A:$AS,MATCH($G$1,Database!$A$1:$AS$1,0),FALSE)=0,#N/A,VLOOKUP(A137,Database!$A:$AS,MATCH($G$1,Database!$A$1:$AS$1,0),FALSE))</f>
        <v/>
      </c>
      <c r="H137" s="77">
        <f>(((Table134567891011121314151617343[[#This Row],[ITA]]-VLOOKUP($U$1,A:B,2,))/VLOOKUP($U$1,A:B,2,))*100)+100</f>
        <v/>
      </c>
      <c r="I137" s="77">
        <f>(((Table134567891011121314151617343[[#This Row],[FRA]]-VLOOKUP($U$1,A:C,3,))/VLOOKUP($U$1,A:C,3,))*100)+100</f>
        <v/>
      </c>
      <c r="J137" s="77">
        <f>(((Table134567891011121314151617343[[#This Row],[DEU]]-VLOOKUP($U$1,A:D,4,))/VLOOKUP($U$1,A:D,4,))*100)+100</f>
        <v/>
      </c>
      <c r="K137" s="77">
        <f>(((Table134567891011121314151617343[[#This Row],[ESP]]-VLOOKUP($U$1,A:E,5,))/VLOOKUP($U$1,A:E,5,))*100)+100</f>
        <v/>
      </c>
      <c r="L137" s="77">
        <f>(((Table134567891011121314151617343[[#This Row],[EA19]]-VLOOKUP($U$1,A:F,6,))/VLOOKUP($U$1,A:F,6,))*100)+100</f>
        <v/>
      </c>
      <c r="M137" s="77">
        <f>(((Table134567891011121314151617343[[#This Row],[GBR]]-VLOOKUP($U$1,A:G,7,))/VLOOKUP($U$1,A:G,7,))*100)+100</f>
        <v/>
      </c>
      <c r="N137" s="77">
        <f>IF(VLOOKUP(A137,Database!$A:$AU,MATCH($N$1,Database!$A$1:$AU$1,0),FALSE)=0,#N/A,VLOOKUP(A137,Database!$A:$AU,MATCH($N$1,Database!$A$1:$AU$1,0),FALSE))</f>
        <v/>
      </c>
      <c r="O137" s="77">
        <f>(((Table134567891011121314151617343[[#This Row],[USA]]-VLOOKUP($U$1,A:N,14,))/VLOOKUP($U$1,A:N,14,))*100)+100</f>
        <v/>
      </c>
      <c r="P137" s="77">
        <f>IF(VLOOKUP(A137,Database!$A:$AS,MATCH($P$1,Database!$A$1:$AS$1,0),FALSE)=0,#N/A,VLOOKUP(A137,Database!$A:$AS,MATCH($P$1,Database!$A$1:$AS$1,0),FALSE))</f>
        <v/>
      </c>
      <c r="Q137" s="77">
        <f>(((Table134567891011121314151617343[[#This Row],[JPN]]-VLOOKUP($U$1,A:Q,16,))/VLOOKUP($U$1,A:Q,16,))*100)+100</f>
        <v/>
      </c>
    </row>
    <row r="138" customFormat="1" s="87">
      <c r="A138" s="21" t="n">
        <v>37012</v>
      </c>
      <c r="B138" s="77">
        <f>IF(VLOOKUP(A138,Database!$A:$AS,MATCH($B$1,Database!$A$1:$AS$1,0),FALSE)=0,#N/A,VLOOKUP(A138,Database!$A:$AS,MATCH($B$1,Database!$A$1:$AS$1,0),FALSE))</f>
        <v/>
      </c>
      <c r="C138" s="77">
        <f>IF(VLOOKUP(A138,Database!$A:$AS,MATCH($C$1,Database!$A$1:$AS$1,0),FALSE)=0,#N/A,VLOOKUP(A138,Database!$A:$AS,MATCH($C$1,Database!$A$1:$AS$1,0),FALSE))</f>
        <v/>
      </c>
      <c r="D138" s="77">
        <f>IF(VLOOKUP(A138,Database!$A:$AS,MATCH($D$1,Database!$A$1:$AS$1,0),FALSE)=0,#N/A,VLOOKUP(A138,Database!$A:$AS,MATCH($D$1,Database!$A$1:$AS$1,0),FALSE))</f>
        <v/>
      </c>
      <c r="E138" s="77">
        <f>IF(VLOOKUP(A138,Database!$A:$AS,MATCH($E$1,Database!$A$1:$AS$1,0),FALSE)=0,#N/A,VLOOKUP(A138,Database!$A:$AS,MATCH($E$1,Database!$A$1:$AS$1,0),FALSE))</f>
        <v/>
      </c>
      <c r="F138" s="77">
        <f>IF(VLOOKUP(A138,Database!$A:$AS,MATCH($F$1,Database!$A$1:$AS$1,0),FALSE)=0,#N/A,VLOOKUP(A138,Database!$A:$AS,MATCH($F$1,Database!$A$1:$AS$1,0),FALSE))</f>
        <v/>
      </c>
      <c r="G138" s="77">
        <f>IF(VLOOKUP(A138,Database!$A:$AS,MATCH($G$1,Database!$A$1:$AS$1,0),FALSE)=0,#N/A,VLOOKUP(A138,Database!$A:$AS,MATCH($G$1,Database!$A$1:$AS$1,0),FALSE))</f>
        <v/>
      </c>
      <c r="H138" s="77">
        <f>(((Table134567891011121314151617343[[#This Row],[ITA]]-VLOOKUP($U$1,A:B,2,))/VLOOKUP($U$1,A:B,2,))*100)+100</f>
        <v/>
      </c>
      <c r="I138" s="77">
        <f>(((Table134567891011121314151617343[[#This Row],[FRA]]-VLOOKUP($U$1,A:C,3,))/VLOOKUP($U$1,A:C,3,))*100)+100</f>
        <v/>
      </c>
      <c r="J138" s="77">
        <f>(((Table134567891011121314151617343[[#This Row],[DEU]]-VLOOKUP($U$1,A:D,4,))/VLOOKUP($U$1,A:D,4,))*100)+100</f>
        <v/>
      </c>
      <c r="K138" s="77">
        <f>(((Table134567891011121314151617343[[#This Row],[ESP]]-VLOOKUP($U$1,A:E,5,))/VLOOKUP($U$1,A:E,5,))*100)+100</f>
        <v/>
      </c>
      <c r="L138" s="77">
        <f>(((Table134567891011121314151617343[[#This Row],[EA19]]-VLOOKUP($U$1,A:F,6,))/VLOOKUP($U$1,A:F,6,))*100)+100</f>
        <v/>
      </c>
      <c r="M138" s="77">
        <f>(((Table134567891011121314151617343[[#This Row],[GBR]]-VLOOKUP($U$1,A:G,7,))/VLOOKUP($U$1,A:G,7,))*100)+100</f>
        <v/>
      </c>
      <c r="N138" s="77">
        <f>IF(VLOOKUP(A138,Database!$A:$AU,MATCH($N$1,Database!$A$1:$AU$1,0),FALSE)=0,#N/A,VLOOKUP(A138,Database!$A:$AU,MATCH($N$1,Database!$A$1:$AU$1,0),FALSE))</f>
        <v/>
      </c>
      <c r="O138" s="77">
        <f>(((Table134567891011121314151617343[[#This Row],[USA]]-VLOOKUP($U$1,A:N,14,))/VLOOKUP($U$1,A:N,14,))*100)+100</f>
        <v/>
      </c>
      <c r="P138" s="77">
        <f>IF(VLOOKUP(A138,Database!$A:$AS,MATCH($P$1,Database!$A$1:$AS$1,0),FALSE)=0,#N/A,VLOOKUP(A138,Database!$A:$AS,MATCH($P$1,Database!$A$1:$AS$1,0),FALSE))</f>
        <v/>
      </c>
      <c r="Q138" s="77">
        <f>(((Table134567891011121314151617343[[#This Row],[JPN]]-VLOOKUP($U$1,A:Q,16,))/VLOOKUP($U$1,A:Q,16,))*100)+100</f>
        <v/>
      </c>
    </row>
    <row r="139" customFormat="1" s="87">
      <c r="A139" s="21" t="n">
        <v>37043</v>
      </c>
      <c r="B139" s="77">
        <f>IF(VLOOKUP(A139,Database!$A:$AS,MATCH($B$1,Database!$A$1:$AS$1,0),FALSE)=0,#N/A,VLOOKUP(A139,Database!$A:$AS,MATCH($B$1,Database!$A$1:$AS$1,0),FALSE))</f>
        <v/>
      </c>
      <c r="C139" s="77">
        <f>IF(VLOOKUP(A139,Database!$A:$AS,MATCH($C$1,Database!$A$1:$AS$1,0),FALSE)=0,#N/A,VLOOKUP(A139,Database!$A:$AS,MATCH($C$1,Database!$A$1:$AS$1,0),FALSE))</f>
        <v/>
      </c>
      <c r="D139" s="77">
        <f>IF(VLOOKUP(A139,Database!$A:$AS,MATCH($D$1,Database!$A$1:$AS$1,0),FALSE)=0,#N/A,VLOOKUP(A139,Database!$A:$AS,MATCH($D$1,Database!$A$1:$AS$1,0),FALSE))</f>
        <v/>
      </c>
      <c r="E139" s="77">
        <f>IF(VLOOKUP(A139,Database!$A:$AS,MATCH($E$1,Database!$A$1:$AS$1,0),FALSE)=0,#N/A,VLOOKUP(A139,Database!$A:$AS,MATCH($E$1,Database!$A$1:$AS$1,0),FALSE))</f>
        <v/>
      </c>
      <c r="F139" s="77">
        <f>IF(VLOOKUP(A139,Database!$A:$AS,MATCH($F$1,Database!$A$1:$AS$1,0),FALSE)=0,#N/A,VLOOKUP(A139,Database!$A:$AS,MATCH($F$1,Database!$A$1:$AS$1,0),FALSE))</f>
        <v/>
      </c>
      <c r="G139" s="77">
        <f>IF(VLOOKUP(A139,Database!$A:$AS,MATCH($G$1,Database!$A$1:$AS$1,0),FALSE)=0,#N/A,VLOOKUP(A139,Database!$A:$AS,MATCH($G$1,Database!$A$1:$AS$1,0),FALSE))</f>
        <v/>
      </c>
      <c r="H139" s="77">
        <f>(((Table134567891011121314151617343[[#This Row],[ITA]]-VLOOKUP($U$1,A:B,2,))/VLOOKUP($U$1,A:B,2,))*100)+100</f>
        <v/>
      </c>
      <c r="I139" s="77">
        <f>(((Table134567891011121314151617343[[#This Row],[FRA]]-VLOOKUP($U$1,A:C,3,))/VLOOKUP($U$1,A:C,3,))*100)+100</f>
        <v/>
      </c>
      <c r="J139" s="77">
        <f>(((Table134567891011121314151617343[[#This Row],[DEU]]-VLOOKUP($U$1,A:D,4,))/VLOOKUP($U$1,A:D,4,))*100)+100</f>
        <v/>
      </c>
      <c r="K139" s="77">
        <f>(((Table134567891011121314151617343[[#This Row],[ESP]]-VLOOKUP($U$1,A:E,5,))/VLOOKUP($U$1,A:E,5,))*100)+100</f>
        <v/>
      </c>
      <c r="L139" s="77">
        <f>(((Table134567891011121314151617343[[#This Row],[EA19]]-VLOOKUP($U$1,A:F,6,))/VLOOKUP($U$1,A:F,6,))*100)+100</f>
        <v/>
      </c>
      <c r="M139" s="77">
        <f>(((Table134567891011121314151617343[[#This Row],[GBR]]-VLOOKUP($U$1,A:G,7,))/VLOOKUP($U$1,A:G,7,))*100)+100</f>
        <v/>
      </c>
      <c r="N139" s="77">
        <f>IF(VLOOKUP(A139,Database!$A:$AU,MATCH($N$1,Database!$A$1:$AU$1,0),FALSE)=0,#N/A,VLOOKUP(A139,Database!$A:$AU,MATCH($N$1,Database!$A$1:$AU$1,0),FALSE))</f>
        <v/>
      </c>
      <c r="O139" s="77">
        <f>(((Table134567891011121314151617343[[#This Row],[USA]]-VLOOKUP($U$1,A:N,14,))/VLOOKUP($U$1,A:N,14,))*100)+100</f>
        <v/>
      </c>
      <c r="P139" s="77">
        <f>IF(VLOOKUP(A139,Database!$A:$AS,MATCH($P$1,Database!$A$1:$AS$1,0),FALSE)=0,#N/A,VLOOKUP(A139,Database!$A:$AS,MATCH($P$1,Database!$A$1:$AS$1,0),FALSE))</f>
        <v/>
      </c>
      <c r="Q139" s="77">
        <f>(((Table134567891011121314151617343[[#This Row],[JPN]]-VLOOKUP($U$1,A:Q,16,))/VLOOKUP($U$1,A:Q,16,))*100)+100</f>
        <v/>
      </c>
    </row>
    <row r="140" customFormat="1" s="87">
      <c r="A140" s="21" t="n">
        <v>37073</v>
      </c>
      <c r="B140" s="77">
        <f>IF(VLOOKUP(A140,Database!$A:$AS,MATCH($B$1,Database!$A$1:$AS$1,0),FALSE)=0,#N/A,VLOOKUP(A140,Database!$A:$AS,MATCH($B$1,Database!$A$1:$AS$1,0),FALSE))</f>
        <v/>
      </c>
      <c r="C140" s="77">
        <f>IF(VLOOKUP(A140,Database!$A:$AS,MATCH($C$1,Database!$A$1:$AS$1,0),FALSE)=0,#N/A,VLOOKUP(A140,Database!$A:$AS,MATCH($C$1,Database!$A$1:$AS$1,0),FALSE))</f>
        <v/>
      </c>
      <c r="D140" s="77">
        <f>IF(VLOOKUP(A140,Database!$A:$AS,MATCH($D$1,Database!$A$1:$AS$1,0),FALSE)=0,#N/A,VLOOKUP(A140,Database!$A:$AS,MATCH($D$1,Database!$A$1:$AS$1,0),FALSE))</f>
        <v/>
      </c>
      <c r="E140" s="77">
        <f>IF(VLOOKUP(A140,Database!$A:$AS,MATCH($E$1,Database!$A$1:$AS$1,0),FALSE)=0,#N/A,VLOOKUP(A140,Database!$A:$AS,MATCH($E$1,Database!$A$1:$AS$1,0),FALSE))</f>
        <v/>
      </c>
      <c r="F140" s="77">
        <f>IF(VLOOKUP(A140,Database!$A:$AS,MATCH($F$1,Database!$A$1:$AS$1,0),FALSE)=0,#N/A,VLOOKUP(A140,Database!$A:$AS,MATCH($F$1,Database!$A$1:$AS$1,0),FALSE))</f>
        <v/>
      </c>
      <c r="G140" s="77">
        <f>IF(VLOOKUP(A140,Database!$A:$AS,MATCH($G$1,Database!$A$1:$AS$1,0),FALSE)=0,#N/A,VLOOKUP(A140,Database!$A:$AS,MATCH($G$1,Database!$A$1:$AS$1,0),FALSE))</f>
        <v/>
      </c>
      <c r="H140" s="77">
        <f>(((Table134567891011121314151617343[[#This Row],[ITA]]-VLOOKUP($U$1,A:B,2,))/VLOOKUP($U$1,A:B,2,))*100)+100</f>
        <v/>
      </c>
      <c r="I140" s="77">
        <f>(((Table134567891011121314151617343[[#This Row],[FRA]]-VLOOKUP($U$1,A:C,3,))/VLOOKUP($U$1,A:C,3,))*100)+100</f>
        <v/>
      </c>
      <c r="J140" s="77">
        <f>(((Table134567891011121314151617343[[#This Row],[DEU]]-VLOOKUP($U$1,A:D,4,))/VLOOKUP($U$1,A:D,4,))*100)+100</f>
        <v/>
      </c>
      <c r="K140" s="77">
        <f>(((Table134567891011121314151617343[[#This Row],[ESP]]-VLOOKUP($U$1,A:E,5,))/VLOOKUP($U$1,A:E,5,))*100)+100</f>
        <v/>
      </c>
      <c r="L140" s="77">
        <f>(((Table134567891011121314151617343[[#This Row],[EA19]]-VLOOKUP($U$1,A:F,6,))/VLOOKUP($U$1,A:F,6,))*100)+100</f>
        <v/>
      </c>
      <c r="M140" s="77">
        <f>(((Table134567891011121314151617343[[#This Row],[GBR]]-VLOOKUP($U$1,A:G,7,))/VLOOKUP($U$1,A:G,7,))*100)+100</f>
        <v/>
      </c>
      <c r="N140" s="77">
        <f>IF(VLOOKUP(A140,Database!$A:$AU,MATCH($N$1,Database!$A$1:$AU$1,0),FALSE)=0,#N/A,VLOOKUP(A140,Database!$A:$AU,MATCH($N$1,Database!$A$1:$AU$1,0),FALSE))</f>
        <v/>
      </c>
      <c r="O140" s="77">
        <f>(((Table134567891011121314151617343[[#This Row],[USA]]-VLOOKUP($U$1,A:N,14,))/VLOOKUP($U$1,A:N,14,))*100)+100</f>
        <v/>
      </c>
      <c r="P140" s="77">
        <f>IF(VLOOKUP(A140,Database!$A:$AS,MATCH($P$1,Database!$A$1:$AS$1,0),FALSE)=0,#N/A,VLOOKUP(A140,Database!$A:$AS,MATCH($P$1,Database!$A$1:$AS$1,0),FALSE))</f>
        <v/>
      </c>
      <c r="Q140" s="77">
        <f>(((Table134567891011121314151617343[[#This Row],[JPN]]-VLOOKUP($U$1,A:Q,16,))/VLOOKUP($U$1,A:Q,16,))*100)+100</f>
        <v/>
      </c>
    </row>
    <row r="141" customFormat="1" s="87">
      <c r="A141" s="21" t="n">
        <v>37104</v>
      </c>
      <c r="B141" s="77">
        <f>IF(VLOOKUP(A141,Database!$A:$AS,MATCH($B$1,Database!$A$1:$AS$1,0),FALSE)=0,#N/A,VLOOKUP(A141,Database!$A:$AS,MATCH($B$1,Database!$A$1:$AS$1,0),FALSE))</f>
        <v/>
      </c>
      <c r="C141" s="77">
        <f>IF(VLOOKUP(A141,Database!$A:$AS,MATCH($C$1,Database!$A$1:$AS$1,0),FALSE)=0,#N/A,VLOOKUP(A141,Database!$A:$AS,MATCH($C$1,Database!$A$1:$AS$1,0),FALSE))</f>
        <v/>
      </c>
      <c r="D141" s="77">
        <f>IF(VLOOKUP(A141,Database!$A:$AS,MATCH($D$1,Database!$A$1:$AS$1,0),FALSE)=0,#N/A,VLOOKUP(A141,Database!$A:$AS,MATCH($D$1,Database!$A$1:$AS$1,0),FALSE))</f>
        <v/>
      </c>
      <c r="E141" s="77">
        <f>IF(VLOOKUP(A141,Database!$A:$AS,MATCH($E$1,Database!$A$1:$AS$1,0),FALSE)=0,#N/A,VLOOKUP(A141,Database!$A:$AS,MATCH($E$1,Database!$A$1:$AS$1,0),FALSE))</f>
        <v/>
      </c>
      <c r="F141" s="77">
        <f>IF(VLOOKUP(A141,Database!$A:$AS,MATCH($F$1,Database!$A$1:$AS$1,0),FALSE)=0,#N/A,VLOOKUP(A141,Database!$A:$AS,MATCH($F$1,Database!$A$1:$AS$1,0),FALSE))</f>
        <v/>
      </c>
      <c r="G141" s="77">
        <f>IF(VLOOKUP(A141,Database!$A:$AS,MATCH($G$1,Database!$A$1:$AS$1,0),FALSE)=0,#N/A,VLOOKUP(A141,Database!$A:$AS,MATCH($G$1,Database!$A$1:$AS$1,0),FALSE))</f>
        <v/>
      </c>
      <c r="H141" s="77">
        <f>(((Table134567891011121314151617343[[#This Row],[ITA]]-VLOOKUP($U$1,A:B,2,))/VLOOKUP($U$1,A:B,2,))*100)+100</f>
        <v/>
      </c>
      <c r="I141" s="77">
        <f>(((Table134567891011121314151617343[[#This Row],[FRA]]-VLOOKUP($U$1,A:C,3,))/VLOOKUP($U$1,A:C,3,))*100)+100</f>
        <v/>
      </c>
      <c r="J141" s="77">
        <f>(((Table134567891011121314151617343[[#This Row],[DEU]]-VLOOKUP($U$1,A:D,4,))/VLOOKUP($U$1,A:D,4,))*100)+100</f>
        <v/>
      </c>
      <c r="K141" s="77">
        <f>(((Table134567891011121314151617343[[#This Row],[ESP]]-VLOOKUP($U$1,A:E,5,))/VLOOKUP($U$1,A:E,5,))*100)+100</f>
        <v/>
      </c>
      <c r="L141" s="77">
        <f>(((Table134567891011121314151617343[[#This Row],[EA19]]-VLOOKUP($U$1,A:F,6,))/VLOOKUP($U$1,A:F,6,))*100)+100</f>
        <v/>
      </c>
      <c r="M141" s="77">
        <f>(((Table134567891011121314151617343[[#This Row],[GBR]]-VLOOKUP($U$1,A:G,7,))/VLOOKUP($U$1,A:G,7,))*100)+100</f>
        <v/>
      </c>
      <c r="N141" s="77">
        <f>IF(VLOOKUP(A141,Database!$A:$AU,MATCH($N$1,Database!$A$1:$AU$1,0),FALSE)=0,#N/A,VLOOKUP(A141,Database!$A:$AU,MATCH($N$1,Database!$A$1:$AU$1,0),FALSE))</f>
        <v/>
      </c>
      <c r="O141" s="77">
        <f>(((Table134567891011121314151617343[[#This Row],[USA]]-VLOOKUP($U$1,A:N,14,))/VLOOKUP($U$1,A:N,14,))*100)+100</f>
        <v/>
      </c>
      <c r="P141" s="77">
        <f>IF(VLOOKUP(A141,Database!$A:$AS,MATCH($P$1,Database!$A$1:$AS$1,0),FALSE)=0,#N/A,VLOOKUP(A141,Database!$A:$AS,MATCH($P$1,Database!$A$1:$AS$1,0),FALSE))</f>
        <v/>
      </c>
      <c r="Q141" s="77">
        <f>(((Table134567891011121314151617343[[#This Row],[JPN]]-VLOOKUP($U$1,A:Q,16,))/VLOOKUP($U$1,A:Q,16,))*100)+100</f>
        <v/>
      </c>
    </row>
    <row r="142" customFormat="1" s="87">
      <c r="A142" s="21" t="n">
        <v>37135</v>
      </c>
      <c r="B142" s="77">
        <f>IF(VLOOKUP(A142,Database!$A:$AS,MATCH($B$1,Database!$A$1:$AS$1,0),FALSE)=0,#N/A,VLOOKUP(A142,Database!$A:$AS,MATCH($B$1,Database!$A$1:$AS$1,0),FALSE))</f>
        <v/>
      </c>
      <c r="C142" s="77">
        <f>IF(VLOOKUP(A142,Database!$A:$AS,MATCH($C$1,Database!$A$1:$AS$1,0),FALSE)=0,#N/A,VLOOKUP(A142,Database!$A:$AS,MATCH($C$1,Database!$A$1:$AS$1,0),FALSE))</f>
        <v/>
      </c>
      <c r="D142" s="77">
        <f>IF(VLOOKUP(A142,Database!$A:$AS,MATCH($D$1,Database!$A$1:$AS$1,0),FALSE)=0,#N/A,VLOOKUP(A142,Database!$A:$AS,MATCH($D$1,Database!$A$1:$AS$1,0),FALSE))</f>
        <v/>
      </c>
      <c r="E142" s="77">
        <f>IF(VLOOKUP(A142,Database!$A:$AS,MATCH($E$1,Database!$A$1:$AS$1,0),FALSE)=0,#N/A,VLOOKUP(A142,Database!$A:$AS,MATCH($E$1,Database!$A$1:$AS$1,0),FALSE))</f>
        <v/>
      </c>
      <c r="F142" s="77">
        <f>IF(VLOOKUP(A142,Database!$A:$AS,MATCH($F$1,Database!$A$1:$AS$1,0),FALSE)=0,#N/A,VLOOKUP(A142,Database!$A:$AS,MATCH($F$1,Database!$A$1:$AS$1,0),FALSE))</f>
        <v/>
      </c>
      <c r="G142" s="77">
        <f>IF(VLOOKUP(A142,Database!$A:$AS,MATCH($G$1,Database!$A$1:$AS$1,0),FALSE)=0,#N/A,VLOOKUP(A142,Database!$A:$AS,MATCH($G$1,Database!$A$1:$AS$1,0),FALSE))</f>
        <v/>
      </c>
      <c r="H142" s="77">
        <f>(((Table134567891011121314151617343[[#This Row],[ITA]]-VLOOKUP($U$1,A:B,2,))/VLOOKUP($U$1,A:B,2,))*100)+100</f>
        <v/>
      </c>
      <c r="I142" s="77">
        <f>(((Table134567891011121314151617343[[#This Row],[FRA]]-VLOOKUP($U$1,A:C,3,))/VLOOKUP($U$1,A:C,3,))*100)+100</f>
        <v/>
      </c>
      <c r="J142" s="77">
        <f>(((Table134567891011121314151617343[[#This Row],[DEU]]-VLOOKUP($U$1,A:D,4,))/VLOOKUP($U$1,A:D,4,))*100)+100</f>
        <v/>
      </c>
      <c r="K142" s="77">
        <f>(((Table134567891011121314151617343[[#This Row],[ESP]]-VLOOKUP($U$1,A:E,5,))/VLOOKUP($U$1,A:E,5,))*100)+100</f>
        <v/>
      </c>
      <c r="L142" s="77">
        <f>(((Table134567891011121314151617343[[#This Row],[EA19]]-VLOOKUP($U$1,A:F,6,))/VLOOKUP($U$1,A:F,6,))*100)+100</f>
        <v/>
      </c>
      <c r="M142" s="77">
        <f>(((Table134567891011121314151617343[[#This Row],[GBR]]-VLOOKUP($U$1,A:G,7,))/VLOOKUP($U$1,A:G,7,))*100)+100</f>
        <v/>
      </c>
      <c r="N142" s="77">
        <f>IF(VLOOKUP(A142,Database!$A:$AU,MATCH($N$1,Database!$A$1:$AU$1,0),FALSE)=0,#N/A,VLOOKUP(A142,Database!$A:$AU,MATCH($N$1,Database!$A$1:$AU$1,0),FALSE))</f>
        <v/>
      </c>
      <c r="O142" s="77">
        <f>(((Table134567891011121314151617343[[#This Row],[USA]]-VLOOKUP($U$1,A:N,14,))/VLOOKUP($U$1,A:N,14,))*100)+100</f>
        <v/>
      </c>
      <c r="P142" s="77">
        <f>IF(VLOOKUP(A142,Database!$A:$AS,MATCH($P$1,Database!$A$1:$AS$1,0),FALSE)=0,#N/A,VLOOKUP(A142,Database!$A:$AS,MATCH($P$1,Database!$A$1:$AS$1,0),FALSE))</f>
        <v/>
      </c>
      <c r="Q142" s="77">
        <f>(((Table134567891011121314151617343[[#This Row],[JPN]]-VLOOKUP($U$1,A:Q,16,))/VLOOKUP($U$1,A:Q,16,))*100)+100</f>
        <v/>
      </c>
    </row>
    <row r="143" customFormat="1" s="87">
      <c r="A143" s="21" t="n">
        <v>37165</v>
      </c>
      <c r="B143" s="77">
        <f>IF(VLOOKUP(A143,Database!$A:$AS,MATCH($B$1,Database!$A$1:$AS$1,0),FALSE)=0,#N/A,VLOOKUP(A143,Database!$A:$AS,MATCH($B$1,Database!$A$1:$AS$1,0),FALSE))</f>
        <v/>
      </c>
      <c r="C143" s="77">
        <f>IF(VLOOKUP(A143,Database!$A:$AS,MATCH($C$1,Database!$A$1:$AS$1,0),FALSE)=0,#N/A,VLOOKUP(A143,Database!$A:$AS,MATCH($C$1,Database!$A$1:$AS$1,0),FALSE))</f>
        <v/>
      </c>
      <c r="D143" s="77">
        <f>IF(VLOOKUP(A143,Database!$A:$AS,MATCH($D$1,Database!$A$1:$AS$1,0),FALSE)=0,#N/A,VLOOKUP(A143,Database!$A:$AS,MATCH($D$1,Database!$A$1:$AS$1,0),FALSE))</f>
        <v/>
      </c>
      <c r="E143" s="77">
        <f>IF(VLOOKUP(A143,Database!$A:$AS,MATCH($E$1,Database!$A$1:$AS$1,0),FALSE)=0,#N/A,VLOOKUP(A143,Database!$A:$AS,MATCH($E$1,Database!$A$1:$AS$1,0),FALSE))</f>
        <v/>
      </c>
      <c r="F143" s="77">
        <f>IF(VLOOKUP(A143,Database!$A:$AS,MATCH($F$1,Database!$A$1:$AS$1,0),FALSE)=0,#N/A,VLOOKUP(A143,Database!$A:$AS,MATCH($F$1,Database!$A$1:$AS$1,0),FALSE))</f>
        <v/>
      </c>
      <c r="G143" s="77">
        <f>IF(VLOOKUP(A143,Database!$A:$AS,MATCH($G$1,Database!$A$1:$AS$1,0),FALSE)=0,#N/A,VLOOKUP(A143,Database!$A:$AS,MATCH($G$1,Database!$A$1:$AS$1,0),FALSE))</f>
        <v/>
      </c>
      <c r="H143" s="77">
        <f>(((Table134567891011121314151617343[[#This Row],[ITA]]-VLOOKUP($U$1,A:B,2,))/VLOOKUP($U$1,A:B,2,))*100)+100</f>
        <v/>
      </c>
      <c r="I143" s="77">
        <f>(((Table134567891011121314151617343[[#This Row],[FRA]]-VLOOKUP($U$1,A:C,3,))/VLOOKUP($U$1,A:C,3,))*100)+100</f>
        <v/>
      </c>
      <c r="J143" s="77">
        <f>(((Table134567891011121314151617343[[#This Row],[DEU]]-VLOOKUP($U$1,A:D,4,))/VLOOKUP($U$1,A:D,4,))*100)+100</f>
        <v/>
      </c>
      <c r="K143" s="77">
        <f>(((Table134567891011121314151617343[[#This Row],[ESP]]-VLOOKUP($U$1,A:E,5,))/VLOOKUP($U$1,A:E,5,))*100)+100</f>
        <v/>
      </c>
      <c r="L143" s="77">
        <f>(((Table134567891011121314151617343[[#This Row],[EA19]]-VLOOKUP($U$1,A:F,6,))/VLOOKUP($U$1,A:F,6,))*100)+100</f>
        <v/>
      </c>
      <c r="M143" s="77">
        <f>(((Table134567891011121314151617343[[#This Row],[GBR]]-VLOOKUP($U$1,A:G,7,))/VLOOKUP($U$1,A:G,7,))*100)+100</f>
        <v/>
      </c>
      <c r="N143" s="77">
        <f>IF(VLOOKUP(A143,Database!$A:$AU,MATCH($N$1,Database!$A$1:$AU$1,0),FALSE)=0,#N/A,VLOOKUP(A143,Database!$A:$AU,MATCH($N$1,Database!$A$1:$AU$1,0),FALSE))</f>
        <v/>
      </c>
      <c r="O143" s="77">
        <f>(((Table134567891011121314151617343[[#This Row],[USA]]-VLOOKUP($U$1,A:N,14,))/VLOOKUP($U$1,A:N,14,))*100)+100</f>
        <v/>
      </c>
      <c r="P143" s="77">
        <f>IF(VLOOKUP(A143,Database!$A:$AS,MATCH($P$1,Database!$A$1:$AS$1,0),FALSE)=0,#N/A,VLOOKUP(A143,Database!$A:$AS,MATCH($P$1,Database!$A$1:$AS$1,0),FALSE))</f>
        <v/>
      </c>
      <c r="Q143" s="77">
        <f>(((Table134567891011121314151617343[[#This Row],[JPN]]-VLOOKUP($U$1,A:Q,16,))/VLOOKUP($U$1,A:Q,16,))*100)+100</f>
        <v/>
      </c>
    </row>
    <row r="144" customFormat="1" s="87">
      <c r="A144" s="21" t="n">
        <v>37196</v>
      </c>
      <c r="B144" s="77">
        <f>IF(VLOOKUP(A144,Database!$A:$AS,MATCH($B$1,Database!$A$1:$AS$1,0),FALSE)=0,#N/A,VLOOKUP(A144,Database!$A:$AS,MATCH($B$1,Database!$A$1:$AS$1,0),FALSE))</f>
        <v/>
      </c>
      <c r="C144" s="77">
        <f>IF(VLOOKUP(A144,Database!$A:$AS,MATCH($C$1,Database!$A$1:$AS$1,0),FALSE)=0,#N/A,VLOOKUP(A144,Database!$A:$AS,MATCH($C$1,Database!$A$1:$AS$1,0),FALSE))</f>
        <v/>
      </c>
      <c r="D144" s="77">
        <f>IF(VLOOKUP(A144,Database!$A:$AS,MATCH($D$1,Database!$A$1:$AS$1,0),FALSE)=0,#N/A,VLOOKUP(A144,Database!$A:$AS,MATCH($D$1,Database!$A$1:$AS$1,0),FALSE))</f>
        <v/>
      </c>
      <c r="E144" s="77">
        <f>IF(VLOOKUP(A144,Database!$A:$AS,MATCH($E$1,Database!$A$1:$AS$1,0),FALSE)=0,#N/A,VLOOKUP(A144,Database!$A:$AS,MATCH($E$1,Database!$A$1:$AS$1,0),FALSE))</f>
        <v/>
      </c>
      <c r="F144" s="77">
        <f>IF(VLOOKUP(A144,Database!$A:$AS,MATCH($F$1,Database!$A$1:$AS$1,0),FALSE)=0,#N/A,VLOOKUP(A144,Database!$A:$AS,MATCH($F$1,Database!$A$1:$AS$1,0),FALSE))</f>
        <v/>
      </c>
      <c r="G144" s="77">
        <f>IF(VLOOKUP(A144,Database!$A:$AS,MATCH($G$1,Database!$A$1:$AS$1,0),FALSE)=0,#N/A,VLOOKUP(A144,Database!$A:$AS,MATCH($G$1,Database!$A$1:$AS$1,0),FALSE))</f>
        <v/>
      </c>
      <c r="H144" s="77">
        <f>(((Table134567891011121314151617343[[#This Row],[ITA]]-VLOOKUP($U$1,A:B,2,))/VLOOKUP($U$1,A:B,2,))*100)+100</f>
        <v/>
      </c>
      <c r="I144" s="77">
        <f>(((Table134567891011121314151617343[[#This Row],[FRA]]-VLOOKUP($U$1,A:C,3,))/VLOOKUP($U$1,A:C,3,))*100)+100</f>
        <v/>
      </c>
      <c r="J144" s="77">
        <f>(((Table134567891011121314151617343[[#This Row],[DEU]]-VLOOKUP($U$1,A:D,4,))/VLOOKUP($U$1,A:D,4,))*100)+100</f>
        <v/>
      </c>
      <c r="K144" s="77">
        <f>(((Table134567891011121314151617343[[#This Row],[ESP]]-VLOOKUP($U$1,A:E,5,))/VLOOKUP($U$1,A:E,5,))*100)+100</f>
        <v/>
      </c>
      <c r="L144" s="77">
        <f>(((Table134567891011121314151617343[[#This Row],[EA19]]-VLOOKUP($U$1,A:F,6,))/VLOOKUP($U$1,A:F,6,))*100)+100</f>
        <v/>
      </c>
      <c r="M144" s="77">
        <f>(((Table134567891011121314151617343[[#This Row],[GBR]]-VLOOKUP($U$1,A:G,7,))/VLOOKUP($U$1,A:G,7,))*100)+100</f>
        <v/>
      </c>
      <c r="N144" s="77">
        <f>IF(VLOOKUP(A144,Database!$A:$AU,MATCH($N$1,Database!$A$1:$AU$1,0),FALSE)=0,#N/A,VLOOKUP(A144,Database!$A:$AU,MATCH($N$1,Database!$A$1:$AU$1,0),FALSE))</f>
        <v/>
      </c>
      <c r="O144" s="77">
        <f>(((Table134567891011121314151617343[[#This Row],[USA]]-VLOOKUP($U$1,A:N,14,))/VLOOKUP($U$1,A:N,14,))*100)+100</f>
        <v/>
      </c>
      <c r="P144" s="77">
        <f>IF(VLOOKUP(A144,Database!$A:$AS,MATCH($P$1,Database!$A$1:$AS$1,0),FALSE)=0,#N/A,VLOOKUP(A144,Database!$A:$AS,MATCH($P$1,Database!$A$1:$AS$1,0),FALSE))</f>
        <v/>
      </c>
      <c r="Q144" s="77">
        <f>(((Table134567891011121314151617343[[#This Row],[JPN]]-VLOOKUP($U$1,A:Q,16,))/VLOOKUP($U$1,A:Q,16,))*100)+100</f>
        <v/>
      </c>
    </row>
    <row r="145" customFormat="1" s="87">
      <c r="A145" s="21" t="n">
        <v>37226</v>
      </c>
      <c r="B145" s="77">
        <f>IF(VLOOKUP(A145,Database!$A:$AS,MATCH($B$1,Database!$A$1:$AS$1,0),FALSE)=0,#N/A,VLOOKUP(A145,Database!$A:$AS,MATCH($B$1,Database!$A$1:$AS$1,0),FALSE))</f>
        <v/>
      </c>
      <c r="C145" s="77">
        <f>IF(VLOOKUP(A145,Database!$A:$AS,MATCH($C$1,Database!$A$1:$AS$1,0),FALSE)=0,#N/A,VLOOKUP(A145,Database!$A:$AS,MATCH($C$1,Database!$A$1:$AS$1,0),FALSE))</f>
        <v/>
      </c>
      <c r="D145" s="77">
        <f>IF(VLOOKUP(A145,Database!$A:$AS,MATCH($D$1,Database!$A$1:$AS$1,0),FALSE)=0,#N/A,VLOOKUP(A145,Database!$A:$AS,MATCH($D$1,Database!$A$1:$AS$1,0),FALSE))</f>
        <v/>
      </c>
      <c r="E145" s="77">
        <f>IF(VLOOKUP(A145,Database!$A:$AS,MATCH($E$1,Database!$A$1:$AS$1,0),FALSE)=0,#N/A,VLOOKUP(A145,Database!$A:$AS,MATCH($E$1,Database!$A$1:$AS$1,0),FALSE))</f>
        <v/>
      </c>
      <c r="F145" s="77">
        <f>IF(VLOOKUP(A145,Database!$A:$AS,MATCH($F$1,Database!$A$1:$AS$1,0),FALSE)=0,#N/A,VLOOKUP(A145,Database!$A:$AS,MATCH($F$1,Database!$A$1:$AS$1,0),FALSE))</f>
        <v/>
      </c>
      <c r="G145" s="77">
        <f>IF(VLOOKUP(A145,Database!$A:$AS,MATCH($G$1,Database!$A$1:$AS$1,0),FALSE)=0,#N/A,VLOOKUP(A145,Database!$A:$AS,MATCH($G$1,Database!$A$1:$AS$1,0),FALSE))</f>
        <v/>
      </c>
      <c r="H145" s="77">
        <f>(((Table134567891011121314151617343[[#This Row],[ITA]]-VLOOKUP($U$1,A:B,2,))/VLOOKUP($U$1,A:B,2,))*100)+100</f>
        <v/>
      </c>
      <c r="I145" s="77">
        <f>(((Table134567891011121314151617343[[#This Row],[FRA]]-VLOOKUP($U$1,A:C,3,))/VLOOKUP($U$1,A:C,3,))*100)+100</f>
        <v/>
      </c>
      <c r="J145" s="77">
        <f>(((Table134567891011121314151617343[[#This Row],[DEU]]-VLOOKUP($U$1,A:D,4,))/VLOOKUP($U$1,A:D,4,))*100)+100</f>
        <v/>
      </c>
      <c r="K145" s="77">
        <f>(((Table134567891011121314151617343[[#This Row],[ESP]]-VLOOKUP($U$1,A:E,5,))/VLOOKUP($U$1,A:E,5,))*100)+100</f>
        <v/>
      </c>
      <c r="L145" s="77">
        <f>(((Table134567891011121314151617343[[#This Row],[EA19]]-VLOOKUP($U$1,A:F,6,))/VLOOKUP($U$1,A:F,6,))*100)+100</f>
        <v/>
      </c>
      <c r="M145" s="77">
        <f>(((Table134567891011121314151617343[[#This Row],[GBR]]-VLOOKUP($U$1,A:G,7,))/VLOOKUP($U$1,A:G,7,))*100)+100</f>
        <v/>
      </c>
      <c r="N145" s="77">
        <f>IF(VLOOKUP(A145,Database!$A:$AU,MATCH($N$1,Database!$A$1:$AU$1,0),FALSE)=0,#N/A,VLOOKUP(A145,Database!$A:$AU,MATCH($N$1,Database!$A$1:$AU$1,0),FALSE))</f>
        <v/>
      </c>
      <c r="O145" s="77">
        <f>(((Table134567891011121314151617343[[#This Row],[USA]]-VLOOKUP($U$1,A:N,14,))/VLOOKUP($U$1,A:N,14,))*100)+100</f>
        <v/>
      </c>
      <c r="P145" s="77">
        <f>IF(VLOOKUP(A145,Database!$A:$AS,MATCH($P$1,Database!$A$1:$AS$1,0),FALSE)=0,#N/A,VLOOKUP(A145,Database!$A:$AS,MATCH($P$1,Database!$A$1:$AS$1,0),FALSE))</f>
        <v/>
      </c>
      <c r="Q145" s="77">
        <f>(((Table134567891011121314151617343[[#This Row],[JPN]]-VLOOKUP($U$1,A:Q,16,))/VLOOKUP($U$1,A:Q,16,))*100)+100</f>
        <v/>
      </c>
    </row>
    <row r="146" customFormat="1" s="87">
      <c r="A146" s="21" t="n">
        <v>37257</v>
      </c>
      <c r="B146" s="77">
        <f>IF(VLOOKUP(A146,Database!$A:$AS,MATCH($B$1,Database!$A$1:$AS$1,0),FALSE)=0,#N/A,VLOOKUP(A146,Database!$A:$AS,MATCH($B$1,Database!$A$1:$AS$1,0),FALSE))</f>
        <v/>
      </c>
      <c r="C146" s="77">
        <f>IF(VLOOKUP(A146,Database!$A:$AS,MATCH($C$1,Database!$A$1:$AS$1,0),FALSE)=0,#N/A,VLOOKUP(A146,Database!$A:$AS,MATCH($C$1,Database!$A$1:$AS$1,0),FALSE))</f>
        <v/>
      </c>
      <c r="D146" s="77">
        <f>IF(VLOOKUP(A146,Database!$A:$AS,MATCH($D$1,Database!$A$1:$AS$1,0),FALSE)=0,#N/A,VLOOKUP(A146,Database!$A:$AS,MATCH($D$1,Database!$A$1:$AS$1,0),FALSE))</f>
        <v/>
      </c>
      <c r="E146" s="77">
        <f>IF(VLOOKUP(A146,Database!$A:$AS,MATCH($E$1,Database!$A$1:$AS$1,0),FALSE)=0,#N/A,VLOOKUP(A146,Database!$A:$AS,MATCH($E$1,Database!$A$1:$AS$1,0),FALSE))</f>
        <v/>
      </c>
      <c r="F146" s="77">
        <f>IF(VLOOKUP(A146,Database!$A:$AS,MATCH($F$1,Database!$A$1:$AS$1,0),FALSE)=0,#N/A,VLOOKUP(A146,Database!$A:$AS,MATCH($F$1,Database!$A$1:$AS$1,0),FALSE))</f>
        <v/>
      </c>
      <c r="G146" s="77">
        <f>IF(VLOOKUP(A146,Database!$A:$AS,MATCH($G$1,Database!$A$1:$AS$1,0),FALSE)=0,#N/A,VLOOKUP(A146,Database!$A:$AS,MATCH($G$1,Database!$A$1:$AS$1,0),FALSE))</f>
        <v/>
      </c>
      <c r="H146" s="77">
        <f>(((Table134567891011121314151617343[[#This Row],[ITA]]-VLOOKUP($U$1,A:B,2,))/VLOOKUP($U$1,A:B,2,))*100)+100</f>
        <v/>
      </c>
      <c r="I146" s="77">
        <f>(((Table134567891011121314151617343[[#This Row],[FRA]]-VLOOKUP($U$1,A:C,3,))/VLOOKUP($U$1,A:C,3,))*100)+100</f>
        <v/>
      </c>
      <c r="J146" s="77">
        <f>(((Table134567891011121314151617343[[#This Row],[DEU]]-VLOOKUP($U$1,A:D,4,))/VLOOKUP($U$1,A:D,4,))*100)+100</f>
        <v/>
      </c>
      <c r="K146" s="77">
        <f>(((Table134567891011121314151617343[[#This Row],[ESP]]-VLOOKUP($U$1,A:E,5,))/VLOOKUP($U$1,A:E,5,))*100)+100</f>
        <v/>
      </c>
      <c r="L146" s="77">
        <f>(((Table134567891011121314151617343[[#This Row],[EA19]]-VLOOKUP($U$1,A:F,6,))/VLOOKUP($U$1,A:F,6,))*100)+100</f>
        <v/>
      </c>
      <c r="M146" s="77">
        <f>(((Table134567891011121314151617343[[#This Row],[GBR]]-VLOOKUP($U$1,A:G,7,))/VLOOKUP($U$1,A:G,7,))*100)+100</f>
        <v/>
      </c>
      <c r="N146" s="77">
        <f>IF(VLOOKUP(A146,Database!$A:$AU,MATCH($N$1,Database!$A$1:$AU$1,0),FALSE)=0,#N/A,VLOOKUP(A146,Database!$A:$AU,MATCH($N$1,Database!$A$1:$AU$1,0),FALSE))</f>
        <v/>
      </c>
      <c r="O146" s="77">
        <f>(((Table134567891011121314151617343[[#This Row],[USA]]-VLOOKUP($U$1,A:N,14,))/VLOOKUP($U$1,A:N,14,))*100)+100</f>
        <v/>
      </c>
      <c r="P146" s="77">
        <f>IF(VLOOKUP(A146,Database!$A:$AS,MATCH($P$1,Database!$A$1:$AS$1,0),FALSE)=0,#N/A,VLOOKUP(A146,Database!$A:$AS,MATCH($P$1,Database!$A$1:$AS$1,0),FALSE))</f>
        <v/>
      </c>
      <c r="Q146" s="77">
        <f>(((Table134567891011121314151617343[[#This Row],[JPN]]-VLOOKUP($U$1,A:Q,16,))/VLOOKUP($U$1,A:Q,16,))*100)+100</f>
        <v/>
      </c>
    </row>
    <row r="147" customFormat="1" s="87">
      <c r="A147" s="21" t="n">
        <v>37288</v>
      </c>
      <c r="B147" s="77">
        <f>IF(VLOOKUP(A147,Database!$A:$AS,MATCH($B$1,Database!$A$1:$AS$1,0),FALSE)=0,#N/A,VLOOKUP(A147,Database!$A:$AS,MATCH($B$1,Database!$A$1:$AS$1,0),FALSE))</f>
        <v/>
      </c>
      <c r="C147" s="77">
        <f>IF(VLOOKUP(A147,Database!$A:$AS,MATCH($C$1,Database!$A$1:$AS$1,0),FALSE)=0,#N/A,VLOOKUP(A147,Database!$A:$AS,MATCH($C$1,Database!$A$1:$AS$1,0),FALSE))</f>
        <v/>
      </c>
      <c r="D147" s="77">
        <f>IF(VLOOKUP(A147,Database!$A:$AS,MATCH($D$1,Database!$A$1:$AS$1,0),FALSE)=0,#N/A,VLOOKUP(A147,Database!$A:$AS,MATCH($D$1,Database!$A$1:$AS$1,0),FALSE))</f>
        <v/>
      </c>
      <c r="E147" s="77">
        <f>IF(VLOOKUP(A147,Database!$A:$AS,MATCH($E$1,Database!$A$1:$AS$1,0),FALSE)=0,#N/A,VLOOKUP(A147,Database!$A:$AS,MATCH($E$1,Database!$A$1:$AS$1,0),FALSE))</f>
        <v/>
      </c>
      <c r="F147" s="77">
        <f>IF(VLOOKUP(A147,Database!$A:$AS,MATCH($F$1,Database!$A$1:$AS$1,0),FALSE)=0,#N/A,VLOOKUP(A147,Database!$A:$AS,MATCH($F$1,Database!$A$1:$AS$1,0),FALSE))</f>
        <v/>
      </c>
      <c r="G147" s="77">
        <f>IF(VLOOKUP(A147,Database!$A:$AS,MATCH($G$1,Database!$A$1:$AS$1,0),FALSE)=0,#N/A,VLOOKUP(A147,Database!$A:$AS,MATCH($G$1,Database!$A$1:$AS$1,0),FALSE))</f>
        <v/>
      </c>
      <c r="H147" s="77">
        <f>(((Table134567891011121314151617343[[#This Row],[ITA]]-VLOOKUP($U$1,A:B,2,))/VLOOKUP($U$1,A:B,2,))*100)+100</f>
        <v/>
      </c>
      <c r="I147" s="77">
        <f>(((Table134567891011121314151617343[[#This Row],[FRA]]-VLOOKUP($U$1,A:C,3,))/VLOOKUP($U$1,A:C,3,))*100)+100</f>
        <v/>
      </c>
      <c r="J147" s="77">
        <f>(((Table134567891011121314151617343[[#This Row],[DEU]]-VLOOKUP($U$1,A:D,4,))/VLOOKUP($U$1,A:D,4,))*100)+100</f>
        <v/>
      </c>
      <c r="K147" s="77">
        <f>(((Table134567891011121314151617343[[#This Row],[ESP]]-VLOOKUP($U$1,A:E,5,))/VLOOKUP($U$1,A:E,5,))*100)+100</f>
        <v/>
      </c>
      <c r="L147" s="77">
        <f>(((Table134567891011121314151617343[[#This Row],[EA19]]-VLOOKUP($U$1,A:F,6,))/VLOOKUP($U$1,A:F,6,))*100)+100</f>
        <v/>
      </c>
      <c r="M147" s="77">
        <f>(((Table134567891011121314151617343[[#This Row],[GBR]]-VLOOKUP($U$1,A:G,7,))/VLOOKUP($U$1,A:G,7,))*100)+100</f>
        <v/>
      </c>
      <c r="N147" s="77">
        <f>IF(VLOOKUP(A147,Database!$A:$AU,MATCH($N$1,Database!$A$1:$AU$1,0),FALSE)=0,#N/A,VLOOKUP(A147,Database!$A:$AU,MATCH($N$1,Database!$A$1:$AU$1,0),FALSE))</f>
        <v/>
      </c>
      <c r="O147" s="77">
        <f>(((Table134567891011121314151617343[[#This Row],[USA]]-VLOOKUP($U$1,A:N,14,))/VLOOKUP($U$1,A:N,14,))*100)+100</f>
        <v/>
      </c>
      <c r="P147" s="77">
        <f>IF(VLOOKUP(A147,Database!$A:$AS,MATCH($P$1,Database!$A$1:$AS$1,0),FALSE)=0,#N/A,VLOOKUP(A147,Database!$A:$AS,MATCH($P$1,Database!$A$1:$AS$1,0),FALSE))</f>
        <v/>
      </c>
      <c r="Q147" s="77">
        <f>(((Table134567891011121314151617343[[#This Row],[JPN]]-VLOOKUP($U$1,A:Q,16,))/VLOOKUP($U$1,A:Q,16,))*100)+100</f>
        <v/>
      </c>
    </row>
    <row r="148" customFormat="1" s="87">
      <c r="A148" s="21" t="n">
        <v>37316</v>
      </c>
      <c r="B148" s="77">
        <f>IF(VLOOKUP(A148,Database!$A:$AS,MATCH($B$1,Database!$A$1:$AS$1,0),FALSE)=0,#N/A,VLOOKUP(A148,Database!$A:$AS,MATCH($B$1,Database!$A$1:$AS$1,0),FALSE))</f>
        <v/>
      </c>
      <c r="C148" s="77">
        <f>IF(VLOOKUP(A148,Database!$A:$AS,MATCH($C$1,Database!$A$1:$AS$1,0),FALSE)=0,#N/A,VLOOKUP(A148,Database!$A:$AS,MATCH($C$1,Database!$A$1:$AS$1,0),FALSE))</f>
        <v/>
      </c>
      <c r="D148" s="77">
        <f>IF(VLOOKUP(A148,Database!$A:$AS,MATCH($D$1,Database!$A$1:$AS$1,0),FALSE)=0,#N/A,VLOOKUP(A148,Database!$A:$AS,MATCH($D$1,Database!$A$1:$AS$1,0),FALSE))</f>
        <v/>
      </c>
      <c r="E148" s="77">
        <f>IF(VLOOKUP(A148,Database!$A:$AS,MATCH($E$1,Database!$A$1:$AS$1,0),FALSE)=0,#N/A,VLOOKUP(A148,Database!$A:$AS,MATCH($E$1,Database!$A$1:$AS$1,0),FALSE))</f>
        <v/>
      </c>
      <c r="F148" s="77">
        <f>IF(VLOOKUP(A148,Database!$A:$AS,MATCH($F$1,Database!$A$1:$AS$1,0),FALSE)=0,#N/A,VLOOKUP(A148,Database!$A:$AS,MATCH($F$1,Database!$A$1:$AS$1,0),FALSE))</f>
        <v/>
      </c>
      <c r="G148" s="77">
        <f>IF(VLOOKUP(A148,Database!$A:$AS,MATCH($G$1,Database!$A$1:$AS$1,0),FALSE)=0,#N/A,VLOOKUP(A148,Database!$A:$AS,MATCH($G$1,Database!$A$1:$AS$1,0),FALSE))</f>
        <v/>
      </c>
      <c r="H148" s="77">
        <f>(((Table134567891011121314151617343[[#This Row],[ITA]]-VLOOKUP($U$1,A:B,2,))/VLOOKUP($U$1,A:B,2,))*100)+100</f>
        <v/>
      </c>
      <c r="I148" s="77">
        <f>(((Table134567891011121314151617343[[#This Row],[FRA]]-VLOOKUP($U$1,A:C,3,))/VLOOKUP($U$1,A:C,3,))*100)+100</f>
        <v/>
      </c>
      <c r="J148" s="77">
        <f>(((Table134567891011121314151617343[[#This Row],[DEU]]-VLOOKUP($U$1,A:D,4,))/VLOOKUP($U$1,A:D,4,))*100)+100</f>
        <v/>
      </c>
      <c r="K148" s="77">
        <f>(((Table134567891011121314151617343[[#This Row],[ESP]]-VLOOKUP($U$1,A:E,5,))/VLOOKUP($U$1,A:E,5,))*100)+100</f>
        <v/>
      </c>
      <c r="L148" s="77">
        <f>(((Table134567891011121314151617343[[#This Row],[EA19]]-VLOOKUP($U$1,A:F,6,))/VLOOKUP($U$1,A:F,6,))*100)+100</f>
        <v/>
      </c>
      <c r="M148" s="77">
        <f>(((Table134567891011121314151617343[[#This Row],[GBR]]-VLOOKUP($U$1,A:G,7,))/VLOOKUP($U$1,A:G,7,))*100)+100</f>
        <v/>
      </c>
      <c r="N148" s="77">
        <f>IF(VLOOKUP(A148,Database!$A:$AU,MATCH($N$1,Database!$A$1:$AU$1,0),FALSE)=0,#N/A,VLOOKUP(A148,Database!$A:$AU,MATCH($N$1,Database!$A$1:$AU$1,0),FALSE))</f>
        <v/>
      </c>
      <c r="O148" s="77">
        <f>(((Table134567891011121314151617343[[#This Row],[USA]]-VLOOKUP($U$1,A:N,14,))/VLOOKUP($U$1,A:N,14,))*100)+100</f>
        <v/>
      </c>
      <c r="P148" s="77">
        <f>IF(VLOOKUP(A148,Database!$A:$AS,MATCH($P$1,Database!$A$1:$AS$1,0),FALSE)=0,#N/A,VLOOKUP(A148,Database!$A:$AS,MATCH($P$1,Database!$A$1:$AS$1,0),FALSE))</f>
        <v/>
      </c>
      <c r="Q148" s="77">
        <f>(((Table134567891011121314151617343[[#This Row],[JPN]]-VLOOKUP($U$1,A:Q,16,))/VLOOKUP($U$1,A:Q,16,))*100)+100</f>
        <v/>
      </c>
    </row>
    <row r="149" customFormat="1" s="87">
      <c r="A149" s="21" t="n">
        <v>37347</v>
      </c>
      <c r="B149" s="77">
        <f>IF(VLOOKUP(A149,Database!$A:$AS,MATCH($B$1,Database!$A$1:$AS$1,0),FALSE)=0,#N/A,VLOOKUP(A149,Database!$A:$AS,MATCH($B$1,Database!$A$1:$AS$1,0),FALSE))</f>
        <v/>
      </c>
      <c r="C149" s="77">
        <f>IF(VLOOKUP(A149,Database!$A:$AS,MATCH($C$1,Database!$A$1:$AS$1,0),FALSE)=0,#N/A,VLOOKUP(A149,Database!$A:$AS,MATCH($C$1,Database!$A$1:$AS$1,0),FALSE))</f>
        <v/>
      </c>
      <c r="D149" s="77">
        <f>IF(VLOOKUP(A149,Database!$A:$AS,MATCH($D$1,Database!$A$1:$AS$1,0),FALSE)=0,#N/A,VLOOKUP(A149,Database!$A:$AS,MATCH($D$1,Database!$A$1:$AS$1,0),FALSE))</f>
        <v/>
      </c>
      <c r="E149" s="77">
        <f>IF(VLOOKUP(A149,Database!$A:$AS,MATCH($E$1,Database!$A$1:$AS$1,0),FALSE)=0,#N/A,VLOOKUP(A149,Database!$A:$AS,MATCH($E$1,Database!$A$1:$AS$1,0),FALSE))</f>
        <v/>
      </c>
      <c r="F149" s="77">
        <f>IF(VLOOKUP(A149,Database!$A:$AS,MATCH($F$1,Database!$A$1:$AS$1,0),FALSE)=0,#N/A,VLOOKUP(A149,Database!$A:$AS,MATCH($F$1,Database!$A$1:$AS$1,0),FALSE))</f>
        <v/>
      </c>
      <c r="G149" s="77">
        <f>IF(VLOOKUP(A149,Database!$A:$AS,MATCH($G$1,Database!$A$1:$AS$1,0),FALSE)=0,#N/A,VLOOKUP(A149,Database!$A:$AS,MATCH($G$1,Database!$A$1:$AS$1,0),FALSE))</f>
        <v/>
      </c>
      <c r="H149" s="77">
        <f>(((Table134567891011121314151617343[[#This Row],[ITA]]-VLOOKUP($U$1,A:B,2,))/VLOOKUP($U$1,A:B,2,))*100)+100</f>
        <v/>
      </c>
      <c r="I149" s="77">
        <f>(((Table134567891011121314151617343[[#This Row],[FRA]]-VLOOKUP($U$1,A:C,3,))/VLOOKUP($U$1,A:C,3,))*100)+100</f>
        <v/>
      </c>
      <c r="J149" s="77">
        <f>(((Table134567891011121314151617343[[#This Row],[DEU]]-VLOOKUP($U$1,A:D,4,))/VLOOKUP($U$1,A:D,4,))*100)+100</f>
        <v/>
      </c>
      <c r="K149" s="77">
        <f>(((Table134567891011121314151617343[[#This Row],[ESP]]-VLOOKUP($U$1,A:E,5,))/VLOOKUP($U$1,A:E,5,))*100)+100</f>
        <v/>
      </c>
      <c r="L149" s="77">
        <f>(((Table134567891011121314151617343[[#This Row],[EA19]]-VLOOKUP($U$1,A:F,6,))/VLOOKUP($U$1,A:F,6,))*100)+100</f>
        <v/>
      </c>
      <c r="M149" s="77">
        <f>(((Table134567891011121314151617343[[#This Row],[GBR]]-VLOOKUP($U$1,A:G,7,))/VLOOKUP($U$1,A:G,7,))*100)+100</f>
        <v/>
      </c>
      <c r="N149" s="77">
        <f>IF(VLOOKUP(A149,Database!$A:$AU,MATCH($N$1,Database!$A$1:$AU$1,0),FALSE)=0,#N/A,VLOOKUP(A149,Database!$A:$AU,MATCH($N$1,Database!$A$1:$AU$1,0),FALSE))</f>
        <v/>
      </c>
      <c r="O149" s="77">
        <f>(((Table134567891011121314151617343[[#This Row],[USA]]-VLOOKUP($U$1,A:N,14,))/VLOOKUP($U$1,A:N,14,))*100)+100</f>
        <v/>
      </c>
      <c r="P149" s="77">
        <f>IF(VLOOKUP(A149,Database!$A:$AS,MATCH($P$1,Database!$A$1:$AS$1,0),FALSE)=0,#N/A,VLOOKUP(A149,Database!$A:$AS,MATCH($P$1,Database!$A$1:$AS$1,0),FALSE))</f>
        <v/>
      </c>
      <c r="Q149" s="77">
        <f>(((Table134567891011121314151617343[[#This Row],[JPN]]-VLOOKUP($U$1,A:Q,16,))/VLOOKUP($U$1,A:Q,16,))*100)+100</f>
        <v/>
      </c>
    </row>
    <row r="150" customFormat="1" s="87">
      <c r="A150" s="21" t="n">
        <v>37377</v>
      </c>
      <c r="B150" s="77">
        <f>IF(VLOOKUP(A150,Database!$A:$AS,MATCH($B$1,Database!$A$1:$AS$1,0),FALSE)=0,#N/A,VLOOKUP(A150,Database!$A:$AS,MATCH($B$1,Database!$A$1:$AS$1,0),FALSE))</f>
        <v/>
      </c>
      <c r="C150" s="77">
        <f>IF(VLOOKUP(A150,Database!$A:$AS,MATCH($C$1,Database!$A$1:$AS$1,0),FALSE)=0,#N/A,VLOOKUP(A150,Database!$A:$AS,MATCH($C$1,Database!$A$1:$AS$1,0),FALSE))</f>
        <v/>
      </c>
      <c r="D150" s="77">
        <f>IF(VLOOKUP(A150,Database!$A:$AS,MATCH($D$1,Database!$A$1:$AS$1,0),FALSE)=0,#N/A,VLOOKUP(A150,Database!$A:$AS,MATCH($D$1,Database!$A$1:$AS$1,0),FALSE))</f>
        <v/>
      </c>
      <c r="E150" s="77">
        <f>IF(VLOOKUP(A150,Database!$A:$AS,MATCH($E$1,Database!$A$1:$AS$1,0),FALSE)=0,#N/A,VLOOKUP(A150,Database!$A:$AS,MATCH($E$1,Database!$A$1:$AS$1,0),FALSE))</f>
        <v/>
      </c>
      <c r="F150" s="77">
        <f>IF(VLOOKUP(A150,Database!$A:$AS,MATCH($F$1,Database!$A$1:$AS$1,0),FALSE)=0,#N/A,VLOOKUP(A150,Database!$A:$AS,MATCH($F$1,Database!$A$1:$AS$1,0),FALSE))</f>
        <v/>
      </c>
      <c r="G150" s="77">
        <f>IF(VLOOKUP(A150,Database!$A:$AS,MATCH($G$1,Database!$A$1:$AS$1,0),FALSE)=0,#N/A,VLOOKUP(A150,Database!$A:$AS,MATCH($G$1,Database!$A$1:$AS$1,0),FALSE))</f>
        <v/>
      </c>
      <c r="H150" s="77">
        <f>(((Table134567891011121314151617343[[#This Row],[ITA]]-VLOOKUP($U$1,A:B,2,))/VLOOKUP($U$1,A:B,2,))*100)+100</f>
        <v/>
      </c>
      <c r="I150" s="77">
        <f>(((Table134567891011121314151617343[[#This Row],[FRA]]-VLOOKUP($U$1,A:C,3,))/VLOOKUP($U$1,A:C,3,))*100)+100</f>
        <v/>
      </c>
      <c r="J150" s="77">
        <f>(((Table134567891011121314151617343[[#This Row],[DEU]]-VLOOKUP($U$1,A:D,4,))/VLOOKUP($U$1,A:D,4,))*100)+100</f>
        <v/>
      </c>
      <c r="K150" s="77">
        <f>(((Table134567891011121314151617343[[#This Row],[ESP]]-VLOOKUP($U$1,A:E,5,))/VLOOKUP($U$1,A:E,5,))*100)+100</f>
        <v/>
      </c>
      <c r="L150" s="77">
        <f>(((Table134567891011121314151617343[[#This Row],[EA19]]-VLOOKUP($U$1,A:F,6,))/VLOOKUP($U$1,A:F,6,))*100)+100</f>
        <v/>
      </c>
      <c r="M150" s="77">
        <f>(((Table134567891011121314151617343[[#This Row],[GBR]]-VLOOKUP($U$1,A:G,7,))/VLOOKUP($U$1,A:G,7,))*100)+100</f>
        <v/>
      </c>
      <c r="N150" s="77">
        <f>IF(VLOOKUP(A150,Database!$A:$AU,MATCH($N$1,Database!$A$1:$AU$1,0),FALSE)=0,#N/A,VLOOKUP(A150,Database!$A:$AU,MATCH($N$1,Database!$A$1:$AU$1,0),FALSE))</f>
        <v/>
      </c>
      <c r="O150" s="77">
        <f>(((Table134567891011121314151617343[[#This Row],[USA]]-VLOOKUP($U$1,A:N,14,))/VLOOKUP($U$1,A:N,14,))*100)+100</f>
        <v/>
      </c>
      <c r="P150" s="77">
        <f>IF(VLOOKUP(A150,Database!$A:$AS,MATCH($P$1,Database!$A$1:$AS$1,0),FALSE)=0,#N/A,VLOOKUP(A150,Database!$A:$AS,MATCH($P$1,Database!$A$1:$AS$1,0),FALSE))</f>
        <v/>
      </c>
      <c r="Q150" s="77">
        <f>(((Table134567891011121314151617343[[#This Row],[JPN]]-VLOOKUP($U$1,A:Q,16,))/VLOOKUP($U$1,A:Q,16,))*100)+100</f>
        <v/>
      </c>
    </row>
    <row r="151" customFormat="1" s="87">
      <c r="A151" s="21" t="n">
        <v>37408</v>
      </c>
      <c r="B151" s="77">
        <f>IF(VLOOKUP(A151,Database!$A:$AS,MATCH($B$1,Database!$A$1:$AS$1,0),FALSE)=0,#N/A,VLOOKUP(A151,Database!$A:$AS,MATCH($B$1,Database!$A$1:$AS$1,0),FALSE))</f>
        <v/>
      </c>
      <c r="C151" s="77">
        <f>IF(VLOOKUP(A151,Database!$A:$AS,MATCH($C$1,Database!$A$1:$AS$1,0),FALSE)=0,#N/A,VLOOKUP(A151,Database!$A:$AS,MATCH($C$1,Database!$A$1:$AS$1,0),FALSE))</f>
        <v/>
      </c>
      <c r="D151" s="77">
        <f>IF(VLOOKUP(A151,Database!$A:$AS,MATCH($D$1,Database!$A$1:$AS$1,0),FALSE)=0,#N/A,VLOOKUP(A151,Database!$A:$AS,MATCH($D$1,Database!$A$1:$AS$1,0),FALSE))</f>
        <v/>
      </c>
      <c r="E151" s="77">
        <f>IF(VLOOKUP(A151,Database!$A:$AS,MATCH($E$1,Database!$A$1:$AS$1,0),FALSE)=0,#N/A,VLOOKUP(A151,Database!$A:$AS,MATCH($E$1,Database!$A$1:$AS$1,0),FALSE))</f>
        <v/>
      </c>
      <c r="F151" s="77">
        <f>IF(VLOOKUP(A151,Database!$A:$AS,MATCH($F$1,Database!$A$1:$AS$1,0),FALSE)=0,#N/A,VLOOKUP(A151,Database!$A:$AS,MATCH($F$1,Database!$A$1:$AS$1,0),FALSE))</f>
        <v/>
      </c>
      <c r="G151" s="77">
        <f>IF(VLOOKUP(A151,Database!$A:$AS,MATCH($G$1,Database!$A$1:$AS$1,0),FALSE)=0,#N/A,VLOOKUP(A151,Database!$A:$AS,MATCH($G$1,Database!$A$1:$AS$1,0),FALSE))</f>
        <v/>
      </c>
      <c r="H151" s="77">
        <f>(((Table134567891011121314151617343[[#This Row],[ITA]]-VLOOKUP($U$1,A:B,2,))/VLOOKUP($U$1,A:B,2,))*100)+100</f>
        <v/>
      </c>
      <c r="I151" s="77">
        <f>(((Table134567891011121314151617343[[#This Row],[FRA]]-VLOOKUP($U$1,A:C,3,))/VLOOKUP($U$1,A:C,3,))*100)+100</f>
        <v/>
      </c>
      <c r="J151" s="77">
        <f>(((Table134567891011121314151617343[[#This Row],[DEU]]-VLOOKUP($U$1,A:D,4,))/VLOOKUP($U$1,A:D,4,))*100)+100</f>
        <v/>
      </c>
      <c r="K151" s="77">
        <f>(((Table134567891011121314151617343[[#This Row],[ESP]]-VLOOKUP($U$1,A:E,5,))/VLOOKUP($U$1,A:E,5,))*100)+100</f>
        <v/>
      </c>
      <c r="L151" s="77">
        <f>(((Table134567891011121314151617343[[#This Row],[EA19]]-VLOOKUP($U$1,A:F,6,))/VLOOKUP($U$1,A:F,6,))*100)+100</f>
        <v/>
      </c>
      <c r="M151" s="77">
        <f>(((Table134567891011121314151617343[[#This Row],[GBR]]-VLOOKUP($U$1,A:G,7,))/VLOOKUP($U$1,A:G,7,))*100)+100</f>
        <v/>
      </c>
      <c r="N151" s="77">
        <f>IF(VLOOKUP(A151,Database!$A:$AU,MATCH($N$1,Database!$A$1:$AU$1,0),FALSE)=0,#N/A,VLOOKUP(A151,Database!$A:$AU,MATCH($N$1,Database!$A$1:$AU$1,0),FALSE))</f>
        <v/>
      </c>
      <c r="O151" s="77">
        <f>(((Table134567891011121314151617343[[#This Row],[USA]]-VLOOKUP($U$1,A:N,14,))/VLOOKUP($U$1,A:N,14,))*100)+100</f>
        <v/>
      </c>
      <c r="P151" s="77">
        <f>IF(VLOOKUP(A151,Database!$A:$AS,MATCH($P$1,Database!$A$1:$AS$1,0),FALSE)=0,#N/A,VLOOKUP(A151,Database!$A:$AS,MATCH($P$1,Database!$A$1:$AS$1,0),FALSE))</f>
        <v/>
      </c>
      <c r="Q151" s="77">
        <f>(((Table134567891011121314151617343[[#This Row],[JPN]]-VLOOKUP($U$1,A:Q,16,))/VLOOKUP($U$1,A:Q,16,))*100)+100</f>
        <v/>
      </c>
    </row>
    <row r="152" customFormat="1" s="87">
      <c r="A152" s="21" t="n">
        <v>37438</v>
      </c>
      <c r="B152" s="77">
        <f>IF(VLOOKUP(A152,Database!$A:$AS,MATCH($B$1,Database!$A$1:$AS$1,0),FALSE)=0,#N/A,VLOOKUP(A152,Database!$A:$AS,MATCH($B$1,Database!$A$1:$AS$1,0),FALSE))</f>
        <v/>
      </c>
      <c r="C152" s="77">
        <f>IF(VLOOKUP(A152,Database!$A:$AS,MATCH($C$1,Database!$A$1:$AS$1,0),FALSE)=0,#N/A,VLOOKUP(A152,Database!$A:$AS,MATCH($C$1,Database!$A$1:$AS$1,0),FALSE))</f>
        <v/>
      </c>
      <c r="D152" s="77">
        <f>IF(VLOOKUP(A152,Database!$A:$AS,MATCH($D$1,Database!$A$1:$AS$1,0),FALSE)=0,#N/A,VLOOKUP(A152,Database!$A:$AS,MATCH($D$1,Database!$A$1:$AS$1,0),FALSE))</f>
        <v/>
      </c>
      <c r="E152" s="77">
        <f>IF(VLOOKUP(A152,Database!$A:$AS,MATCH($E$1,Database!$A$1:$AS$1,0),FALSE)=0,#N/A,VLOOKUP(A152,Database!$A:$AS,MATCH($E$1,Database!$A$1:$AS$1,0),FALSE))</f>
        <v/>
      </c>
      <c r="F152" s="77">
        <f>IF(VLOOKUP(A152,Database!$A:$AS,MATCH($F$1,Database!$A$1:$AS$1,0),FALSE)=0,#N/A,VLOOKUP(A152,Database!$A:$AS,MATCH($F$1,Database!$A$1:$AS$1,0),FALSE))</f>
        <v/>
      </c>
      <c r="G152" s="77">
        <f>IF(VLOOKUP(A152,Database!$A:$AS,MATCH($G$1,Database!$A$1:$AS$1,0),FALSE)=0,#N/A,VLOOKUP(A152,Database!$A:$AS,MATCH($G$1,Database!$A$1:$AS$1,0),FALSE))</f>
        <v/>
      </c>
      <c r="H152" s="77">
        <f>(((Table134567891011121314151617343[[#This Row],[ITA]]-VLOOKUP($U$1,A:B,2,))/VLOOKUP($U$1,A:B,2,))*100)+100</f>
        <v/>
      </c>
      <c r="I152" s="77">
        <f>(((Table134567891011121314151617343[[#This Row],[FRA]]-VLOOKUP($U$1,A:C,3,))/VLOOKUP($U$1,A:C,3,))*100)+100</f>
        <v/>
      </c>
      <c r="J152" s="77">
        <f>(((Table134567891011121314151617343[[#This Row],[DEU]]-VLOOKUP($U$1,A:D,4,))/VLOOKUP($U$1,A:D,4,))*100)+100</f>
        <v/>
      </c>
      <c r="K152" s="77">
        <f>(((Table134567891011121314151617343[[#This Row],[ESP]]-VLOOKUP($U$1,A:E,5,))/VLOOKUP($U$1,A:E,5,))*100)+100</f>
        <v/>
      </c>
      <c r="L152" s="77">
        <f>(((Table134567891011121314151617343[[#This Row],[EA19]]-VLOOKUP($U$1,A:F,6,))/VLOOKUP($U$1,A:F,6,))*100)+100</f>
        <v/>
      </c>
      <c r="M152" s="77">
        <f>(((Table134567891011121314151617343[[#This Row],[GBR]]-VLOOKUP($U$1,A:G,7,))/VLOOKUP($U$1,A:G,7,))*100)+100</f>
        <v/>
      </c>
      <c r="N152" s="77">
        <f>IF(VLOOKUP(A152,Database!$A:$AU,MATCH($N$1,Database!$A$1:$AU$1,0),FALSE)=0,#N/A,VLOOKUP(A152,Database!$A:$AU,MATCH($N$1,Database!$A$1:$AU$1,0),FALSE))</f>
        <v/>
      </c>
      <c r="O152" s="77">
        <f>(((Table134567891011121314151617343[[#This Row],[USA]]-VLOOKUP($U$1,A:N,14,))/VLOOKUP($U$1,A:N,14,))*100)+100</f>
        <v/>
      </c>
      <c r="P152" s="77">
        <f>IF(VLOOKUP(A152,Database!$A:$AS,MATCH($P$1,Database!$A$1:$AS$1,0),FALSE)=0,#N/A,VLOOKUP(A152,Database!$A:$AS,MATCH($P$1,Database!$A$1:$AS$1,0),FALSE))</f>
        <v/>
      </c>
      <c r="Q152" s="77">
        <f>(((Table134567891011121314151617343[[#This Row],[JPN]]-VLOOKUP($U$1,A:Q,16,))/VLOOKUP($U$1,A:Q,16,))*100)+100</f>
        <v/>
      </c>
    </row>
    <row r="153" customFormat="1" s="87">
      <c r="A153" s="21" t="n">
        <v>37469</v>
      </c>
      <c r="B153" s="77">
        <f>IF(VLOOKUP(A153,Database!$A:$AS,MATCH($B$1,Database!$A$1:$AS$1,0),FALSE)=0,#N/A,VLOOKUP(A153,Database!$A:$AS,MATCH($B$1,Database!$A$1:$AS$1,0),FALSE))</f>
        <v/>
      </c>
      <c r="C153" s="77">
        <f>IF(VLOOKUP(A153,Database!$A:$AS,MATCH($C$1,Database!$A$1:$AS$1,0),FALSE)=0,#N/A,VLOOKUP(A153,Database!$A:$AS,MATCH($C$1,Database!$A$1:$AS$1,0),FALSE))</f>
        <v/>
      </c>
      <c r="D153" s="77">
        <f>IF(VLOOKUP(A153,Database!$A:$AS,MATCH($D$1,Database!$A$1:$AS$1,0),FALSE)=0,#N/A,VLOOKUP(A153,Database!$A:$AS,MATCH($D$1,Database!$A$1:$AS$1,0),FALSE))</f>
        <v/>
      </c>
      <c r="E153" s="77">
        <f>IF(VLOOKUP(A153,Database!$A:$AS,MATCH($E$1,Database!$A$1:$AS$1,0),FALSE)=0,#N/A,VLOOKUP(A153,Database!$A:$AS,MATCH($E$1,Database!$A$1:$AS$1,0),FALSE))</f>
        <v/>
      </c>
      <c r="F153" s="77">
        <f>IF(VLOOKUP(A153,Database!$A:$AS,MATCH($F$1,Database!$A$1:$AS$1,0),FALSE)=0,#N/A,VLOOKUP(A153,Database!$A:$AS,MATCH($F$1,Database!$A$1:$AS$1,0),FALSE))</f>
        <v/>
      </c>
      <c r="G153" s="77">
        <f>IF(VLOOKUP(A153,Database!$A:$AS,MATCH($G$1,Database!$A$1:$AS$1,0),FALSE)=0,#N/A,VLOOKUP(A153,Database!$A:$AS,MATCH($G$1,Database!$A$1:$AS$1,0),FALSE))</f>
        <v/>
      </c>
      <c r="H153" s="77">
        <f>(((Table134567891011121314151617343[[#This Row],[ITA]]-VLOOKUP($U$1,A:B,2,))/VLOOKUP($U$1,A:B,2,))*100)+100</f>
        <v/>
      </c>
      <c r="I153" s="77">
        <f>(((Table134567891011121314151617343[[#This Row],[FRA]]-VLOOKUP($U$1,A:C,3,))/VLOOKUP($U$1,A:C,3,))*100)+100</f>
        <v/>
      </c>
      <c r="J153" s="77">
        <f>(((Table134567891011121314151617343[[#This Row],[DEU]]-VLOOKUP($U$1,A:D,4,))/VLOOKUP($U$1,A:D,4,))*100)+100</f>
        <v/>
      </c>
      <c r="K153" s="77">
        <f>(((Table134567891011121314151617343[[#This Row],[ESP]]-VLOOKUP($U$1,A:E,5,))/VLOOKUP($U$1,A:E,5,))*100)+100</f>
        <v/>
      </c>
      <c r="L153" s="77">
        <f>(((Table134567891011121314151617343[[#This Row],[EA19]]-VLOOKUP($U$1,A:F,6,))/VLOOKUP($U$1,A:F,6,))*100)+100</f>
        <v/>
      </c>
      <c r="M153" s="77">
        <f>(((Table134567891011121314151617343[[#This Row],[GBR]]-VLOOKUP($U$1,A:G,7,))/VLOOKUP($U$1,A:G,7,))*100)+100</f>
        <v/>
      </c>
      <c r="N153" s="77">
        <f>IF(VLOOKUP(A153,Database!$A:$AU,MATCH($N$1,Database!$A$1:$AU$1,0),FALSE)=0,#N/A,VLOOKUP(A153,Database!$A:$AU,MATCH($N$1,Database!$A$1:$AU$1,0),FALSE))</f>
        <v/>
      </c>
      <c r="O153" s="77">
        <f>(((Table134567891011121314151617343[[#This Row],[USA]]-VLOOKUP($U$1,A:N,14,))/VLOOKUP($U$1,A:N,14,))*100)+100</f>
        <v/>
      </c>
      <c r="P153" s="77">
        <f>IF(VLOOKUP(A153,Database!$A:$AS,MATCH($P$1,Database!$A$1:$AS$1,0),FALSE)=0,#N/A,VLOOKUP(A153,Database!$A:$AS,MATCH($P$1,Database!$A$1:$AS$1,0),FALSE))</f>
        <v/>
      </c>
      <c r="Q153" s="77">
        <f>(((Table134567891011121314151617343[[#This Row],[JPN]]-VLOOKUP($U$1,A:Q,16,))/VLOOKUP($U$1,A:Q,16,))*100)+100</f>
        <v/>
      </c>
    </row>
    <row r="154" customFormat="1" s="87">
      <c r="A154" s="21" t="n">
        <v>37500</v>
      </c>
      <c r="B154" s="77">
        <f>IF(VLOOKUP(A154,Database!$A:$AS,MATCH($B$1,Database!$A$1:$AS$1,0),FALSE)=0,#N/A,VLOOKUP(A154,Database!$A:$AS,MATCH($B$1,Database!$A$1:$AS$1,0),FALSE))</f>
        <v/>
      </c>
      <c r="C154" s="77">
        <f>IF(VLOOKUP(A154,Database!$A:$AS,MATCH($C$1,Database!$A$1:$AS$1,0),FALSE)=0,#N/A,VLOOKUP(A154,Database!$A:$AS,MATCH($C$1,Database!$A$1:$AS$1,0),FALSE))</f>
        <v/>
      </c>
      <c r="D154" s="77">
        <f>IF(VLOOKUP(A154,Database!$A:$AS,MATCH($D$1,Database!$A$1:$AS$1,0),FALSE)=0,#N/A,VLOOKUP(A154,Database!$A:$AS,MATCH($D$1,Database!$A$1:$AS$1,0),FALSE))</f>
        <v/>
      </c>
      <c r="E154" s="77">
        <f>IF(VLOOKUP(A154,Database!$A:$AS,MATCH($E$1,Database!$A$1:$AS$1,0),FALSE)=0,#N/A,VLOOKUP(A154,Database!$A:$AS,MATCH($E$1,Database!$A$1:$AS$1,0),FALSE))</f>
        <v/>
      </c>
      <c r="F154" s="77">
        <f>IF(VLOOKUP(A154,Database!$A:$AS,MATCH($F$1,Database!$A$1:$AS$1,0),FALSE)=0,#N/A,VLOOKUP(A154,Database!$A:$AS,MATCH($F$1,Database!$A$1:$AS$1,0),FALSE))</f>
        <v/>
      </c>
      <c r="G154" s="77">
        <f>IF(VLOOKUP(A154,Database!$A:$AS,MATCH($G$1,Database!$A$1:$AS$1,0),FALSE)=0,#N/A,VLOOKUP(A154,Database!$A:$AS,MATCH($G$1,Database!$A$1:$AS$1,0),FALSE))</f>
        <v/>
      </c>
      <c r="H154" s="77">
        <f>(((Table134567891011121314151617343[[#This Row],[ITA]]-VLOOKUP($U$1,A:B,2,))/VLOOKUP($U$1,A:B,2,))*100)+100</f>
        <v/>
      </c>
      <c r="I154" s="77">
        <f>(((Table134567891011121314151617343[[#This Row],[FRA]]-VLOOKUP($U$1,A:C,3,))/VLOOKUP($U$1,A:C,3,))*100)+100</f>
        <v/>
      </c>
      <c r="J154" s="77">
        <f>(((Table134567891011121314151617343[[#This Row],[DEU]]-VLOOKUP($U$1,A:D,4,))/VLOOKUP($U$1,A:D,4,))*100)+100</f>
        <v/>
      </c>
      <c r="K154" s="77">
        <f>(((Table134567891011121314151617343[[#This Row],[ESP]]-VLOOKUP($U$1,A:E,5,))/VLOOKUP($U$1,A:E,5,))*100)+100</f>
        <v/>
      </c>
      <c r="L154" s="77">
        <f>(((Table134567891011121314151617343[[#This Row],[EA19]]-VLOOKUP($U$1,A:F,6,))/VLOOKUP($U$1,A:F,6,))*100)+100</f>
        <v/>
      </c>
      <c r="M154" s="77">
        <f>(((Table134567891011121314151617343[[#This Row],[GBR]]-VLOOKUP($U$1,A:G,7,))/VLOOKUP($U$1,A:G,7,))*100)+100</f>
        <v/>
      </c>
      <c r="N154" s="77">
        <f>IF(VLOOKUP(A154,Database!$A:$AU,MATCH($N$1,Database!$A$1:$AU$1,0),FALSE)=0,#N/A,VLOOKUP(A154,Database!$A:$AU,MATCH($N$1,Database!$A$1:$AU$1,0),FALSE))</f>
        <v/>
      </c>
      <c r="O154" s="77">
        <f>(((Table134567891011121314151617343[[#This Row],[USA]]-VLOOKUP($U$1,A:N,14,))/VLOOKUP($U$1,A:N,14,))*100)+100</f>
        <v/>
      </c>
      <c r="P154" s="77">
        <f>IF(VLOOKUP(A154,Database!$A:$AS,MATCH($P$1,Database!$A$1:$AS$1,0),FALSE)=0,#N/A,VLOOKUP(A154,Database!$A:$AS,MATCH($P$1,Database!$A$1:$AS$1,0),FALSE))</f>
        <v/>
      </c>
      <c r="Q154" s="77">
        <f>(((Table134567891011121314151617343[[#This Row],[JPN]]-VLOOKUP($U$1,A:Q,16,))/VLOOKUP($U$1,A:Q,16,))*100)+100</f>
        <v/>
      </c>
    </row>
    <row r="155" customFormat="1" s="87">
      <c r="A155" s="21" t="n">
        <v>37530</v>
      </c>
      <c r="B155" s="77">
        <f>IF(VLOOKUP(A155,Database!$A:$AS,MATCH($B$1,Database!$A$1:$AS$1,0),FALSE)=0,#N/A,VLOOKUP(A155,Database!$A:$AS,MATCH($B$1,Database!$A$1:$AS$1,0),FALSE))</f>
        <v/>
      </c>
      <c r="C155" s="77">
        <f>IF(VLOOKUP(A155,Database!$A:$AS,MATCH($C$1,Database!$A$1:$AS$1,0),FALSE)=0,#N/A,VLOOKUP(A155,Database!$A:$AS,MATCH($C$1,Database!$A$1:$AS$1,0),FALSE))</f>
        <v/>
      </c>
      <c r="D155" s="77">
        <f>IF(VLOOKUP(A155,Database!$A:$AS,MATCH($D$1,Database!$A$1:$AS$1,0),FALSE)=0,#N/A,VLOOKUP(A155,Database!$A:$AS,MATCH($D$1,Database!$A$1:$AS$1,0),FALSE))</f>
        <v/>
      </c>
      <c r="E155" s="77">
        <f>IF(VLOOKUP(A155,Database!$A:$AS,MATCH($E$1,Database!$A$1:$AS$1,0),FALSE)=0,#N/A,VLOOKUP(A155,Database!$A:$AS,MATCH($E$1,Database!$A$1:$AS$1,0),FALSE))</f>
        <v/>
      </c>
      <c r="F155" s="77">
        <f>IF(VLOOKUP(A155,Database!$A:$AS,MATCH($F$1,Database!$A$1:$AS$1,0),FALSE)=0,#N/A,VLOOKUP(A155,Database!$A:$AS,MATCH($F$1,Database!$A$1:$AS$1,0),FALSE))</f>
        <v/>
      </c>
      <c r="G155" s="77">
        <f>IF(VLOOKUP(A155,Database!$A:$AS,MATCH($G$1,Database!$A$1:$AS$1,0),FALSE)=0,#N/A,VLOOKUP(A155,Database!$A:$AS,MATCH($G$1,Database!$A$1:$AS$1,0),FALSE))</f>
        <v/>
      </c>
      <c r="H155" s="77">
        <f>(((Table134567891011121314151617343[[#This Row],[ITA]]-VLOOKUP($U$1,A:B,2,))/VLOOKUP($U$1,A:B,2,))*100)+100</f>
        <v/>
      </c>
      <c r="I155" s="77">
        <f>(((Table134567891011121314151617343[[#This Row],[FRA]]-VLOOKUP($U$1,A:C,3,))/VLOOKUP($U$1,A:C,3,))*100)+100</f>
        <v/>
      </c>
      <c r="J155" s="77">
        <f>(((Table134567891011121314151617343[[#This Row],[DEU]]-VLOOKUP($U$1,A:D,4,))/VLOOKUP($U$1,A:D,4,))*100)+100</f>
        <v/>
      </c>
      <c r="K155" s="77">
        <f>(((Table134567891011121314151617343[[#This Row],[ESP]]-VLOOKUP($U$1,A:E,5,))/VLOOKUP($U$1,A:E,5,))*100)+100</f>
        <v/>
      </c>
      <c r="L155" s="77">
        <f>(((Table134567891011121314151617343[[#This Row],[EA19]]-VLOOKUP($U$1,A:F,6,))/VLOOKUP($U$1,A:F,6,))*100)+100</f>
        <v/>
      </c>
      <c r="M155" s="77">
        <f>(((Table134567891011121314151617343[[#This Row],[GBR]]-VLOOKUP($U$1,A:G,7,))/VLOOKUP($U$1,A:G,7,))*100)+100</f>
        <v/>
      </c>
      <c r="N155" s="77">
        <f>IF(VLOOKUP(A155,Database!$A:$AU,MATCH($N$1,Database!$A$1:$AU$1,0),FALSE)=0,#N/A,VLOOKUP(A155,Database!$A:$AU,MATCH($N$1,Database!$A$1:$AU$1,0),FALSE))</f>
        <v/>
      </c>
      <c r="O155" s="77">
        <f>(((Table134567891011121314151617343[[#This Row],[USA]]-VLOOKUP($U$1,A:N,14,))/VLOOKUP($U$1,A:N,14,))*100)+100</f>
        <v/>
      </c>
      <c r="P155" s="77">
        <f>IF(VLOOKUP(A155,Database!$A:$AS,MATCH($P$1,Database!$A$1:$AS$1,0),FALSE)=0,#N/A,VLOOKUP(A155,Database!$A:$AS,MATCH($P$1,Database!$A$1:$AS$1,0),FALSE))</f>
        <v/>
      </c>
      <c r="Q155" s="77">
        <f>(((Table134567891011121314151617343[[#This Row],[JPN]]-VLOOKUP($U$1,A:Q,16,))/VLOOKUP($U$1,A:Q,16,))*100)+100</f>
        <v/>
      </c>
    </row>
    <row r="156" customFormat="1" s="87">
      <c r="A156" s="21" t="n">
        <v>37561</v>
      </c>
      <c r="B156" s="77">
        <f>IF(VLOOKUP(A156,Database!$A:$AS,MATCH($B$1,Database!$A$1:$AS$1,0),FALSE)=0,#N/A,VLOOKUP(A156,Database!$A:$AS,MATCH($B$1,Database!$A$1:$AS$1,0),FALSE))</f>
        <v/>
      </c>
      <c r="C156" s="77">
        <f>IF(VLOOKUP(A156,Database!$A:$AS,MATCH($C$1,Database!$A$1:$AS$1,0),FALSE)=0,#N/A,VLOOKUP(A156,Database!$A:$AS,MATCH($C$1,Database!$A$1:$AS$1,0),FALSE))</f>
        <v/>
      </c>
      <c r="D156" s="77">
        <f>IF(VLOOKUP(A156,Database!$A:$AS,MATCH($D$1,Database!$A$1:$AS$1,0),FALSE)=0,#N/A,VLOOKUP(A156,Database!$A:$AS,MATCH($D$1,Database!$A$1:$AS$1,0),FALSE))</f>
        <v/>
      </c>
      <c r="E156" s="77">
        <f>IF(VLOOKUP(A156,Database!$A:$AS,MATCH($E$1,Database!$A$1:$AS$1,0),FALSE)=0,#N/A,VLOOKUP(A156,Database!$A:$AS,MATCH($E$1,Database!$A$1:$AS$1,0),FALSE))</f>
        <v/>
      </c>
      <c r="F156" s="77">
        <f>IF(VLOOKUP(A156,Database!$A:$AS,MATCH($F$1,Database!$A$1:$AS$1,0),FALSE)=0,#N/A,VLOOKUP(A156,Database!$A:$AS,MATCH($F$1,Database!$A$1:$AS$1,0),FALSE))</f>
        <v/>
      </c>
      <c r="G156" s="77">
        <f>IF(VLOOKUP(A156,Database!$A:$AS,MATCH($G$1,Database!$A$1:$AS$1,0),FALSE)=0,#N/A,VLOOKUP(A156,Database!$A:$AS,MATCH($G$1,Database!$A$1:$AS$1,0),FALSE))</f>
        <v/>
      </c>
      <c r="H156" s="77">
        <f>(((Table134567891011121314151617343[[#This Row],[ITA]]-VLOOKUP($U$1,A:B,2,))/VLOOKUP($U$1,A:B,2,))*100)+100</f>
        <v/>
      </c>
      <c r="I156" s="77">
        <f>(((Table134567891011121314151617343[[#This Row],[FRA]]-VLOOKUP($U$1,A:C,3,))/VLOOKUP($U$1,A:C,3,))*100)+100</f>
        <v/>
      </c>
      <c r="J156" s="77">
        <f>(((Table134567891011121314151617343[[#This Row],[DEU]]-VLOOKUP($U$1,A:D,4,))/VLOOKUP($U$1,A:D,4,))*100)+100</f>
        <v/>
      </c>
      <c r="K156" s="77">
        <f>(((Table134567891011121314151617343[[#This Row],[ESP]]-VLOOKUP($U$1,A:E,5,))/VLOOKUP($U$1,A:E,5,))*100)+100</f>
        <v/>
      </c>
      <c r="L156" s="77">
        <f>(((Table134567891011121314151617343[[#This Row],[EA19]]-VLOOKUP($U$1,A:F,6,))/VLOOKUP($U$1,A:F,6,))*100)+100</f>
        <v/>
      </c>
      <c r="M156" s="77">
        <f>(((Table134567891011121314151617343[[#This Row],[GBR]]-VLOOKUP($U$1,A:G,7,))/VLOOKUP($U$1,A:G,7,))*100)+100</f>
        <v/>
      </c>
      <c r="N156" s="77">
        <f>IF(VLOOKUP(A156,Database!$A:$AU,MATCH($N$1,Database!$A$1:$AU$1,0),FALSE)=0,#N/A,VLOOKUP(A156,Database!$A:$AU,MATCH($N$1,Database!$A$1:$AU$1,0),FALSE))</f>
        <v/>
      </c>
      <c r="O156" s="77">
        <f>(((Table134567891011121314151617343[[#This Row],[USA]]-VLOOKUP($U$1,A:N,14,))/VLOOKUP($U$1,A:N,14,))*100)+100</f>
        <v/>
      </c>
      <c r="P156" s="77">
        <f>IF(VLOOKUP(A156,Database!$A:$AS,MATCH($P$1,Database!$A$1:$AS$1,0),FALSE)=0,#N/A,VLOOKUP(A156,Database!$A:$AS,MATCH($P$1,Database!$A$1:$AS$1,0),FALSE))</f>
        <v/>
      </c>
      <c r="Q156" s="77">
        <f>(((Table134567891011121314151617343[[#This Row],[JPN]]-VLOOKUP($U$1,A:Q,16,))/VLOOKUP($U$1,A:Q,16,))*100)+100</f>
        <v/>
      </c>
    </row>
    <row r="157" customFormat="1" s="87">
      <c r="A157" s="21" t="n">
        <v>37591</v>
      </c>
      <c r="B157" s="77">
        <f>IF(VLOOKUP(A157,Database!$A:$AS,MATCH($B$1,Database!$A$1:$AS$1,0),FALSE)=0,#N/A,VLOOKUP(A157,Database!$A:$AS,MATCH($B$1,Database!$A$1:$AS$1,0),FALSE))</f>
        <v/>
      </c>
      <c r="C157" s="77">
        <f>IF(VLOOKUP(A157,Database!$A:$AS,MATCH($C$1,Database!$A$1:$AS$1,0),FALSE)=0,#N/A,VLOOKUP(A157,Database!$A:$AS,MATCH($C$1,Database!$A$1:$AS$1,0),FALSE))</f>
        <v/>
      </c>
      <c r="D157" s="77">
        <f>IF(VLOOKUP(A157,Database!$A:$AS,MATCH($D$1,Database!$A$1:$AS$1,0),FALSE)=0,#N/A,VLOOKUP(A157,Database!$A:$AS,MATCH($D$1,Database!$A$1:$AS$1,0),FALSE))</f>
        <v/>
      </c>
      <c r="E157" s="77">
        <f>IF(VLOOKUP(A157,Database!$A:$AS,MATCH($E$1,Database!$A$1:$AS$1,0),FALSE)=0,#N/A,VLOOKUP(A157,Database!$A:$AS,MATCH($E$1,Database!$A$1:$AS$1,0),FALSE))</f>
        <v/>
      </c>
      <c r="F157" s="77">
        <f>IF(VLOOKUP(A157,Database!$A:$AS,MATCH($F$1,Database!$A$1:$AS$1,0),FALSE)=0,#N/A,VLOOKUP(A157,Database!$A:$AS,MATCH($F$1,Database!$A$1:$AS$1,0),FALSE))</f>
        <v/>
      </c>
      <c r="G157" s="77">
        <f>IF(VLOOKUP(A157,Database!$A:$AS,MATCH($G$1,Database!$A$1:$AS$1,0),FALSE)=0,#N/A,VLOOKUP(A157,Database!$A:$AS,MATCH($G$1,Database!$A$1:$AS$1,0),FALSE))</f>
        <v/>
      </c>
      <c r="H157" s="77">
        <f>(((Table134567891011121314151617343[[#This Row],[ITA]]-VLOOKUP($U$1,A:B,2,))/VLOOKUP($U$1,A:B,2,))*100)+100</f>
        <v/>
      </c>
      <c r="I157" s="77">
        <f>(((Table134567891011121314151617343[[#This Row],[FRA]]-VLOOKUP($U$1,A:C,3,))/VLOOKUP($U$1,A:C,3,))*100)+100</f>
        <v/>
      </c>
      <c r="J157" s="77">
        <f>(((Table134567891011121314151617343[[#This Row],[DEU]]-VLOOKUP($U$1,A:D,4,))/VLOOKUP($U$1,A:D,4,))*100)+100</f>
        <v/>
      </c>
      <c r="K157" s="77">
        <f>(((Table134567891011121314151617343[[#This Row],[ESP]]-VLOOKUP($U$1,A:E,5,))/VLOOKUP($U$1,A:E,5,))*100)+100</f>
        <v/>
      </c>
      <c r="L157" s="77">
        <f>(((Table134567891011121314151617343[[#This Row],[EA19]]-VLOOKUP($U$1,A:F,6,))/VLOOKUP($U$1,A:F,6,))*100)+100</f>
        <v/>
      </c>
      <c r="M157" s="77">
        <f>(((Table134567891011121314151617343[[#This Row],[GBR]]-VLOOKUP($U$1,A:G,7,))/VLOOKUP($U$1,A:G,7,))*100)+100</f>
        <v/>
      </c>
      <c r="N157" s="77">
        <f>IF(VLOOKUP(A157,Database!$A:$AU,MATCH($N$1,Database!$A$1:$AU$1,0),FALSE)=0,#N/A,VLOOKUP(A157,Database!$A:$AU,MATCH($N$1,Database!$A$1:$AU$1,0),FALSE))</f>
        <v/>
      </c>
      <c r="O157" s="77">
        <f>(((Table134567891011121314151617343[[#This Row],[USA]]-VLOOKUP($U$1,A:N,14,))/VLOOKUP($U$1,A:N,14,))*100)+100</f>
        <v/>
      </c>
      <c r="P157" s="77">
        <f>IF(VLOOKUP(A157,Database!$A:$AS,MATCH($P$1,Database!$A$1:$AS$1,0),FALSE)=0,#N/A,VLOOKUP(A157,Database!$A:$AS,MATCH($P$1,Database!$A$1:$AS$1,0),FALSE))</f>
        <v/>
      </c>
      <c r="Q157" s="77">
        <f>(((Table134567891011121314151617343[[#This Row],[JPN]]-VLOOKUP($U$1,A:Q,16,))/VLOOKUP($U$1,A:Q,16,))*100)+100</f>
        <v/>
      </c>
    </row>
    <row r="158" customFormat="1" s="87">
      <c r="A158" s="21" t="n">
        <v>37622</v>
      </c>
      <c r="B158" s="77">
        <f>IF(VLOOKUP(A158,Database!$A:$AS,MATCH($B$1,Database!$A$1:$AS$1,0),FALSE)=0,#N/A,VLOOKUP(A158,Database!$A:$AS,MATCH($B$1,Database!$A$1:$AS$1,0),FALSE))</f>
        <v/>
      </c>
      <c r="C158" s="77">
        <f>IF(VLOOKUP(A158,Database!$A:$AS,MATCH($C$1,Database!$A$1:$AS$1,0),FALSE)=0,#N/A,VLOOKUP(A158,Database!$A:$AS,MATCH($C$1,Database!$A$1:$AS$1,0),FALSE))</f>
        <v/>
      </c>
      <c r="D158" s="77">
        <f>IF(VLOOKUP(A158,Database!$A:$AS,MATCH($D$1,Database!$A$1:$AS$1,0),FALSE)=0,#N/A,VLOOKUP(A158,Database!$A:$AS,MATCH($D$1,Database!$A$1:$AS$1,0),FALSE))</f>
        <v/>
      </c>
      <c r="E158" s="77">
        <f>IF(VLOOKUP(A158,Database!$A:$AS,MATCH($E$1,Database!$A$1:$AS$1,0),FALSE)=0,#N/A,VLOOKUP(A158,Database!$A:$AS,MATCH($E$1,Database!$A$1:$AS$1,0),FALSE))</f>
        <v/>
      </c>
      <c r="F158" s="77">
        <f>IF(VLOOKUP(A158,Database!$A:$AS,MATCH($F$1,Database!$A$1:$AS$1,0),FALSE)=0,#N/A,VLOOKUP(A158,Database!$A:$AS,MATCH($F$1,Database!$A$1:$AS$1,0),FALSE))</f>
        <v/>
      </c>
      <c r="G158" s="77">
        <f>IF(VLOOKUP(A158,Database!$A:$AS,MATCH($G$1,Database!$A$1:$AS$1,0),FALSE)=0,#N/A,VLOOKUP(A158,Database!$A:$AS,MATCH($G$1,Database!$A$1:$AS$1,0),FALSE))</f>
        <v/>
      </c>
      <c r="H158" s="77">
        <f>(((Table134567891011121314151617343[[#This Row],[ITA]]-VLOOKUP($U$1,A:B,2,))/VLOOKUP($U$1,A:B,2,))*100)+100</f>
        <v/>
      </c>
      <c r="I158" s="77">
        <f>(((Table134567891011121314151617343[[#This Row],[FRA]]-VLOOKUP($U$1,A:C,3,))/VLOOKUP($U$1,A:C,3,))*100)+100</f>
        <v/>
      </c>
      <c r="J158" s="77">
        <f>(((Table134567891011121314151617343[[#This Row],[DEU]]-VLOOKUP($U$1,A:D,4,))/VLOOKUP($U$1,A:D,4,))*100)+100</f>
        <v/>
      </c>
      <c r="K158" s="77">
        <f>(((Table134567891011121314151617343[[#This Row],[ESP]]-VLOOKUP($U$1,A:E,5,))/VLOOKUP($U$1,A:E,5,))*100)+100</f>
        <v/>
      </c>
      <c r="L158" s="77">
        <f>(((Table134567891011121314151617343[[#This Row],[EA19]]-VLOOKUP($U$1,A:F,6,))/VLOOKUP($U$1,A:F,6,))*100)+100</f>
        <v/>
      </c>
      <c r="M158" s="77">
        <f>(((Table134567891011121314151617343[[#This Row],[GBR]]-VLOOKUP($U$1,A:G,7,))/VLOOKUP($U$1,A:G,7,))*100)+100</f>
        <v/>
      </c>
      <c r="N158" s="77">
        <f>IF(VLOOKUP(A158,Database!$A:$AU,MATCH($N$1,Database!$A$1:$AU$1,0),FALSE)=0,#N/A,VLOOKUP(A158,Database!$A:$AU,MATCH($N$1,Database!$A$1:$AU$1,0),FALSE))</f>
        <v/>
      </c>
      <c r="O158" s="77">
        <f>(((Table134567891011121314151617343[[#This Row],[USA]]-VLOOKUP($U$1,A:N,14,))/VLOOKUP($U$1,A:N,14,))*100)+100</f>
        <v/>
      </c>
      <c r="P158" s="77">
        <f>IF(VLOOKUP(A158,Database!$A:$AS,MATCH($P$1,Database!$A$1:$AS$1,0),FALSE)=0,#N/A,VLOOKUP(A158,Database!$A:$AS,MATCH($P$1,Database!$A$1:$AS$1,0),FALSE))</f>
        <v/>
      </c>
      <c r="Q158" s="77">
        <f>(((Table134567891011121314151617343[[#This Row],[JPN]]-VLOOKUP($U$1,A:Q,16,))/VLOOKUP($U$1,A:Q,16,))*100)+100</f>
        <v/>
      </c>
    </row>
    <row r="159" customFormat="1" s="87">
      <c r="A159" s="21" t="n">
        <v>37653</v>
      </c>
      <c r="B159" s="77">
        <f>IF(VLOOKUP(A159,Database!$A:$AS,MATCH($B$1,Database!$A$1:$AS$1,0),FALSE)=0,#N/A,VLOOKUP(A159,Database!$A:$AS,MATCH($B$1,Database!$A$1:$AS$1,0),FALSE))</f>
        <v/>
      </c>
      <c r="C159" s="77">
        <f>IF(VLOOKUP(A159,Database!$A:$AS,MATCH($C$1,Database!$A$1:$AS$1,0),FALSE)=0,#N/A,VLOOKUP(A159,Database!$A:$AS,MATCH($C$1,Database!$A$1:$AS$1,0),FALSE))</f>
        <v/>
      </c>
      <c r="D159" s="77">
        <f>IF(VLOOKUP(A159,Database!$A:$AS,MATCH($D$1,Database!$A$1:$AS$1,0),FALSE)=0,#N/A,VLOOKUP(A159,Database!$A:$AS,MATCH($D$1,Database!$A$1:$AS$1,0),FALSE))</f>
        <v/>
      </c>
      <c r="E159" s="77">
        <f>IF(VLOOKUP(A159,Database!$A:$AS,MATCH($E$1,Database!$A$1:$AS$1,0),FALSE)=0,#N/A,VLOOKUP(A159,Database!$A:$AS,MATCH($E$1,Database!$A$1:$AS$1,0),FALSE))</f>
        <v/>
      </c>
      <c r="F159" s="77">
        <f>IF(VLOOKUP(A159,Database!$A:$AS,MATCH($F$1,Database!$A$1:$AS$1,0),FALSE)=0,#N/A,VLOOKUP(A159,Database!$A:$AS,MATCH($F$1,Database!$A$1:$AS$1,0),FALSE))</f>
        <v/>
      </c>
      <c r="G159" s="77">
        <f>IF(VLOOKUP(A159,Database!$A:$AS,MATCH($G$1,Database!$A$1:$AS$1,0),FALSE)=0,#N/A,VLOOKUP(A159,Database!$A:$AS,MATCH($G$1,Database!$A$1:$AS$1,0),FALSE))</f>
        <v/>
      </c>
      <c r="H159" s="77">
        <f>(((Table134567891011121314151617343[[#This Row],[ITA]]-VLOOKUP($U$1,A:B,2,))/VLOOKUP($U$1,A:B,2,))*100)+100</f>
        <v/>
      </c>
      <c r="I159" s="77">
        <f>(((Table134567891011121314151617343[[#This Row],[FRA]]-VLOOKUP($U$1,A:C,3,))/VLOOKUP($U$1,A:C,3,))*100)+100</f>
        <v/>
      </c>
      <c r="J159" s="77">
        <f>(((Table134567891011121314151617343[[#This Row],[DEU]]-VLOOKUP($U$1,A:D,4,))/VLOOKUP($U$1,A:D,4,))*100)+100</f>
        <v/>
      </c>
      <c r="K159" s="77">
        <f>(((Table134567891011121314151617343[[#This Row],[ESP]]-VLOOKUP($U$1,A:E,5,))/VLOOKUP($U$1,A:E,5,))*100)+100</f>
        <v/>
      </c>
      <c r="L159" s="77">
        <f>(((Table134567891011121314151617343[[#This Row],[EA19]]-VLOOKUP($U$1,A:F,6,))/VLOOKUP($U$1,A:F,6,))*100)+100</f>
        <v/>
      </c>
      <c r="M159" s="77">
        <f>(((Table134567891011121314151617343[[#This Row],[GBR]]-VLOOKUP($U$1,A:G,7,))/VLOOKUP($U$1,A:G,7,))*100)+100</f>
        <v/>
      </c>
      <c r="N159" s="77">
        <f>IF(VLOOKUP(A159,Database!$A:$AU,MATCH($N$1,Database!$A$1:$AU$1,0),FALSE)=0,#N/A,VLOOKUP(A159,Database!$A:$AU,MATCH($N$1,Database!$A$1:$AU$1,0),FALSE))</f>
        <v/>
      </c>
      <c r="O159" s="77">
        <f>(((Table134567891011121314151617343[[#This Row],[USA]]-VLOOKUP($U$1,A:N,14,))/VLOOKUP($U$1,A:N,14,))*100)+100</f>
        <v/>
      </c>
      <c r="P159" s="77">
        <f>IF(VLOOKUP(A159,Database!$A:$AS,MATCH($P$1,Database!$A$1:$AS$1,0),FALSE)=0,#N/A,VLOOKUP(A159,Database!$A:$AS,MATCH($P$1,Database!$A$1:$AS$1,0),FALSE))</f>
        <v/>
      </c>
      <c r="Q159" s="77">
        <f>(((Table134567891011121314151617343[[#This Row],[JPN]]-VLOOKUP($U$1,A:Q,16,))/VLOOKUP($U$1,A:Q,16,))*100)+100</f>
        <v/>
      </c>
    </row>
    <row r="160" customFormat="1" s="87">
      <c r="A160" s="21" t="n">
        <v>37681</v>
      </c>
      <c r="B160" s="77">
        <f>IF(VLOOKUP(A160,Database!$A:$AS,MATCH($B$1,Database!$A$1:$AS$1,0),FALSE)=0,#N/A,VLOOKUP(A160,Database!$A:$AS,MATCH($B$1,Database!$A$1:$AS$1,0),FALSE))</f>
        <v/>
      </c>
      <c r="C160" s="77">
        <f>IF(VLOOKUP(A160,Database!$A:$AS,MATCH($C$1,Database!$A$1:$AS$1,0),FALSE)=0,#N/A,VLOOKUP(A160,Database!$A:$AS,MATCH($C$1,Database!$A$1:$AS$1,0),FALSE))</f>
        <v/>
      </c>
      <c r="D160" s="77">
        <f>IF(VLOOKUP(A160,Database!$A:$AS,MATCH($D$1,Database!$A$1:$AS$1,0),FALSE)=0,#N/A,VLOOKUP(A160,Database!$A:$AS,MATCH($D$1,Database!$A$1:$AS$1,0),FALSE))</f>
        <v/>
      </c>
      <c r="E160" s="77">
        <f>IF(VLOOKUP(A160,Database!$A:$AS,MATCH($E$1,Database!$A$1:$AS$1,0),FALSE)=0,#N/A,VLOOKUP(A160,Database!$A:$AS,MATCH($E$1,Database!$A$1:$AS$1,0),FALSE))</f>
        <v/>
      </c>
      <c r="F160" s="77">
        <f>IF(VLOOKUP(A160,Database!$A:$AS,MATCH($F$1,Database!$A$1:$AS$1,0),FALSE)=0,#N/A,VLOOKUP(A160,Database!$A:$AS,MATCH($F$1,Database!$A$1:$AS$1,0),FALSE))</f>
        <v/>
      </c>
      <c r="G160" s="77">
        <f>IF(VLOOKUP(A160,Database!$A:$AS,MATCH($G$1,Database!$A$1:$AS$1,0),FALSE)=0,#N/A,VLOOKUP(A160,Database!$A:$AS,MATCH($G$1,Database!$A$1:$AS$1,0),FALSE))</f>
        <v/>
      </c>
      <c r="H160" s="77">
        <f>(((Table134567891011121314151617343[[#This Row],[ITA]]-VLOOKUP($U$1,A:B,2,))/VLOOKUP($U$1,A:B,2,))*100)+100</f>
        <v/>
      </c>
      <c r="I160" s="77">
        <f>(((Table134567891011121314151617343[[#This Row],[FRA]]-VLOOKUP($U$1,A:C,3,))/VLOOKUP($U$1,A:C,3,))*100)+100</f>
        <v/>
      </c>
      <c r="J160" s="77">
        <f>(((Table134567891011121314151617343[[#This Row],[DEU]]-VLOOKUP($U$1,A:D,4,))/VLOOKUP($U$1,A:D,4,))*100)+100</f>
        <v/>
      </c>
      <c r="K160" s="77">
        <f>(((Table134567891011121314151617343[[#This Row],[ESP]]-VLOOKUP($U$1,A:E,5,))/VLOOKUP($U$1,A:E,5,))*100)+100</f>
        <v/>
      </c>
      <c r="L160" s="77">
        <f>(((Table134567891011121314151617343[[#This Row],[EA19]]-VLOOKUP($U$1,A:F,6,))/VLOOKUP($U$1,A:F,6,))*100)+100</f>
        <v/>
      </c>
      <c r="M160" s="77">
        <f>(((Table134567891011121314151617343[[#This Row],[GBR]]-VLOOKUP($U$1,A:G,7,))/VLOOKUP($U$1,A:G,7,))*100)+100</f>
        <v/>
      </c>
      <c r="N160" s="77">
        <f>IF(VLOOKUP(A160,Database!$A:$AU,MATCH($N$1,Database!$A$1:$AU$1,0),FALSE)=0,#N/A,VLOOKUP(A160,Database!$A:$AU,MATCH($N$1,Database!$A$1:$AU$1,0),FALSE))</f>
        <v/>
      </c>
      <c r="O160" s="77">
        <f>(((Table134567891011121314151617343[[#This Row],[USA]]-VLOOKUP($U$1,A:N,14,))/VLOOKUP($U$1,A:N,14,))*100)+100</f>
        <v/>
      </c>
      <c r="P160" s="77">
        <f>IF(VLOOKUP(A160,Database!$A:$AS,MATCH($P$1,Database!$A$1:$AS$1,0),FALSE)=0,#N/A,VLOOKUP(A160,Database!$A:$AS,MATCH($P$1,Database!$A$1:$AS$1,0),FALSE))</f>
        <v/>
      </c>
      <c r="Q160" s="77">
        <f>(((Table134567891011121314151617343[[#This Row],[JPN]]-VLOOKUP($U$1,A:Q,16,))/VLOOKUP($U$1,A:Q,16,))*100)+100</f>
        <v/>
      </c>
    </row>
    <row r="161" customFormat="1" s="87">
      <c r="A161" s="21" t="n">
        <v>37712</v>
      </c>
      <c r="B161" s="77">
        <f>IF(VLOOKUP(A161,Database!$A:$AS,MATCH($B$1,Database!$A$1:$AS$1,0),FALSE)=0,#N/A,VLOOKUP(A161,Database!$A:$AS,MATCH($B$1,Database!$A$1:$AS$1,0),FALSE))</f>
        <v/>
      </c>
      <c r="C161" s="77">
        <f>IF(VLOOKUP(A161,Database!$A:$AS,MATCH($C$1,Database!$A$1:$AS$1,0),FALSE)=0,#N/A,VLOOKUP(A161,Database!$A:$AS,MATCH($C$1,Database!$A$1:$AS$1,0),FALSE))</f>
        <v/>
      </c>
      <c r="D161" s="77">
        <f>IF(VLOOKUP(A161,Database!$A:$AS,MATCH($D$1,Database!$A$1:$AS$1,0),FALSE)=0,#N/A,VLOOKUP(A161,Database!$A:$AS,MATCH($D$1,Database!$A$1:$AS$1,0),FALSE))</f>
        <v/>
      </c>
      <c r="E161" s="77">
        <f>IF(VLOOKUP(A161,Database!$A:$AS,MATCH($E$1,Database!$A$1:$AS$1,0),FALSE)=0,#N/A,VLOOKUP(A161,Database!$A:$AS,MATCH($E$1,Database!$A$1:$AS$1,0),FALSE))</f>
        <v/>
      </c>
      <c r="F161" s="77">
        <f>IF(VLOOKUP(A161,Database!$A:$AS,MATCH($F$1,Database!$A$1:$AS$1,0),FALSE)=0,#N/A,VLOOKUP(A161,Database!$A:$AS,MATCH($F$1,Database!$A$1:$AS$1,0),FALSE))</f>
        <v/>
      </c>
      <c r="G161" s="77">
        <f>IF(VLOOKUP(A161,Database!$A:$AS,MATCH($G$1,Database!$A$1:$AS$1,0),FALSE)=0,#N/A,VLOOKUP(A161,Database!$A:$AS,MATCH($G$1,Database!$A$1:$AS$1,0),FALSE))</f>
        <v/>
      </c>
      <c r="H161" s="77">
        <f>(((Table134567891011121314151617343[[#This Row],[ITA]]-VLOOKUP($U$1,A:B,2,))/VLOOKUP($U$1,A:B,2,))*100)+100</f>
        <v/>
      </c>
      <c r="I161" s="77">
        <f>(((Table134567891011121314151617343[[#This Row],[FRA]]-VLOOKUP($U$1,A:C,3,))/VLOOKUP($U$1,A:C,3,))*100)+100</f>
        <v/>
      </c>
      <c r="J161" s="77">
        <f>(((Table134567891011121314151617343[[#This Row],[DEU]]-VLOOKUP($U$1,A:D,4,))/VLOOKUP($U$1,A:D,4,))*100)+100</f>
        <v/>
      </c>
      <c r="K161" s="77">
        <f>(((Table134567891011121314151617343[[#This Row],[ESP]]-VLOOKUP($U$1,A:E,5,))/VLOOKUP($U$1,A:E,5,))*100)+100</f>
        <v/>
      </c>
      <c r="L161" s="77">
        <f>(((Table134567891011121314151617343[[#This Row],[EA19]]-VLOOKUP($U$1,A:F,6,))/VLOOKUP($U$1,A:F,6,))*100)+100</f>
        <v/>
      </c>
      <c r="M161" s="77">
        <f>(((Table134567891011121314151617343[[#This Row],[GBR]]-VLOOKUP($U$1,A:G,7,))/VLOOKUP($U$1,A:G,7,))*100)+100</f>
        <v/>
      </c>
      <c r="N161" s="77">
        <f>IF(VLOOKUP(A161,Database!$A:$AU,MATCH($N$1,Database!$A$1:$AU$1,0),FALSE)=0,#N/A,VLOOKUP(A161,Database!$A:$AU,MATCH($N$1,Database!$A$1:$AU$1,0),FALSE))</f>
        <v/>
      </c>
      <c r="O161" s="77">
        <f>(((Table134567891011121314151617343[[#This Row],[USA]]-VLOOKUP($U$1,A:N,14,))/VLOOKUP($U$1,A:N,14,))*100)+100</f>
        <v/>
      </c>
      <c r="P161" s="77">
        <f>IF(VLOOKUP(A161,Database!$A:$AS,MATCH($P$1,Database!$A$1:$AS$1,0),FALSE)=0,#N/A,VLOOKUP(A161,Database!$A:$AS,MATCH($P$1,Database!$A$1:$AS$1,0),FALSE))</f>
        <v/>
      </c>
      <c r="Q161" s="77">
        <f>(((Table134567891011121314151617343[[#This Row],[JPN]]-VLOOKUP($U$1,A:Q,16,))/VLOOKUP($U$1,A:Q,16,))*100)+100</f>
        <v/>
      </c>
    </row>
    <row r="162" customFormat="1" s="87">
      <c r="A162" s="21" t="n">
        <v>37742</v>
      </c>
      <c r="B162" s="77">
        <f>IF(VLOOKUP(A162,Database!$A:$AS,MATCH($B$1,Database!$A$1:$AS$1,0),FALSE)=0,#N/A,VLOOKUP(A162,Database!$A:$AS,MATCH($B$1,Database!$A$1:$AS$1,0),FALSE))</f>
        <v/>
      </c>
      <c r="C162" s="77">
        <f>IF(VLOOKUP(A162,Database!$A:$AS,MATCH($C$1,Database!$A$1:$AS$1,0),FALSE)=0,#N/A,VLOOKUP(A162,Database!$A:$AS,MATCH($C$1,Database!$A$1:$AS$1,0),FALSE))</f>
        <v/>
      </c>
      <c r="D162" s="77">
        <f>IF(VLOOKUP(A162,Database!$A:$AS,MATCH($D$1,Database!$A$1:$AS$1,0),FALSE)=0,#N/A,VLOOKUP(A162,Database!$A:$AS,MATCH($D$1,Database!$A$1:$AS$1,0),FALSE))</f>
        <v/>
      </c>
      <c r="E162" s="77">
        <f>IF(VLOOKUP(A162,Database!$A:$AS,MATCH($E$1,Database!$A$1:$AS$1,0),FALSE)=0,#N/A,VLOOKUP(A162,Database!$A:$AS,MATCH($E$1,Database!$A$1:$AS$1,0),FALSE))</f>
        <v/>
      </c>
      <c r="F162" s="77">
        <f>IF(VLOOKUP(A162,Database!$A:$AS,MATCH($F$1,Database!$A$1:$AS$1,0),FALSE)=0,#N/A,VLOOKUP(A162,Database!$A:$AS,MATCH($F$1,Database!$A$1:$AS$1,0),FALSE))</f>
        <v/>
      </c>
      <c r="G162" s="77">
        <f>IF(VLOOKUP(A162,Database!$A:$AS,MATCH($G$1,Database!$A$1:$AS$1,0),FALSE)=0,#N/A,VLOOKUP(A162,Database!$A:$AS,MATCH($G$1,Database!$A$1:$AS$1,0),FALSE))</f>
        <v/>
      </c>
      <c r="H162" s="77">
        <f>(((Table134567891011121314151617343[[#This Row],[ITA]]-VLOOKUP($U$1,A:B,2,))/VLOOKUP($U$1,A:B,2,))*100)+100</f>
        <v/>
      </c>
      <c r="I162" s="77">
        <f>(((Table134567891011121314151617343[[#This Row],[FRA]]-VLOOKUP($U$1,A:C,3,))/VLOOKUP($U$1,A:C,3,))*100)+100</f>
        <v/>
      </c>
      <c r="J162" s="77">
        <f>(((Table134567891011121314151617343[[#This Row],[DEU]]-VLOOKUP($U$1,A:D,4,))/VLOOKUP($U$1,A:D,4,))*100)+100</f>
        <v/>
      </c>
      <c r="K162" s="77">
        <f>(((Table134567891011121314151617343[[#This Row],[ESP]]-VLOOKUP($U$1,A:E,5,))/VLOOKUP($U$1,A:E,5,))*100)+100</f>
        <v/>
      </c>
      <c r="L162" s="77">
        <f>(((Table134567891011121314151617343[[#This Row],[EA19]]-VLOOKUP($U$1,A:F,6,))/VLOOKUP($U$1,A:F,6,))*100)+100</f>
        <v/>
      </c>
      <c r="M162" s="77">
        <f>(((Table134567891011121314151617343[[#This Row],[GBR]]-VLOOKUP($U$1,A:G,7,))/VLOOKUP($U$1,A:G,7,))*100)+100</f>
        <v/>
      </c>
      <c r="N162" s="77">
        <f>IF(VLOOKUP(A162,Database!$A:$AU,MATCH($N$1,Database!$A$1:$AU$1,0),FALSE)=0,#N/A,VLOOKUP(A162,Database!$A:$AU,MATCH($N$1,Database!$A$1:$AU$1,0),FALSE))</f>
        <v/>
      </c>
      <c r="O162" s="77">
        <f>(((Table134567891011121314151617343[[#This Row],[USA]]-VLOOKUP($U$1,A:N,14,))/VLOOKUP($U$1,A:N,14,))*100)+100</f>
        <v/>
      </c>
      <c r="P162" s="77">
        <f>IF(VLOOKUP(A162,Database!$A:$AS,MATCH($P$1,Database!$A$1:$AS$1,0),FALSE)=0,#N/A,VLOOKUP(A162,Database!$A:$AS,MATCH($P$1,Database!$A$1:$AS$1,0),FALSE))</f>
        <v/>
      </c>
      <c r="Q162" s="77">
        <f>(((Table134567891011121314151617343[[#This Row],[JPN]]-VLOOKUP($U$1,A:Q,16,))/VLOOKUP($U$1,A:Q,16,))*100)+100</f>
        <v/>
      </c>
    </row>
    <row r="163" customFormat="1" s="87">
      <c r="A163" s="21" t="n">
        <v>37773</v>
      </c>
      <c r="B163" s="77">
        <f>IF(VLOOKUP(A163,Database!$A:$AS,MATCH($B$1,Database!$A$1:$AS$1,0),FALSE)=0,#N/A,VLOOKUP(A163,Database!$A:$AS,MATCH($B$1,Database!$A$1:$AS$1,0),FALSE))</f>
        <v/>
      </c>
      <c r="C163" s="77">
        <f>IF(VLOOKUP(A163,Database!$A:$AS,MATCH($C$1,Database!$A$1:$AS$1,0),FALSE)=0,#N/A,VLOOKUP(A163,Database!$A:$AS,MATCH($C$1,Database!$A$1:$AS$1,0),FALSE))</f>
        <v/>
      </c>
      <c r="D163" s="77">
        <f>IF(VLOOKUP(A163,Database!$A:$AS,MATCH($D$1,Database!$A$1:$AS$1,0),FALSE)=0,#N/A,VLOOKUP(A163,Database!$A:$AS,MATCH($D$1,Database!$A$1:$AS$1,0),FALSE))</f>
        <v/>
      </c>
      <c r="E163" s="77">
        <f>IF(VLOOKUP(A163,Database!$A:$AS,MATCH($E$1,Database!$A$1:$AS$1,0),FALSE)=0,#N/A,VLOOKUP(A163,Database!$A:$AS,MATCH($E$1,Database!$A$1:$AS$1,0),FALSE))</f>
        <v/>
      </c>
      <c r="F163" s="77">
        <f>IF(VLOOKUP(A163,Database!$A:$AS,MATCH($F$1,Database!$A$1:$AS$1,0),FALSE)=0,#N/A,VLOOKUP(A163,Database!$A:$AS,MATCH($F$1,Database!$A$1:$AS$1,0),FALSE))</f>
        <v/>
      </c>
      <c r="G163" s="77">
        <f>IF(VLOOKUP(A163,Database!$A:$AS,MATCH($G$1,Database!$A$1:$AS$1,0),FALSE)=0,#N/A,VLOOKUP(A163,Database!$A:$AS,MATCH($G$1,Database!$A$1:$AS$1,0),FALSE))</f>
        <v/>
      </c>
      <c r="H163" s="77">
        <f>(((Table134567891011121314151617343[[#This Row],[ITA]]-VLOOKUP($U$1,A:B,2,))/VLOOKUP($U$1,A:B,2,))*100)+100</f>
        <v/>
      </c>
      <c r="I163" s="77">
        <f>(((Table134567891011121314151617343[[#This Row],[FRA]]-VLOOKUP($U$1,A:C,3,))/VLOOKUP($U$1,A:C,3,))*100)+100</f>
        <v/>
      </c>
      <c r="J163" s="77">
        <f>(((Table134567891011121314151617343[[#This Row],[DEU]]-VLOOKUP($U$1,A:D,4,))/VLOOKUP($U$1,A:D,4,))*100)+100</f>
        <v/>
      </c>
      <c r="K163" s="77">
        <f>(((Table134567891011121314151617343[[#This Row],[ESP]]-VLOOKUP($U$1,A:E,5,))/VLOOKUP($U$1,A:E,5,))*100)+100</f>
        <v/>
      </c>
      <c r="L163" s="77">
        <f>(((Table134567891011121314151617343[[#This Row],[EA19]]-VLOOKUP($U$1,A:F,6,))/VLOOKUP($U$1,A:F,6,))*100)+100</f>
        <v/>
      </c>
      <c r="M163" s="77">
        <f>(((Table134567891011121314151617343[[#This Row],[GBR]]-VLOOKUP($U$1,A:G,7,))/VLOOKUP($U$1,A:G,7,))*100)+100</f>
        <v/>
      </c>
      <c r="N163" s="77">
        <f>IF(VLOOKUP(A163,Database!$A:$AU,MATCH($N$1,Database!$A$1:$AU$1,0),FALSE)=0,#N/A,VLOOKUP(A163,Database!$A:$AU,MATCH($N$1,Database!$A$1:$AU$1,0),FALSE))</f>
        <v/>
      </c>
      <c r="O163" s="77">
        <f>(((Table134567891011121314151617343[[#This Row],[USA]]-VLOOKUP($U$1,A:N,14,))/VLOOKUP($U$1,A:N,14,))*100)+100</f>
        <v/>
      </c>
      <c r="P163" s="77">
        <f>IF(VLOOKUP(A163,Database!$A:$AS,MATCH($P$1,Database!$A$1:$AS$1,0),FALSE)=0,#N/A,VLOOKUP(A163,Database!$A:$AS,MATCH($P$1,Database!$A$1:$AS$1,0),FALSE))</f>
        <v/>
      </c>
      <c r="Q163" s="77">
        <f>(((Table134567891011121314151617343[[#This Row],[JPN]]-VLOOKUP($U$1,A:Q,16,))/VLOOKUP($U$1,A:Q,16,))*100)+100</f>
        <v/>
      </c>
    </row>
    <row r="164" customFormat="1" s="87">
      <c r="A164" s="21" t="n">
        <v>37803</v>
      </c>
      <c r="B164" s="77">
        <f>IF(VLOOKUP(A164,Database!$A:$AS,MATCH($B$1,Database!$A$1:$AS$1,0),FALSE)=0,#N/A,VLOOKUP(A164,Database!$A:$AS,MATCH($B$1,Database!$A$1:$AS$1,0),FALSE))</f>
        <v/>
      </c>
      <c r="C164" s="77">
        <f>IF(VLOOKUP(A164,Database!$A:$AS,MATCH($C$1,Database!$A$1:$AS$1,0),FALSE)=0,#N/A,VLOOKUP(A164,Database!$A:$AS,MATCH($C$1,Database!$A$1:$AS$1,0),FALSE))</f>
        <v/>
      </c>
      <c r="D164" s="77">
        <f>IF(VLOOKUP(A164,Database!$A:$AS,MATCH($D$1,Database!$A$1:$AS$1,0),FALSE)=0,#N/A,VLOOKUP(A164,Database!$A:$AS,MATCH($D$1,Database!$A$1:$AS$1,0),FALSE))</f>
        <v/>
      </c>
      <c r="E164" s="77">
        <f>IF(VLOOKUP(A164,Database!$A:$AS,MATCH($E$1,Database!$A$1:$AS$1,0),FALSE)=0,#N/A,VLOOKUP(A164,Database!$A:$AS,MATCH($E$1,Database!$A$1:$AS$1,0),FALSE))</f>
        <v/>
      </c>
      <c r="F164" s="77">
        <f>IF(VLOOKUP(A164,Database!$A:$AS,MATCH($F$1,Database!$A$1:$AS$1,0),FALSE)=0,#N/A,VLOOKUP(A164,Database!$A:$AS,MATCH($F$1,Database!$A$1:$AS$1,0),FALSE))</f>
        <v/>
      </c>
      <c r="G164" s="77">
        <f>IF(VLOOKUP(A164,Database!$A:$AS,MATCH($G$1,Database!$A$1:$AS$1,0),FALSE)=0,#N/A,VLOOKUP(A164,Database!$A:$AS,MATCH($G$1,Database!$A$1:$AS$1,0),FALSE))</f>
        <v/>
      </c>
      <c r="H164" s="77">
        <f>(((Table134567891011121314151617343[[#This Row],[ITA]]-VLOOKUP($U$1,A:B,2,))/VLOOKUP($U$1,A:B,2,))*100)+100</f>
        <v/>
      </c>
      <c r="I164" s="77">
        <f>(((Table134567891011121314151617343[[#This Row],[FRA]]-VLOOKUP($U$1,A:C,3,))/VLOOKUP($U$1,A:C,3,))*100)+100</f>
        <v/>
      </c>
      <c r="J164" s="77">
        <f>(((Table134567891011121314151617343[[#This Row],[DEU]]-VLOOKUP($U$1,A:D,4,))/VLOOKUP($U$1,A:D,4,))*100)+100</f>
        <v/>
      </c>
      <c r="K164" s="77">
        <f>(((Table134567891011121314151617343[[#This Row],[ESP]]-VLOOKUP($U$1,A:E,5,))/VLOOKUP($U$1,A:E,5,))*100)+100</f>
        <v/>
      </c>
      <c r="L164" s="77">
        <f>(((Table134567891011121314151617343[[#This Row],[EA19]]-VLOOKUP($U$1,A:F,6,))/VLOOKUP($U$1,A:F,6,))*100)+100</f>
        <v/>
      </c>
      <c r="M164" s="77">
        <f>(((Table134567891011121314151617343[[#This Row],[GBR]]-VLOOKUP($U$1,A:G,7,))/VLOOKUP($U$1,A:G,7,))*100)+100</f>
        <v/>
      </c>
      <c r="N164" s="77">
        <f>IF(VLOOKUP(A164,Database!$A:$AU,MATCH($N$1,Database!$A$1:$AU$1,0),FALSE)=0,#N/A,VLOOKUP(A164,Database!$A:$AU,MATCH($N$1,Database!$A$1:$AU$1,0),FALSE))</f>
        <v/>
      </c>
      <c r="O164" s="77">
        <f>(((Table134567891011121314151617343[[#This Row],[USA]]-VLOOKUP($U$1,A:N,14,))/VLOOKUP($U$1,A:N,14,))*100)+100</f>
        <v/>
      </c>
      <c r="P164" s="77">
        <f>IF(VLOOKUP(A164,Database!$A:$AS,MATCH($P$1,Database!$A$1:$AS$1,0),FALSE)=0,#N/A,VLOOKUP(A164,Database!$A:$AS,MATCH($P$1,Database!$A$1:$AS$1,0),FALSE))</f>
        <v/>
      </c>
      <c r="Q164" s="77">
        <f>(((Table134567891011121314151617343[[#This Row],[JPN]]-VLOOKUP($U$1,A:Q,16,))/VLOOKUP($U$1,A:Q,16,))*100)+100</f>
        <v/>
      </c>
    </row>
    <row r="165" customFormat="1" s="87">
      <c r="A165" s="21" t="n">
        <v>37834</v>
      </c>
      <c r="B165" s="77">
        <f>IF(VLOOKUP(A165,Database!$A:$AS,MATCH($B$1,Database!$A$1:$AS$1,0),FALSE)=0,#N/A,VLOOKUP(A165,Database!$A:$AS,MATCH($B$1,Database!$A$1:$AS$1,0),FALSE))</f>
        <v/>
      </c>
      <c r="C165" s="77">
        <f>IF(VLOOKUP(A165,Database!$A:$AS,MATCH($C$1,Database!$A$1:$AS$1,0),FALSE)=0,#N/A,VLOOKUP(A165,Database!$A:$AS,MATCH($C$1,Database!$A$1:$AS$1,0),FALSE))</f>
        <v/>
      </c>
      <c r="D165" s="77">
        <f>IF(VLOOKUP(A165,Database!$A:$AS,MATCH($D$1,Database!$A$1:$AS$1,0),FALSE)=0,#N/A,VLOOKUP(A165,Database!$A:$AS,MATCH($D$1,Database!$A$1:$AS$1,0),FALSE))</f>
        <v/>
      </c>
      <c r="E165" s="77">
        <f>IF(VLOOKUP(A165,Database!$A:$AS,MATCH($E$1,Database!$A$1:$AS$1,0),FALSE)=0,#N/A,VLOOKUP(A165,Database!$A:$AS,MATCH($E$1,Database!$A$1:$AS$1,0),FALSE))</f>
        <v/>
      </c>
      <c r="F165" s="77">
        <f>IF(VLOOKUP(A165,Database!$A:$AS,MATCH($F$1,Database!$A$1:$AS$1,0),FALSE)=0,#N/A,VLOOKUP(A165,Database!$A:$AS,MATCH($F$1,Database!$A$1:$AS$1,0),FALSE))</f>
        <v/>
      </c>
      <c r="G165" s="77">
        <f>IF(VLOOKUP(A165,Database!$A:$AS,MATCH($G$1,Database!$A$1:$AS$1,0),FALSE)=0,#N/A,VLOOKUP(A165,Database!$A:$AS,MATCH($G$1,Database!$A$1:$AS$1,0),FALSE))</f>
        <v/>
      </c>
      <c r="H165" s="77">
        <f>(((Table134567891011121314151617343[[#This Row],[ITA]]-VLOOKUP($U$1,A:B,2,))/VLOOKUP($U$1,A:B,2,))*100)+100</f>
        <v/>
      </c>
      <c r="I165" s="77">
        <f>(((Table134567891011121314151617343[[#This Row],[FRA]]-VLOOKUP($U$1,A:C,3,))/VLOOKUP($U$1,A:C,3,))*100)+100</f>
        <v/>
      </c>
      <c r="J165" s="77">
        <f>(((Table134567891011121314151617343[[#This Row],[DEU]]-VLOOKUP($U$1,A:D,4,))/VLOOKUP($U$1,A:D,4,))*100)+100</f>
        <v/>
      </c>
      <c r="K165" s="77">
        <f>(((Table134567891011121314151617343[[#This Row],[ESP]]-VLOOKUP($U$1,A:E,5,))/VLOOKUP($U$1,A:E,5,))*100)+100</f>
        <v/>
      </c>
      <c r="L165" s="77">
        <f>(((Table134567891011121314151617343[[#This Row],[EA19]]-VLOOKUP($U$1,A:F,6,))/VLOOKUP($U$1,A:F,6,))*100)+100</f>
        <v/>
      </c>
      <c r="M165" s="77">
        <f>(((Table134567891011121314151617343[[#This Row],[GBR]]-VLOOKUP($U$1,A:G,7,))/VLOOKUP($U$1,A:G,7,))*100)+100</f>
        <v/>
      </c>
      <c r="N165" s="77">
        <f>IF(VLOOKUP(A165,Database!$A:$AU,MATCH($N$1,Database!$A$1:$AU$1,0),FALSE)=0,#N/A,VLOOKUP(A165,Database!$A:$AU,MATCH($N$1,Database!$A$1:$AU$1,0),FALSE))</f>
        <v/>
      </c>
      <c r="O165" s="77">
        <f>(((Table134567891011121314151617343[[#This Row],[USA]]-VLOOKUP($U$1,A:N,14,))/VLOOKUP($U$1,A:N,14,))*100)+100</f>
        <v/>
      </c>
      <c r="P165" s="77">
        <f>IF(VLOOKUP(A165,Database!$A:$AS,MATCH($P$1,Database!$A$1:$AS$1,0),FALSE)=0,#N/A,VLOOKUP(A165,Database!$A:$AS,MATCH($P$1,Database!$A$1:$AS$1,0),FALSE))</f>
        <v/>
      </c>
      <c r="Q165" s="77">
        <f>(((Table134567891011121314151617343[[#This Row],[JPN]]-VLOOKUP($U$1,A:Q,16,))/VLOOKUP($U$1,A:Q,16,))*100)+100</f>
        <v/>
      </c>
    </row>
    <row r="166" customFormat="1" s="87">
      <c r="A166" s="21" t="n">
        <v>37865</v>
      </c>
      <c r="B166" s="77">
        <f>IF(VLOOKUP(A166,Database!$A:$AS,MATCH($B$1,Database!$A$1:$AS$1,0),FALSE)=0,#N/A,VLOOKUP(A166,Database!$A:$AS,MATCH($B$1,Database!$A$1:$AS$1,0),FALSE))</f>
        <v/>
      </c>
      <c r="C166" s="77">
        <f>IF(VLOOKUP(A166,Database!$A:$AS,MATCH($C$1,Database!$A$1:$AS$1,0),FALSE)=0,#N/A,VLOOKUP(A166,Database!$A:$AS,MATCH($C$1,Database!$A$1:$AS$1,0),FALSE))</f>
        <v/>
      </c>
      <c r="D166" s="77">
        <f>IF(VLOOKUP(A166,Database!$A:$AS,MATCH($D$1,Database!$A$1:$AS$1,0),FALSE)=0,#N/A,VLOOKUP(A166,Database!$A:$AS,MATCH($D$1,Database!$A$1:$AS$1,0),FALSE))</f>
        <v/>
      </c>
      <c r="E166" s="77">
        <f>IF(VLOOKUP(A166,Database!$A:$AS,MATCH($E$1,Database!$A$1:$AS$1,0),FALSE)=0,#N/A,VLOOKUP(A166,Database!$A:$AS,MATCH($E$1,Database!$A$1:$AS$1,0),FALSE))</f>
        <v/>
      </c>
      <c r="F166" s="77">
        <f>IF(VLOOKUP(A166,Database!$A:$AS,MATCH($F$1,Database!$A$1:$AS$1,0),FALSE)=0,#N/A,VLOOKUP(A166,Database!$A:$AS,MATCH($F$1,Database!$A$1:$AS$1,0),FALSE))</f>
        <v/>
      </c>
      <c r="G166" s="77">
        <f>IF(VLOOKUP(A166,Database!$A:$AS,MATCH($G$1,Database!$A$1:$AS$1,0),FALSE)=0,#N/A,VLOOKUP(A166,Database!$A:$AS,MATCH($G$1,Database!$A$1:$AS$1,0),FALSE))</f>
        <v/>
      </c>
      <c r="H166" s="77">
        <f>(((Table134567891011121314151617343[[#This Row],[ITA]]-VLOOKUP($U$1,A:B,2,))/VLOOKUP($U$1,A:B,2,))*100)+100</f>
        <v/>
      </c>
      <c r="I166" s="77">
        <f>(((Table134567891011121314151617343[[#This Row],[FRA]]-VLOOKUP($U$1,A:C,3,))/VLOOKUP($U$1,A:C,3,))*100)+100</f>
        <v/>
      </c>
      <c r="J166" s="77">
        <f>(((Table134567891011121314151617343[[#This Row],[DEU]]-VLOOKUP($U$1,A:D,4,))/VLOOKUP($U$1,A:D,4,))*100)+100</f>
        <v/>
      </c>
      <c r="K166" s="77">
        <f>(((Table134567891011121314151617343[[#This Row],[ESP]]-VLOOKUP($U$1,A:E,5,))/VLOOKUP($U$1,A:E,5,))*100)+100</f>
        <v/>
      </c>
      <c r="L166" s="77">
        <f>(((Table134567891011121314151617343[[#This Row],[EA19]]-VLOOKUP($U$1,A:F,6,))/VLOOKUP($U$1,A:F,6,))*100)+100</f>
        <v/>
      </c>
      <c r="M166" s="77">
        <f>(((Table134567891011121314151617343[[#This Row],[GBR]]-VLOOKUP($U$1,A:G,7,))/VLOOKUP($U$1,A:G,7,))*100)+100</f>
        <v/>
      </c>
      <c r="N166" s="77">
        <f>IF(VLOOKUP(A166,Database!$A:$AU,MATCH($N$1,Database!$A$1:$AU$1,0),FALSE)=0,#N/A,VLOOKUP(A166,Database!$A:$AU,MATCH($N$1,Database!$A$1:$AU$1,0),FALSE))</f>
        <v/>
      </c>
      <c r="O166" s="77">
        <f>(((Table134567891011121314151617343[[#This Row],[USA]]-VLOOKUP($U$1,A:N,14,))/VLOOKUP($U$1,A:N,14,))*100)+100</f>
        <v/>
      </c>
      <c r="P166" s="77">
        <f>IF(VLOOKUP(A166,Database!$A:$AS,MATCH($P$1,Database!$A$1:$AS$1,0),FALSE)=0,#N/A,VLOOKUP(A166,Database!$A:$AS,MATCH($P$1,Database!$A$1:$AS$1,0),FALSE))</f>
        <v/>
      </c>
      <c r="Q166" s="77">
        <f>(((Table134567891011121314151617343[[#This Row],[JPN]]-VLOOKUP($U$1,A:Q,16,))/VLOOKUP($U$1,A:Q,16,))*100)+100</f>
        <v/>
      </c>
    </row>
    <row r="167" customFormat="1" s="87">
      <c r="A167" s="21" t="n">
        <v>37895</v>
      </c>
      <c r="B167" s="77">
        <f>IF(VLOOKUP(A167,Database!$A:$AS,MATCH($B$1,Database!$A$1:$AS$1,0),FALSE)=0,#N/A,VLOOKUP(A167,Database!$A:$AS,MATCH($B$1,Database!$A$1:$AS$1,0),FALSE))</f>
        <v/>
      </c>
      <c r="C167" s="77">
        <f>IF(VLOOKUP(A167,Database!$A:$AS,MATCH($C$1,Database!$A$1:$AS$1,0),FALSE)=0,#N/A,VLOOKUP(A167,Database!$A:$AS,MATCH($C$1,Database!$A$1:$AS$1,0),FALSE))</f>
        <v/>
      </c>
      <c r="D167" s="77">
        <f>IF(VLOOKUP(A167,Database!$A:$AS,MATCH($D$1,Database!$A$1:$AS$1,0),FALSE)=0,#N/A,VLOOKUP(A167,Database!$A:$AS,MATCH($D$1,Database!$A$1:$AS$1,0),FALSE))</f>
        <v/>
      </c>
      <c r="E167" s="77">
        <f>IF(VLOOKUP(A167,Database!$A:$AS,MATCH($E$1,Database!$A$1:$AS$1,0),FALSE)=0,#N/A,VLOOKUP(A167,Database!$A:$AS,MATCH($E$1,Database!$A$1:$AS$1,0),FALSE))</f>
        <v/>
      </c>
      <c r="F167" s="77">
        <f>IF(VLOOKUP(A167,Database!$A:$AS,MATCH($F$1,Database!$A$1:$AS$1,0),FALSE)=0,#N/A,VLOOKUP(A167,Database!$A:$AS,MATCH($F$1,Database!$A$1:$AS$1,0),FALSE))</f>
        <v/>
      </c>
      <c r="G167" s="77">
        <f>IF(VLOOKUP(A167,Database!$A:$AS,MATCH($G$1,Database!$A$1:$AS$1,0),FALSE)=0,#N/A,VLOOKUP(A167,Database!$A:$AS,MATCH($G$1,Database!$A$1:$AS$1,0),FALSE))</f>
        <v/>
      </c>
      <c r="H167" s="77">
        <f>(((Table134567891011121314151617343[[#This Row],[ITA]]-VLOOKUP($U$1,A:B,2,))/VLOOKUP($U$1,A:B,2,))*100)+100</f>
        <v/>
      </c>
      <c r="I167" s="77">
        <f>(((Table134567891011121314151617343[[#This Row],[FRA]]-VLOOKUP($U$1,A:C,3,))/VLOOKUP($U$1,A:C,3,))*100)+100</f>
        <v/>
      </c>
      <c r="J167" s="77">
        <f>(((Table134567891011121314151617343[[#This Row],[DEU]]-VLOOKUP($U$1,A:D,4,))/VLOOKUP($U$1,A:D,4,))*100)+100</f>
        <v/>
      </c>
      <c r="K167" s="77">
        <f>(((Table134567891011121314151617343[[#This Row],[ESP]]-VLOOKUP($U$1,A:E,5,))/VLOOKUP($U$1,A:E,5,))*100)+100</f>
        <v/>
      </c>
      <c r="L167" s="77">
        <f>(((Table134567891011121314151617343[[#This Row],[EA19]]-VLOOKUP($U$1,A:F,6,))/VLOOKUP($U$1,A:F,6,))*100)+100</f>
        <v/>
      </c>
      <c r="M167" s="77">
        <f>(((Table134567891011121314151617343[[#This Row],[GBR]]-VLOOKUP($U$1,A:G,7,))/VLOOKUP($U$1,A:G,7,))*100)+100</f>
        <v/>
      </c>
      <c r="N167" s="77">
        <f>IF(VLOOKUP(A167,Database!$A:$AU,MATCH($N$1,Database!$A$1:$AU$1,0),FALSE)=0,#N/A,VLOOKUP(A167,Database!$A:$AU,MATCH($N$1,Database!$A$1:$AU$1,0),FALSE))</f>
        <v/>
      </c>
      <c r="O167" s="77">
        <f>(((Table134567891011121314151617343[[#This Row],[USA]]-VLOOKUP($U$1,A:N,14,))/VLOOKUP($U$1,A:N,14,))*100)+100</f>
        <v/>
      </c>
      <c r="P167" s="77">
        <f>IF(VLOOKUP(A167,Database!$A:$AS,MATCH($P$1,Database!$A$1:$AS$1,0),FALSE)=0,#N/A,VLOOKUP(A167,Database!$A:$AS,MATCH($P$1,Database!$A$1:$AS$1,0),FALSE))</f>
        <v/>
      </c>
      <c r="Q167" s="77">
        <f>(((Table134567891011121314151617343[[#This Row],[JPN]]-VLOOKUP($U$1,A:Q,16,))/VLOOKUP($U$1,A:Q,16,))*100)+100</f>
        <v/>
      </c>
    </row>
    <row r="168" customFormat="1" s="87">
      <c r="A168" s="21" t="n">
        <v>37926</v>
      </c>
      <c r="B168" s="77">
        <f>IF(VLOOKUP(A168,Database!$A:$AS,MATCH($B$1,Database!$A$1:$AS$1,0),FALSE)=0,#N/A,VLOOKUP(A168,Database!$A:$AS,MATCH($B$1,Database!$A$1:$AS$1,0),FALSE))</f>
        <v/>
      </c>
      <c r="C168" s="77">
        <f>IF(VLOOKUP(A168,Database!$A:$AS,MATCH($C$1,Database!$A$1:$AS$1,0),FALSE)=0,#N/A,VLOOKUP(A168,Database!$A:$AS,MATCH($C$1,Database!$A$1:$AS$1,0),FALSE))</f>
        <v/>
      </c>
      <c r="D168" s="77">
        <f>IF(VLOOKUP(A168,Database!$A:$AS,MATCH($D$1,Database!$A$1:$AS$1,0),FALSE)=0,#N/A,VLOOKUP(A168,Database!$A:$AS,MATCH($D$1,Database!$A$1:$AS$1,0),FALSE))</f>
        <v/>
      </c>
      <c r="E168" s="77">
        <f>IF(VLOOKUP(A168,Database!$A:$AS,MATCH($E$1,Database!$A$1:$AS$1,0),FALSE)=0,#N/A,VLOOKUP(A168,Database!$A:$AS,MATCH($E$1,Database!$A$1:$AS$1,0),FALSE))</f>
        <v/>
      </c>
      <c r="F168" s="77">
        <f>IF(VLOOKUP(A168,Database!$A:$AS,MATCH($F$1,Database!$A$1:$AS$1,0),FALSE)=0,#N/A,VLOOKUP(A168,Database!$A:$AS,MATCH($F$1,Database!$A$1:$AS$1,0),FALSE))</f>
        <v/>
      </c>
      <c r="G168" s="77">
        <f>IF(VLOOKUP(A168,Database!$A:$AS,MATCH($G$1,Database!$A$1:$AS$1,0),FALSE)=0,#N/A,VLOOKUP(A168,Database!$A:$AS,MATCH($G$1,Database!$A$1:$AS$1,0),FALSE))</f>
        <v/>
      </c>
      <c r="H168" s="77">
        <f>(((Table134567891011121314151617343[[#This Row],[ITA]]-VLOOKUP($U$1,A:B,2,))/VLOOKUP($U$1,A:B,2,))*100)+100</f>
        <v/>
      </c>
      <c r="I168" s="77">
        <f>(((Table134567891011121314151617343[[#This Row],[FRA]]-VLOOKUP($U$1,A:C,3,))/VLOOKUP($U$1,A:C,3,))*100)+100</f>
        <v/>
      </c>
      <c r="J168" s="77">
        <f>(((Table134567891011121314151617343[[#This Row],[DEU]]-VLOOKUP($U$1,A:D,4,))/VLOOKUP($U$1,A:D,4,))*100)+100</f>
        <v/>
      </c>
      <c r="K168" s="77">
        <f>(((Table134567891011121314151617343[[#This Row],[ESP]]-VLOOKUP($U$1,A:E,5,))/VLOOKUP($U$1,A:E,5,))*100)+100</f>
        <v/>
      </c>
      <c r="L168" s="77">
        <f>(((Table134567891011121314151617343[[#This Row],[EA19]]-VLOOKUP($U$1,A:F,6,))/VLOOKUP($U$1,A:F,6,))*100)+100</f>
        <v/>
      </c>
      <c r="M168" s="77">
        <f>(((Table134567891011121314151617343[[#This Row],[GBR]]-VLOOKUP($U$1,A:G,7,))/VLOOKUP($U$1,A:G,7,))*100)+100</f>
        <v/>
      </c>
      <c r="N168" s="77">
        <f>IF(VLOOKUP(A168,Database!$A:$AU,MATCH($N$1,Database!$A$1:$AU$1,0),FALSE)=0,#N/A,VLOOKUP(A168,Database!$A:$AU,MATCH($N$1,Database!$A$1:$AU$1,0),FALSE))</f>
        <v/>
      </c>
      <c r="O168" s="77">
        <f>(((Table134567891011121314151617343[[#This Row],[USA]]-VLOOKUP($U$1,A:N,14,))/VLOOKUP($U$1,A:N,14,))*100)+100</f>
        <v/>
      </c>
      <c r="P168" s="77">
        <f>IF(VLOOKUP(A168,Database!$A:$AS,MATCH($P$1,Database!$A$1:$AS$1,0),FALSE)=0,#N/A,VLOOKUP(A168,Database!$A:$AS,MATCH($P$1,Database!$A$1:$AS$1,0),FALSE))</f>
        <v/>
      </c>
      <c r="Q168" s="77">
        <f>(((Table134567891011121314151617343[[#This Row],[JPN]]-VLOOKUP($U$1,A:Q,16,))/VLOOKUP($U$1,A:Q,16,))*100)+100</f>
        <v/>
      </c>
    </row>
    <row r="169" customFormat="1" s="87">
      <c r="A169" s="21" t="n">
        <v>37956</v>
      </c>
      <c r="B169" s="77">
        <f>IF(VLOOKUP(A169,Database!$A:$AS,MATCH($B$1,Database!$A$1:$AS$1,0),FALSE)=0,#N/A,VLOOKUP(A169,Database!$A:$AS,MATCH($B$1,Database!$A$1:$AS$1,0),FALSE))</f>
        <v/>
      </c>
      <c r="C169" s="77">
        <f>IF(VLOOKUP(A169,Database!$A:$AS,MATCH($C$1,Database!$A$1:$AS$1,0),FALSE)=0,#N/A,VLOOKUP(A169,Database!$A:$AS,MATCH($C$1,Database!$A$1:$AS$1,0),FALSE))</f>
        <v/>
      </c>
      <c r="D169" s="77">
        <f>IF(VLOOKUP(A169,Database!$A:$AS,MATCH($D$1,Database!$A$1:$AS$1,0),FALSE)=0,#N/A,VLOOKUP(A169,Database!$A:$AS,MATCH($D$1,Database!$A$1:$AS$1,0),FALSE))</f>
        <v/>
      </c>
      <c r="E169" s="77">
        <f>IF(VLOOKUP(A169,Database!$A:$AS,MATCH($E$1,Database!$A$1:$AS$1,0),FALSE)=0,#N/A,VLOOKUP(A169,Database!$A:$AS,MATCH($E$1,Database!$A$1:$AS$1,0),FALSE))</f>
        <v/>
      </c>
      <c r="F169" s="77">
        <f>IF(VLOOKUP(A169,Database!$A:$AS,MATCH($F$1,Database!$A$1:$AS$1,0),FALSE)=0,#N/A,VLOOKUP(A169,Database!$A:$AS,MATCH($F$1,Database!$A$1:$AS$1,0),FALSE))</f>
        <v/>
      </c>
      <c r="G169" s="77">
        <f>IF(VLOOKUP(A169,Database!$A:$AS,MATCH($G$1,Database!$A$1:$AS$1,0),FALSE)=0,#N/A,VLOOKUP(A169,Database!$A:$AS,MATCH($G$1,Database!$A$1:$AS$1,0),FALSE))</f>
        <v/>
      </c>
      <c r="H169" s="77">
        <f>(((Table134567891011121314151617343[[#This Row],[ITA]]-VLOOKUP($U$1,A:B,2,))/VLOOKUP($U$1,A:B,2,))*100)+100</f>
        <v/>
      </c>
      <c r="I169" s="77">
        <f>(((Table134567891011121314151617343[[#This Row],[FRA]]-VLOOKUP($U$1,A:C,3,))/VLOOKUP($U$1,A:C,3,))*100)+100</f>
        <v/>
      </c>
      <c r="J169" s="77">
        <f>(((Table134567891011121314151617343[[#This Row],[DEU]]-VLOOKUP($U$1,A:D,4,))/VLOOKUP($U$1,A:D,4,))*100)+100</f>
        <v/>
      </c>
      <c r="K169" s="77">
        <f>(((Table134567891011121314151617343[[#This Row],[ESP]]-VLOOKUP($U$1,A:E,5,))/VLOOKUP($U$1,A:E,5,))*100)+100</f>
        <v/>
      </c>
      <c r="L169" s="77">
        <f>(((Table134567891011121314151617343[[#This Row],[EA19]]-VLOOKUP($U$1,A:F,6,))/VLOOKUP($U$1,A:F,6,))*100)+100</f>
        <v/>
      </c>
      <c r="M169" s="77">
        <f>(((Table134567891011121314151617343[[#This Row],[GBR]]-VLOOKUP($U$1,A:G,7,))/VLOOKUP($U$1,A:G,7,))*100)+100</f>
        <v/>
      </c>
      <c r="N169" s="77">
        <f>IF(VLOOKUP(A169,Database!$A:$AU,MATCH($N$1,Database!$A$1:$AU$1,0),FALSE)=0,#N/A,VLOOKUP(A169,Database!$A:$AU,MATCH($N$1,Database!$A$1:$AU$1,0),FALSE))</f>
        <v/>
      </c>
      <c r="O169" s="77">
        <f>(((Table134567891011121314151617343[[#This Row],[USA]]-VLOOKUP($U$1,A:N,14,))/VLOOKUP($U$1,A:N,14,))*100)+100</f>
        <v/>
      </c>
      <c r="P169" s="77">
        <f>IF(VLOOKUP(A169,Database!$A:$AS,MATCH($P$1,Database!$A$1:$AS$1,0),FALSE)=0,#N/A,VLOOKUP(A169,Database!$A:$AS,MATCH($P$1,Database!$A$1:$AS$1,0),FALSE))</f>
        <v/>
      </c>
      <c r="Q169" s="77">
        <f>(((Table134567891011121314151617343[[#This Row],[JPN]]-VLOOKUP($U$1,A:Q,16,))/VLOOKUP($U$1,A:Q,16,))*100)+100</f>
        <v/>
      </c>
    </row>
    <row r="170" customFormat="1" s="87">
      <c r="A170" s="21" t="n">
        <v>37987</v>
      </c>
      <c r="B170" s="77">
        <f>IF(VLOOKUP(A170,Database!$A:$AS,MATCH($B$1,Database!$A$1:$AS$1,0),FALSE)=0,#N/A,VLOOKUP(A170,Database!$A:$AS,MATCH($B$1,Database!$A$1:$AS$1,0),FALSE))</f>
        <v/>
      </c>
      <c r="C170" s="77">
        <f>IF(VLOOKUP(A170,Database!$A:$AS,MATCH($C$1,Database!$A$1:$AS$1,0),FALSE)=0,#N/A,VLOOKUP(A170,Database!$A:$AS,MATCH($C$1,Database!$A$1:$AS$1,0),FALSE))</f>
        <v/>
      </c>
      <c r="D170" s="77">
        <f>IF(VLOOKUP(A170,Database!$A:$AS,MATCH($D$1,Database!$A$1:$AS$1,0),FALSE)=0,#N/A,VLOOKUP(A170,Database!$A:$AS,MATCH($D$1,Database!$A$1:$AS$1,0),FALSE))</f>
        <v/>
      </c>
      <c r="E170" s="77">
        <f>IF(VLOOKUP(A170,Database!$A:$AS,MATCH($E$1,Database!$A$1:$AS$1,0),FALSE)=0,#N/A,VLOOKUP(A170,Database!$A:$AS,MATCH($E$1,Database!$A$1:$AS$1,0),FALSE))</f>
        <v/>
      </c>
      <c r="F170" s="77">
        <f>IF(VLOOKUP(A170,Database!$A:$AS,MATCH($F$1,Database!$A$1:$AS$1,0),FALSE)=0,#N/A,VLOOKUP(A170,Database!$A:$AS,MATCH($F$1,Database!$A$1:$AS$1,0),FALSE))</f>
        <v/>
      </c>
      <c r="G170" s="77">
        <f>IF(VLOOKUP(A170,Database!$A:$AS,MATCH($G$1,Database!$A$1:$AS$1,0),FALSE)=0,#N/A,VLOOKUP(A170,Database!$A:$AS,MATCH($G$1,Database!$A$1:$AS$1,0),FALSE))</f>
        <v/>
      </c>
      <c r="H170" s="77">
        <f>(((Table134567891011121314151617343[[#This Row],[ITA]]-VLOOKUP($U$1,A:B,2,))/VLOOKUP($U$1,A:B,2,))*100)+100</f>
        <v/>
      </c>
      <c r="I170" s="77">
        <f>(((Table134567891011121314151617343[[#This Row],[FRA]]-VLOOKUP($U$1,A:C,3,))/VLOOKUP($U$1,A:C,3,))*100)+100</f>
        <v/>
      </c>
      <c r="J170" s="77">
        <f>(((Table134567891011121314151617343[[#This Row],[DEU]]-VLOOKUP($U$1,A:D,4,))/VLOOKUP($U$1,A:D,4,))*100)+100</f>
        <v/>
      </c>
      <c r="K170" s="77">
        <f>(((Table134567891011121314151617343[[#This Row],[ESP]]-VLOOKUP($U$1,A:E,5,))/VLOOKUP($U$1,A:E,5,))*100)+100</f>
        <v/>
      </c>
      <c r="L170" s="77">
        <f>(((Table134567891011121314151617343[[#This Row],[EA19]]-VLOOKUP($U$1,A:F,6,))/VLOOKUP($U$1,A:F,6,))*100)+100</f>
        <v/>
      </c>
      <c r="M170" s="77">
        <f>(((Table134567891011121314151617343[[#This Row],[GBR]]-VLOOKUP($U$1,A:G,7,))/VLOOKUP($U$1,A:G,7,))*100)+100</f>
        <v/>
      </c>
      <c r="N170" s="77">
        <f>IF(VLOOKUP(A170,Database!$A:$AU,MATCH($N$1,Database!$A$1:$AU$1,0),FALSE)=0,#N/A,VLOOKUP(A170,Database!$A:$AU,MATCH($N$1,Database!$A$1:$AU$1,0),FALSE))</f>
        <v/>
      </c>
      <c r="O170" s="77">
        <f>(((Table134567891011121314151617343[[#This Row],[USA]]-VLOOKUP($U$1,A:N,14,))/VLOOKUP($U$1,A:N,14,))*100)+100</f>
        <v/>
      </c>
      <c r="P170" s="77">
        <f>IF(VLOOKUP(A170,Database!$A:$AS,MATCH($P$1,Database!$A$1:$AS$1,0),FALSE)=0,#N/A,VLOOKUP(A170,Database!$A:$AS,MATCH($P$1,Database!$A$1:$AS$1,0),FALSE))</f>
        <v/>
      </c>
      <c r="Q170" s="77">
        <f>(((Table134567891011121314151617343[[#This Row],[JPN]]-VLOOKUP($U$1,A:Q,16,))/VLOOKUP($U$1,A:Q,16,))*100)+100</f>
        <v/>
      </c>
    </row>
    <row r="171" customFormat="1" s="87">
      <c r="A171" s="21" t="n">
        <v>38018</v>
      </c>
      <c r="B171" s="77">
        <f>IF(VLOOKUP(A171,Database!$A:$AS,MATCH($B$1,Database!$A$1:$AS$1,0),FALSE)=0,#N/A,VLOOKUP(A171,Database!$A:$AS,MATCH($B$1,Database!$A$1:$AS$1,0),FALSE))</f>
        <v/>
      </c>
      <c r="C171" s="77">
        <f>IF(VLOOKUP(A171,Database!$A:$AS,MATCH($C$1,Database!$A$1:$AS$1,0),FALSE)=0,#N/A,VLOOKUP(A171,Database!$A:$AS,MATCH($C$1,Database!$A$1:$AS$1,0),FALSE))</f>
        <v/>
      </c>
      <c r="D171" s="77">
        <f>IF(VLOOKUP(A171,Database!$A:$AS,MATCH($D$1,Database!$A$1:$AS$1,0),FALSE)=0,#N/A,VLOOKUP(A171,Database!$A:$AS,MATCH($D$1,Database!$A$1:$AS$1,0),FALSE))</f>
        <v/>
      </c>
      <c r="E171" s="77">
        <f>IF(VLOOKUP(A171,Database!$A:$AS,MATCH($E$1,Database!$A$1:$AS$1,0),FALSE)=0,#N/A,VLOOKUP(A171,Database!$A:$AS,MATCH($E$1,Database!$A$1:$AS$1,0),FALSE))</f>
        <v/>
      </c>
      <c r="F171" s="77">
        <f>IF(VLOOKUP(A171,Database!$A:$AS,MATCH($F$1,Database!$A$1:$AS$1,0),FALSE)=0,#N/A,VLOOKUP(A171,Database!$A:$AS,MATCH($F$1,Database!$A$1:$AS$1,0),FALSE))</f>
        <v/>
      </c>
      <c r="G171" s="77">
        <f>IF(VLOOKUP(A171,Database!$A:$AS,MATCH($G$1,Database!$A$1:$AS$1,0),FALSE)=0,#N/A,VLOOKUP(A171,Database!$A:$AS,MATCH($G$1,Database!$A$1:$AS$1,0),FALSE))</f>
        <v/>
      </c>
      <c r="H171" s="77">
        <f>(((Table134567891011121314151617343[[#This Row],[ITA]]-VLOOKUP($U$1,A:B,2,))/VLOOKUP($U$1,A:B,2,))*100)+100</f>
        <v/>
      </c>
      <c r="I171" s="77">
        <f>(((Table134567891011121314151617343[[#This Row],[FRA]]-VLOOKUP($U$1,A:C,3,))/VLOOKUP($U$1,A:C,3,))*100)+100</f>
        <v/>
      </c>
      <c r="J171" s="77">
        <f>(((Table134567891011121314151617343[[#This Row],[DEU]]-VLOOKUP($U$1,A:D,4,))/VLOOKUP($U$1,A:D,4,))*100)+100</f>
        <v/>
      </c>
      <c r="K171" s="77">
        <f>(((Table134567891011121314151617343[[#This Row],[ESP]]-VLOOKUP($U$1,A:E,5,))/VLOOKUP($U$1,A:E,5,))*100)+100</f>
        <v/>
      </c>
      <c r="L171" s="77">
        <f>(((Table134567891011121314151617343[[#This Row],[EA19]]-VLOOKUP($U$1,A:F,6,))/VLOOKUP($U$1,A:F,6,))*100)+100</f>
        <v/>
      </c>
      <c r="M171" s="77">
        <f>(((Table134567891011121314151617343[[#This Row],[GBR]]-VLOOKUP($U$1,A:G,7,))/VLOOKUP($U$1,A:G,7,))*100)+100</f>
        <v/>
      </c>
      <c r="N171" s="77">
        <f>IF(VLOOKUP(A171,Database!$A:$AU,MATCH($N$1,Database!$A$1:$AU$1,0),FALSE)=0,#N/A,VLOOKUP(A171,Database!$A:$AU,MATCH($N$1,Database!$A$1:$AU$1,0),FALSE))</f>
        <v/>
      </c>
      <c r="O171" s="77">
        <f>(((Table134567891011121314151617343[[#This Row],[USA]]-VLOOKUP($U$1,A:N,14,))/VLOOKUP($U$1,A:N,14,))*100)+100</f>
        <v/>
      </c>
      <c r="P171" s="77">
        <f>IF(VLOOKUP(A171,Database!$A:$AS,MATCH($P$1,Database!$A$1:$AS$1,0),FALSE)=0,#N/A,VLOOKUP(A171,Database!$A:$AS,MATCH($P$1,Database!$A$1:$AS$1,0),FALSE))</f>
        <v/>
      </c>
      <c r="Q171" s="77">
        <f>(((Table134567891011121314151617343[[#This Row],[JPN]]-VLOOKUP($U$1,A:Q,16,))/VLOOKUP($U$1,A:Q,16,))*100)+100</f>
        <v/>
      </c>
    </row>
    <row r="172" customFormat="1" s="87">
      <c r="A172" s="21" t="n">
        <v>38047</v>
      </c>
      <c r="B172" s="77">
        <f>IF(VLOOKUP(A172,Database!$A:$AS,MATCH($B$1,Database!$A$1:$AS$1,0),FALSE)=0,#N/A,VLOOKUP(A172,Database!$A:$AS,MATCH($B$1,Database!$A$1:$AS$1,0),FALSE))</f>
        <v/>
      </c>
      <c r="C172" s="77">
        <f>IF(VLOOKUP(A172,Database!$A:$AS,MATCH($C$1,Database!$A$1:$AS$1,0),FALSE)=0,#N/A,VLOOKUP(A172,Database!$A:$AS,MATCH($C$1,Database!$A$1:$AS$1,0),FALSE))</f>
        <v/>
      </c>
      <c r="D172" s="77">
        <f>IF(VLOOKUP(A172,Database!$A:$AS,MATCH($D$1,Database!$A$1:$AS$1,0),FALSE)=0,#N/A,VLOOKUP(A172,Database!$A:$AS,MATCH($D$1,Database!$A$1:$AS$1,0),FALSE))</f>
        <v/>
      </c>
      <c r="E172" s="77">
        <f>IF(VLOOKUP(A172,Database!$A:$AS,MATCH($E$1,Database!$A$1:$AS$1,0),FALSE)=0,#N/A,VLOOKUP(A172,Database!$A:$AS,MATCH($E$1,Database!$A$1:$AS$1,0),FALSE))</f>
        <v/>
      </c>
      <c r="F172" s="77">
        <f>IF(VLOOKUP(A172,Database!$A:$AS,MATCH($F$1,Database!$A$1:$AS$1,0),FALSE)=0,#N/A,VLOOKUP(A172,Database!$A:$AS,MATCH($F$1,Database!$A$1:$AS$1,0),FALSE))</f>
        <v/>
      </c>
      <c r="G172" s="77">
        <f>IF(VLOOKUP(A172,Database!$A:$AS,MATCH($G$1,Database!$A$1:$AS$1,0),FALSE)=0,#N/A,VLOOKUP(A172,Database!$A:$AS,MATCH($G$1,Database!$A$1:$AS$1,0),FALSE))</f>
        <v/>
      </c>
      <c r="H172" s="77">
        <f>(((Table134567891011121314151617343[[#This Row],[ITA]]-VLOOKUP($U$1,A:B,2,))/VLOOKUP($U$1,A:B,2,))*100)+100</f>
        <v/>
      </c>
      <c r="I172" s="77">
        <f>(((Table134567891011121314151617343[[#This Row],[FRA]]-VLOOKUP($U$1,A:C,3,))/VLOOKUP($U$1,A:C,3,))*100)+100</f>
        <v/>
      </c>
      <c r="J172" s="77">
        <f>(((Table134567891011121314151617343[[#This Row],[DEU]]-VLOOKUP($U$1,A:D,4,))/VLOOKUP($U$1,A:D,4,))*100)+100</f>
        <v/>
      </c>
      <c r="K172" s="77">
        <f>(((Table134567891011121314151617343[[#This Row],[ESP]]-VLOOKUP($U$1,A:E,5,))/VLOOKUP($U$1,A:E,5,))*100)+100</f>
        <v/>
      </c>
      <c r="L172" s="77">
        <f>(((Table134567891011121314151617343[[#This Row],[EA19]]-VLOOKUP($U$1,A:F,6,))/VLOOKUP($U$1,A:F,6,))*100)+100</f>
        <v/>
      </c>
      <c r="M172" s="77">
        <f>(((Table134567891011121314151617343[[#This Row],[GBR]]-VLOOKUP($U$1,A:G,7,))/VLOOKUP($U$1,A:G,7,))*100)+100</f>
        <v/>
      </c>
      <c r="N172" s="77">
        <f>IF(VLOOKUP(A172,Database!$A:$AU,MATCH($N$1,Database!$A$1:$AU$1,0),FALSE)=0,#N/A,VLOOKUP(A172,Database!$A:$AU,MATCH($N$1,Database!$A$1:$AU$1,0),FALSE))</f>
        <v/>
      </c>
      <c r="O172" s="77">
        <f>(((Table134567891011121314151617343[[#This Row],[USA]]-VLOOKUP($U$1,A:N,14,))/VLOOKUP($U$1,A:N,14,))*100)+100</f>
        <v/>
      </c>
      <c r="P172" s="77">
        <f>IF(VLOOKUP(A172,Database!$A:$AS,MATCH($P$1,Database!$A$1:$AS$1,0),FALSE)=0,#N/A,VLOOKUP(A172,Database!$A:$AS,MATCH($P$1,Database!$A$1:$AS$1,0),FALSE))</f>
        <v/>
      </c>
      <c r="Q172" s="77">
        <f>(((Table134567891011121314151617343[[#This Row],[JPN]]-VLOOKUP($U$1,A:Q,16,))/VLOOKUP($U$1,A:Q,16,))*100)+100</f>
        <v/>
      </c>
    </row>
    <row r="173" customFormat="1" s="87">
      <c r="A173" s="21" t="n">
        <v>38078</v>
      </c>
      <c r="B173" s="77">
        <f>IF(VLOOKUP(A173,Database!$A:$AS,MATCH($B$1,Database!$A$1:$AS$1,0),FALSE)=0,#N/A,VLOOKUP(A173,Database!$A:$AS,MATCH($B$1,Database!$A$1:$AS$1,0),FALSE))</f>
        <v/>
      </c>
      <c r="C173" s="77">
        <f>IF(VLOOKUP(A173,Database!$A:$AS,MATCH($C$1,Database!$A$1:$AS$1,0),FALSE)=0,#N/A,VLOOKUP(A173,Database!$A:$AS,MATCH($C$1,Database!$A$1:$AS$1,0),FALSE))</f>
        <v/>
      </c>
      <c r="D173" s="77">
        <f>IF(VLOOKUP(A173,Database!$A:$AS,MATCH($D$1,Database!$A$1:$AS$1,0),FALSE)=0,#N/A,VLOOKUP(A173,Database!$A:$AS,MATCH($D$1,Database!$A$1:$AS$1,0),FALSE))</f>
        <v/>
      </c>
      <c r="E173" s="77">
        <f>IF(VLOOKUP(A173,Database!$A:$AS,MATCH($E$1,Database!$A$1:$AS$1,0),FALSE)=0,#N/A,VLOOKUP(A173,Database!$A:$AS,MATCH($E$1,Database!$A$1:$AS$1,0),FALSE))</f>
        <v/>
      </c>
      <c r="F173" s="77">
        <f>IF(VLOOKUP(A173,Database!$A:$AS,MATCH($F$1,Database!$A$1:$AS$1,0),FALSE)=0,#N/A,VLOOKUP(A173,Database!$A:$AS,MATCH($F$1,Database!$A$1:$AS$1,0),FALSE))</f>
        <v/>
      </c>
      <c r="G173" s="77">
        <f>IF(VLOOKUP(A173,Database!$A:$AS,MATCH($G$1,Database!$A$1:$AS$1,0),FALSE)=0,#N/A,VLOOKUP(A173,Database!$A:$AS,MATCH($G$1,Database!$A$1:$AS$1,0),FALSE))</f>
        <v/>
      </c>
      <c r="H173" s="77">
        <f>(((Table134567891011121314151617343[[#This Row],[ITA]]-VLOOKUP($U$1,A:B,2,))/VLOOKUP($U$1,A:B,2,))*100)+100</f>
        <v/>
      </c>
      <c r="I173" s="77">
        <f>(((Table134567891011121314151617343[[#This Row],[FRA]]-VLOOKUP($U$1,A:C,3,))/VLOOKUP($U$1,A:C,3,))*100)+100</f>
        <v/>
      </c>
      <c r="J173" s="77">
        <f>(((Table134567891011121314151617343[[#This Row],[DEU]]-VLOOKUP($U$1,A:D,4,))/VLOOKUP($U$1,A:D,4,))*100)+100</f>
        <v/>
      </c>
      <c r="K173" s="77">
        <f>(((Table134567891011121314151617343[[#This Row],[ESP]]-VLOOKUP($U$1,A:E,5,))/VLOOKUP($U$1,A:E,5,))*100)+100</f>
        <v/>
      </c>
      <c r="L173" s="77">
        <f>(((Table134567891011121314151617343[[#This Row],[EA19]]-VLOOKUP($U$1,A:F,6,))/VLOOKUP($U$1,A:F,6,))*100)+100</f>
        <v/>
      </c>
      <c r="M173" s="77">
        <f>(((Table134567891011121314151617343[[#This Row],[GBR]]-VLOOKUP($U$1,A:G,7,))/VLOOKUP($U$1,A:G,7,))*100)+100</f>
        <v/>
      </c>
      <c r="N173" s="77">
        <f>IF(VLOOKUP(A173,Database!$A:$AU,MATCH($N$1,Database!$A$1:$AU$1,0),FALSE)=0,#N/A,VLOOKUP(A173,Database!$A:$AU,MATCH($N$1,Database!$A$1:$AU$1,0),FALSE))</f>
        <v/>
      </c>
      <c r="O173" s="77">
        <f>(((Table134567891011121314151617343[[#This Row],[USA]]-VLOOKUP($U$1,A:N,14,))/VLOOKUP($U$1,A:N,14,))*100)+100</f>
        <v/>
      </c>
      <c r="P173" s="77">
        <f>IF(VLOOKUP(A173,Database!$A:$AS,MATCH($P$1,Database!$A$1:$AS$1,0),FALSE)=0,#N/A,VLOOKUP(A173,Database!$A:$AS,MATCH($P$1,Database!$A$1:$AS$1,0),FALSE))</f>
        <v/>
      </c>
      <c r="Q173" s="77">
        <f>(((Table134567891011121314151617343[[#This Row],[JPN]]-VLOOKUP($U$1,A:Q,16,))/VLOOKUP($U$1,A:Q,16,))*100)+100</f>
        <v/>
      </c>
    </row>
    <row r="174" customFormat="1" s="87">
      <c r="A174" s="21" t="n">
        <v>38108</v>
      </c>
      <c r="B174" s="77">
        <f>IF(VLOOKUP(A174,Database!$A:$AS,MATCH($B$1,Database!$A$1:$AS$1,0),FALSE)=0,#N/A,VLOOKUP(A174,Database!$A:$AS,MATCH($B$1,Database!$A$1:$AS$1,0),FALSE))</f>
        <v/>
      </c>
      <c r="C174" s="77">
        <f>IF(VLOOKUP(A174,Database!$A:$AS,MATCH($C$1,Database!$A$1:$AS$1,0),FALSE)=0,#N/A,VLOOKUP(A174,Database!$A:$AS,MATCH($C$1,Database!$A$1:$AS$1,0),FALSE))</f>
        <v/>
      </c>
      <c r="D174" s="77">
        <f>IF(VLOOKUP(A174,Database!$A:$AS,MATCH($D$1,Database!$A$1:$AS$1,0),FALSE)=0,#N/A,VLOOKUP(A174,Database!$A:$AS,MATCH($D$1,Database!$A$1:$AS$1,0),FALSE))</f>
        <v/>
      </c>
      <c r="E174" s="77">
        <f>IF(VLOOKUP(A174,Database!$A:$AS,MATCH($E$1,Database!$A$1:$AS$1,0),FALSE)=0,#N/A,VLOOKUP(A174,Database!$A:$AS,MATCH($E$1,Database!$A$1:$AS$1,0),FALSE))</f>
        <v/>
      </c>
      <c r="F174" s="77">
        <f>IF(VLOOKUP(A174,Database!$A:$AS,MATCH($F$1,Database!$A$1:$AS$1,0),FALSE)=0,#N/A,VLOOKUP(A174,Database!$A:$AS,MATCH($F$1,Database!$A$1:$AS$1,0),FALSE))</f>
        <v/>
      </c>
      <c r="G174" s="77">
        <f>IF(VLOOKUP(A174,Database!$A:$AS,MATCH($G$1,Database!$A$1:$AS$1,0),FALSE)=0,#N/A,VLOOKUP(A174,Database!$A:$AS,MATCH($G$1,Database!$A$1:$AS$1,0),FALSE))</f>
        <v/>
      </c>
      <c r="H174" s="77">
        <f>(((Table134567891011121314151617343[[#This Row],[ITA]]-VLOOKUP($U$1,A:B,2,))/VLOOKUP($U$1,A:B,2,))*100)+100</f>
        <v/>
      </c>
      <c r="I174" s="77">
        <f>(((Table134567891011121314151617343[[#This Row],[FRA]]-VLOOKUP($U$1,A:C,3,))/VLOOKUP($U$1,A:C,3,))*100)+100</f>
        <v/>
      </c>
      <c r="J174" s="77">
        <f>(((Table134567891011121314151617343[[#This Row],[DEU]]-VLOOKUP($U$1,A:D,4,))/VLOOKUP($U$1,A:D,4,))*100)+100</f>
        <v/>
      </c>
      <c r="K174" s="77">
        <f>(((Table134567891011121314151617343[[#This Row],[ESP]]-VLOOKUP($U$1,A:E,5,))/VLOOKUP($U$1,A:E,5,))*100)+100</f>
        <v/>
      </c>
      <c r="L174" s="77">
        <f>(((Table134567891011121314151617343[[#This Row],[EA19]]-VLOOKUP($U$1,A:F,6,))/VLOOKUP($U$1,A:F,6,))*100)+100</f>
        <v/>
      </c>
      <c r="M174" s="77">
        <f>(((Table134567891011121314151617343[[#This Row],[GBR]]-VLOOKUP($U$1,A:G,7,))/VLOOKUP($U$1,A:G,7,))*100)+100</f>
        <v/>
      </c>
      <c r="N174" s="77">
        <f>IF(VLOOKUP(A174,Database!$A:$AU,MATCH($N$1,Database!$A$1:$AU$1,0),FALSE)=0,#N/A,VLOOKUP(A174,Database!$A:$AU,MATCH($N$1,Database!$A$1:$AU$1,0),FALSE))</f>
        <v/>
      </c>
      <c r="O174" s="77">
        <f>(((Table134567891011121314151617343[[#This Row],[USA]]-VLOOKUP($U$1,A:N,14,))/VLOOKUP($U$1,A:N,14,))*100)+100</f>
        <v/>
      </c>
      <c r="P174" s="77">
        <f>IF(VLOOKUP(A174,Database!$A:$AS,MATCH($P$1,Database!$A$1:$AS$1,0),FALSE)=0,#N/A,VLOOKUP(A174,Database!$A:$AS,MATCH($P$1,Database!$A$1:$AS$1,0),FALSE))</f>
        <v/>
      </c>
      <c r="Q174" s="77">
        <f>(((Table134567891011121314151617343[[#This Row],[JPN]]-VLOOKUP($U$1,A:Q,16,))/VLOOKUP($U$1,A:Q,16,))*100)+100</f>
        <v/>
      </c>
    </row>
    <row r="175" customFormat="1" s="87">
      <c r="A175" s="21" t="n">
        <v>38139</v>
      </c>
      <c r="B175" s="77">
        <f>IF(VLOOKUP(A175,Database!$A:$AS,MATCH($B$1,Database!$A$1:$AS$1,0),FALSE)=0,#N/A,VLOOKUP(A175,Database!$A:$AS,MATCH($B$1,Database!$A$1:$AS$1,0),FALSE))</f>
        <v/>
      </c>
      <c r="C175" s="77">
        <f>IF(VLOOKUP(A175,Database!$A:$AS,MATCH($C$1,Database!$A$1:$AS$1,0),FALSE)=0,#N/A,VLOOKUP(A175,Database!$A:$AS,MATCH($C$1,Database!$A$1:$AS$1,0),FALSE))</f>
        <v/>
      </c>
      <c r="D175" s="77">
        <f>IF(VLOOKUP(A175,Database!$A:$AS,MATCH($D$1,Database!$A$1:$AS$1,0),FALSE)=0,#N/A,VLOOKUP(A175,Database!$A:$AS,MATCH($D$1,Database!$A$1:$AS$1,0),FALSE))</f>
        <v/>
      </c>
      <c r="E175" s="77">
        <f>IF(VLOOKUP(A175,Database!$A:$AS,MATCH($E$1,Database!$A$1:$AS$1,0),FALSE)=0,#N/A,VLOOKUP(A175,Database!$A:$AS,MATCH($E$1,Database!$A$1:$AS$1,0),FALSE))</f>
        <v/>
      </c>
      <c r="F175" s="77">
        <f>IF(VLOOKUP(A175,Database!$A:$AS,MATCH($F$1,Database!$A$1:$AS$1,0),FALSE)=0,#N/A,VLOOKUP(A175,Database!$A:$AS,MATCH($F$1,Database!$A$1:$AS$1,0),FALSE))</f>
        <v/>
      </c>
      <c r="G175" s="77">
        <f>IF(VLOOKUP(A175,Database!$A:$AS,MATCH($G$1,Database!$A$1:$AS$1,0),FALSE)=0,#N/A,VLOOKUP(A175,Database!$A:$AS,MATCH($G$1,Database!$A$1:$AS$1,0),FALSE))</f>
        <v/>
      </c>
      <c r="H175" s="77">
        <f>(((Table134567891011121314151617343[[#This Row],[ITA]]-VLOOKUP($U$1,A:B,2,))/VLOOKUP($U$1,A:B,2,))*100)+100</f>
        <v/>
      </c>
      <c r="I175" s="77">
        <f>(((Table134567891011121314151617343[[#This Row],[FRA]]-VLOOKUP($U$1,A:C,3,))/VLOOKUP($U$1,A:C,3,))*100)+100</f>
        <v/>
      </c>
      <c r="J175" s="77">
        <f>(((Table134567891011121314151617343[[#This Row],[DEU]]-VLOOKUP($U$1,A:D,4,))/VLOOKUP($U$1,A:D,4,))*100)+100</f>
        <v/>
      </c>
      <c r="K175" s="77">
        <f>(((Table134567891011121314151617343[[#This Row],[ESP]]-VLOOKUP($U$1,A:E,5,))/VLOOKUP($U$1,A:E,5,))*100)+100</f>
        <v/>
      </c>
      <c r="L175" s="77">
        <f>(((Table134567891011121314151617343[[#This Row],[EA19]]-VLOOKUP($U$1,A:F,6,))/VLOOKUP($U$1,A:F,6,))*100)+100</f>
        <v/>
      </c>
      <c r="M175" s="77">
        <f>(((Table134567891011121314151617343[[#This Row],[GBR]]-VLOOKUP($U$1,A:G,7,))/VLOOKUP($U$1,A:G,7,))*100)+100</f>
        <v/>
      </c>
      <c r="N175" s="77">
        <f>IF(VLOOKUP(A175,Database!$A:$AU,MATCH($N$1,Database!$A$1:$AU$1,0),FALSE)=0,#N/A,VLOOKUP(A175,Database!$A:$AU,MATCH($N$1,Database!$A$1:$AU$1,0),FALSE))</f>
        <v/>
      </c>
      <c r="O175" s="77">
        <f>(((Table134567891011121314151617343[[#This Row],[USA]]-VLOOKUP($U$1,A:N,14,))/VLOOKUP($U$1,A:N,14,))*100)+100</f>
        <v/>
      </c>
      <c r="P175" s="77">
        <f>IF(VLOOKUP(A175,Database!$A:$AS,MATCH($P$1,Database!$A$1:$AS$1,0),FALSE)=0,#N/A,VLOOKUP(A175,Database!$A:$AS,MATCH($P$1,Database!$A$1:$AS$1,0),FALSE))</f>
        <v/>
      </c>
      <c r="Q175" s="77">
        <f>(((Table134567891011121314151617343[[#This Row],[JPN]]-VLOOKUP($U$1,A:Q,16,))/VLOOKUP($U$1,A:Q,16,))*100)+100</f>
        <v/>
      </c>
    </row>
    <row r="176" customFormat="1" s="87">
      <c r="A176" s="21" t="n">
        <v>38169</v>
      </c>
      <c r="B176" s="77">
        <f>IF(VLOOKUP(A176,Database!$A:$AS,MATCH($B$1,Database!$A$1:$AS$1,0),FALSE)=0,#N/A,VLOOKUP(A176,Database!$A:$AS,MATCH($B$1,Database!$A$1:$AS$1,0),FALSE))</f>
        <v/>
      </c>
      <c r="C176" s="77">
        <f>IF(VLOOKUP(A176,Database!$A:$AS,MATCH($C$1,Database!$A$1:$AS$1,0),FALSE)=0,#N/A,VLOOKUP(A176,Database!$A:$AS,MATCH($C$1,Database!$A$1:$AS$1,0),FALSE))</f>
        <v/>
      </c>
      <c r="D176" s="77">
        <f>IF(VLOOKUP(A176,Database!$A:$AS,MATCH($D$1,Database!$A$1:$AS$1,0),FALSE)=0,#N/A,VLOOKUP(A176,Database!$A:$AS,MATCH($D$1,Database!$A$1:$AS$1,0),FALSE))</f>
        <v/>
      </c>
      <c r="E176" s="77">
        <f>IF(VLOOKUP(A176,Database!$A:$AS,MATCH($E$1,Database!$A$1:$AS$1,0),FALSE)=0,#N/A,VLOOKUP(A176,Database!$A:$AS,MATCH($E$1,Database!$A$1:$AS$1,0),FALSE))</f>
        <v/>
      </c>
      <c r="F176" s="77">
        <f>IF(VLOOKUP(A176,Database!$A:$AS,MATCH($F$1,Database!$A$1:$AS$1,0),FALSE)=0,#N/A,VLOOKUP(A176,Database!$A:$AS,MATCH($F$1,Database!$A$1:$AS$1,0),FALSE))</f>
        <v/>
      </c>
      <c r="G176" s="77">
        <f>IF(VLOOKUP(A176,Database!$A:$AS,MATCH($G$1,Database!$A$1:$AS$1,0),FALSE)=0,#N/A,VLOOKUP(A176,Database!$A:$AS,MATCH($G$1,Database!$A$1:$AS$1,0),FALSE))</f>
        <v/>
      </c>
      <c r="H176" s="77">
        <f>(((Table134567891011121314151617343[[#This Row],[ITA]]-VLOOKUP($U$1,A:B,2,))/VLOOKUP($U$1,A:B,2,))*100)+100</f>
        <v/>
      </c>
      <c r="I176" s="77">
        <f>(((Table134567891011121314151617343[[#This Row],[FRA]]-VLOOKUP($U$1,A:C,3,))/VLOOKUP($U$1,A:C,3,))*100)+100</f>
        <v/>
      </c>
      <c r="J176" s="77">
        <f>(((Table134567891011121314151617343[[#This Row],[DEU]]-VLOOKUP($U$1,A:D,4,))/VLOOKUP($U$1,A:D,4,))*100)+100</f>
        <v/>
      </c>
      <c r="K176" s="77">
        <f>(((Table134567891011121314151617343[[#This Row],[ESP]]-VLOOKUP($U$1,A:E,5,))/VLOOKUP($U$1,A:E,5,))*100)+100</f>
        <v/>
      </c>
      <c r="L176" s="77">
        <f>(((Table134567891011121314151617343[[#This Row],[EA19]]-VLOOKUP($U$1,A:F,6,))/VLOOKUP($U$1,A:F,6,))*100)+100</f>
        <v/>
      </c>
      <c r="M176" s="77">
        <f>(((Table134567891011121314151617343[[#This Row],[GBR]]-VLOOKUP($U$1,A:G,7,))/VLOOKUP($U$1,A:G,7,))*100)+100</f>
        <v/>
      </c>
      <c r="N176" s="77">
        <f>IF(VLOOKUP(A176,Database!$A:$AU,MATCH($N$1,Database!$A$1:$AU$1,0),FALSE)=0,#N/A,VLOOKUP(A176,Database!$A:$AU,MATCH($N$1,Database!$A$1:$AU$1,0),FALSE))</f>
        <v/>
      </c>
      <c r="O176" s="77">
        <f>(((Table134567891011121314151617343[[#This Row],[USA]]-VLOOKUP($U$1,A:N,14,))/VLOOKUP($U$1,A:N,14,))*100)+100</f>
        <v/>
      </c>
      <c r="P176" s="77">
        <f>IF(VLOOKUP(A176,Database!$A:$AS,MATCH($P$1,Database!$A$1:$AS$1,0),FALSE)=0,#N/A,VLOOKUP(A176,Database!$A:$AS,MATCH($P$1,Database!$A$1:$AS$1,0),FALSE))</f>
        <v/>
      </c>
      <c r="Q176" s="77">
        <f>(((Table134567891011121314151617343[[#This Row],[JPN]]-VLOOKUP($U$1,A:Q,16,))/VLOOKUP($U$1,A:Q,16,))*100)+100</f>
        <v/>
      </c>
    </row>
    <row r="177" customFormat="1" s="87">
      <c r="A177" s="21" t="n">
        <v>38200</v>
      </c>
      <c r="B177" s="77">
        <f>IF(VLOOKUP(A177,Database!$A:$AS,MATCH($B$1,Database!$A$1:$AS$1,0),FALSE)=0,#N/A,VLOOKUP(A177,Database!$A:$AS,MATCH($B$1,Database!$A$1:$AS$1,0),FALSE))</f>
        <v/>
      </c>
      <c r="C177" s="77">
        <f>IF(VLOOKUP(A177,Database!$A:$AS,MATCH($C$1,Database!$A$1:$AS$1,0),FALSE)=0,#N/A,VLOOKUP(A177,Database!$A:$AS,MATCH($C$1,Database!$A$1:$AS$1,0),FALSE))</f>
        <v/>
      </c>
      <c r="D177" s="77">
        <f>IF(VLOOKUP(A177,Database!$A:$AS,MATCH($D$1,Database!$A$1:$AS$1,0),FALSE)=0,#N/A,VLOOKUP(A177,Database!$A:$AS,MATCH($D$1,Database!$A$1:$AS$1,0),FALSE))</f>
        <v/>
      </c>
      <c r="E177" s="77">
        <f>IF(VLOOKUP(A177,Database!$A:$AS,MATCH($E$1,Database!$A$1:$AS$1,0),FALSE)=0,#N/A,VLOOKUP(A177,Database!$A:$AS,MATCH($E$1,Database!$A$1:$AS$1,0),FALSE))</f>
        <v/>
      </c>
      <c r="F177" s="77">
        <f>IF(VLOOKUP(A177,Database!$A:$AS,MATCH($F$1,Database!$A$1:$AS$1,0),FALSE)=0,#N/A,VLOOKUP(A177,Database!$A:$AS,MATCH($F$1,Database!$A$1:$AS$1,0),FALSE))</f>
        <v/>
      </c>
      <c r="G177" s="77">
        <f>IF(VLOOKUP(A177,Database!$A:$AS,MATCH($G$1,Database!$A$1:$AS$1,0),FALSE)=0,#N/A,VLOOKUP(A177,Database!$A:$AS,MATCH($G$1,Database!$A$1:$AS$1,0),FALSE))</f>
        <v/>
      </c>
      <c r="H177" s="77">
        <f>(((Table134567891011121314151617343[[#This Row],[ITA]]-VLOOKUP($U$1,A:B,2,))/VLOOKUP($U$1,A:B,2,))*100)+100</f>
        <v/>
      </c>
      <c r="I177" s="77">
        <f>(((Table134567891011121314151617343[[#This Row],[FRA]]-VLOOKUP($U$1,A:C,3,))/VLOOKUP($U$1,A:C,3,))*100)+100</f>
        <v/>
      </c>
      <c r="J177" s="77">
        <f>(((Table134567891011121314151617343[[#This Row],[DEU]]-VLOOKUP($U$1,A:D,4,))/VLOOKUP($U$1,A:D,4,))*100)+100</f>
        <v/>
      </c>
      <c r="K177" s="77">
        <f>(((Table134567891011121314151617343[[#This Row],[ESP]]-VLOOKUP($U$1,A:E,5,))/VLOOKUP($U$1,A:E,5,))*100)+100</f>
        <v/>
      </c>
      <c r="L177" s="77">
        <f>(((Table134567891011121314151617343[[#This Row],[EA19]]-VLOOKUP($U$1,A:F,6,))/VLOOKUP($U$1,A:F,6,))*100)+100</f>
        <v/>
      </c>
      <c r="M177" s="77">
        <f>(((Table134567891011121314151617343[[#This Row],[GBR]]-VLOOKUP($U$1,A:G,7,))/VLOOKUP($U$1,A:G,7,))*100)+100</f>
        <v/>
      </c>
      <c r="N177" s="77">
        <f>IF(VLOOKUP(A177,Database!$A:$AU,MATCH($N$1,Database!$A$1:$AU$1,0),FALSE)=0,#N/A,VLOOKUP(A177,Database!$A:$AU,MATCH($N$1,Database!$A$1:$AU$1,0),FALSE))</f>
        <v/>
      </c>
      <c r="O177" s="77">
        <f>(((Table134567891011121314151617343[[#This Row],[USA]]-VLOOKUP($U$1,A:N,14,))/VLOOKUP($U$1,A:N,14,))*100)+100</f>
        <v/>
      </c>
      <c r="P177" s="77">
        <f>IF(VLOOKUP(A177,Database!$A:$AS,MATCH($P$1,Database!$A$1:$AS$1,0),FALSE)=0,#N/A,VLOOKUP(A177,Database!$A:$AS,MATCH($P$1,Database!$A$1:$AS$1,0),FALSE))</f>
        <v/>
      </c>
      <c r="Q177" s="77">
        <f>(((Table134567891011121314151617343[[#This Row],[JPN]]-VLOOKUP($U$1,A:Q,16,))/VLOOKUP($U$1,A:Q,16,))*100)+100</f>
        <v/>
      </c>
    </row>
    <row r="178" customFormat="1" s="87">
      <c r="A178" s="21" t="n">
        <v>38231</v>
      </c>
      <c r="B178" s="77">
        <f>IF(VLOOKUP(A178,Database!$A:$AS,MATCH($B$1,Database!$A$1:$AS$1,0),FALSE)=0,#N/A,VLOOKUP(A178,Database!$A:$AS,MATCH($B$1,Database!$A$1:$AS$1,0),FALSE))</f>
        <v/>
      </c>
      <c r="C178" s="77">
        <f>IF(VLOOKUP(A178,Database!$A:$AS,MATCH($C$1,Database!$A$1:$AS$1,0),FALSE)=0,#N/A,VLOOKUP(A178,Database!$A:$AS,MATCH($C$1,Database!$A$1:$AS$1,0),FALSE))</f>
        <v/>
      </c>
      <c r="D178" s="77">
        <f>IF(VLOOKUP(A178,Database!$A:$AS,MATCH($D$1,Database!$A$1:$AS$1,0),FALSE)=0,#N/A,VLOOKUP(A178,Database!$A:$AS,MATCH($D$1,Database!$A$1:$AS$1,0),FALSE))</f>
        <v/>
      </c>
      <c r="E178" s="77">
        <f>IF(VLOOKUP(A178,Database!$A:$AS,MATCH($E$1,Database!$A$1:$AS$1,0),FALSE)=0,#N/A,VLOOKUP(A178,Database!$A:$AS,MATCH($E$1,Database!$A$1:$AS$1,0),FALSE))</f>
        <v/>
      </c>
      <c r="F178" s="77">
        <f>IF(VLOOKUP(A178,Database!$A:$AS,MATCH($F$1,Database!$A$1:$AS$1,0),FALSE)=0,#N/A,VLOOKUP(A178,Database!$A:$AS,MATCH($F$1,Database!$A$1:$AS$1,0),FALSE))</f>
        <v/>
      </c>
      <c r="G178" s="77">
        <f>IF(VLOOKUP(A178,Database!$A:$AS,MATCH($G$1,Database!$A$1:$AS$1,0),FALSE)=0,#N/A,VLOOKUP(A178,Database!$A:$AS,MATCH($G$1,Database!$A$1:$AS$1,0),FALSE))</f>
        <v/>
      </c>
      <c r="H178" s="77">
        <f>(((Table134567891011121314151617343[[#This Row],[ITA]]-VLOOKUP($U$1,A:B,2,))/VLOOKUP($U$1,A:B,2,))*100)+100</f>
        <v/>
      </c>
      <c r="I178" s="77">
        <f>(((Table134567891011121314151617343[[#This Row],[FRA]]-VLOOKUP($U$1,A:C,3,))/VLOOKUP($U$1,A:C,3,))*100)+100</f>
        <v/>
      </c>
      <c r="J178" s="77">
        <f>(((Table134567891011121314151617343[[#This Row],[DEU]]-VLOOKUP($U$1,A:D,4,))/VLOOKUP($U$1,A:D,4,))*100)+100</f>
        <v/>
      </c>
      <c r="K178" s="77">
        <f>(((Table134567891011121314151617343[[#This Row],[ESP]]-VLOOKUP($U$1,A:E,5,))/VLOOKUP($U$1,A:E,5,))*100)+100</f>
        <v/>
      </c>
      <c r="L178" s="77">
        <f>(((Table134567891011121314151617343[[#This Row],[EA19]]-VLOOKUP($U$1,A:F,6,))/VLOOKUP($U$1,A:F,6,))*100)+100</f>
        <v/>
      </c>
      <c r="M178" s="77">
        <f>(((Table134567891011121314151617343[[#This Row],[GBR]]-VLOOKUP($U$1,A:G,7,))/VLOOKUP($U$1,A:G,7,))*100)+100</f>
        <v/>
      </c>
      <c r="N178" s="77">
        <f>IF(VLOOKUP(A178,Database!$A:$AU,MATCH($N$1,Database!$A$1:$AU$1,0),FALSE)=0,#N/A,VLOOKUP(A178,Database!$A:$AU,MATCH($N$1,Database!$A$1:$AU$1,0),FALSE))</f>
        <v/>
      </c>
      <c r="O178" s="77">
        <f>(((Table134567891011121314151617343[[#This Row],[USA]]-VLOOKUP($U$1,A:N,14,))/VLOOKUP($U$1,A:N,14,))*100)+100</f>
        <v/>
      </c>
      <c r="P178" s="77">
        <f>IF(VLOOKUP(A178,Database!$A:$AS,MATCH($P$1,Database!$A$1:$AS$1,0),FALSE)=0,#N/A,VLOOKUP(A178,Database!$A:$AS,MATCH($P$1,Database!$A$1:$AS$1,0),FALSE))</f>
        <v/>
      </c>
      <c r="Q178" s="77">
        <f>(((Table134567891011121314151617343[[#This Row],[JPN]]-VLOOKUP($U$1,A:Q,16,))/VLOOKUP($U$1,A:Q,16,))*100)+100</f>
        <v/>
      </c>
    </row>
    <row r="179" customFormat="1" s="87">
      <c r="A179" s="21" t="n">
        <v>38261</v>
      </c>
      <c r="B179" s="77">
        <f>IF(VLOOKUP(A179,Database!$A:$AS,MATCH($B$1,Database!$A$1:$AS$1,0),FALSE)=0,#N/A,VLOOKUP(A179,Database!$A:$AS,MATCH($B$1,Database!$A$1:$AS$1,0),FALSE))</f>
        <v/>
      </c>
      <c r="C179" s="77">
        <f>IF(VLOOKUP(A179,Database!$A:$AS,MATCH($C$1,Database!$A$1:$AS$1,0),FALSE)=0,#N/A,VLOOKUP(A179,Database!$A:$AS,MATCH($C$1,Database!$A$1:$AS$1,0),FALSE))</f>
        <v/>
      </c>
      <c r="D179" s="77">
        <f>IF(VLOOKUP(A179,Database!$A:$AS,MATCH($D$1,Database!$A$1:$AS$1,0),FALSE)=0,#N/A,VLOOKUP(A179,Database!$A:$AS,MATCH($D$1,Database!$A$1:$AS$1,0),FALSE))</f>
        <v/>
      </c>
      <c r="E179" s="77">
        <f>IF(VLOOKUP(A179,Database!$A:$AS,MATCH($E$1,Database!$A$1:$AS$1,0),FALSE)=0,#N/A,VLOOKUP(A179,Database!$A:$AS,MATCH($E$1,Database!$A$1:$AS$1,0),FALSE))</f>
        <v/>
      </c>
      <c r="F179" s="77">
        <f>IF(VLOOKUP(A179,Database!$A:$AS,MATCH($F$1,Database!$A$1:$AS$1,0),FALSE)=0,#N/A,VLOOKUP(A179,Database!$A:$AS,MATCH($F$1,Database!$A$1:$AS$1,0),FALSE))</f>
        <v/>
      </c>
      <c r="G179" s="77">
        <f>IF(VLOOKUP(A179,Database!$A:$AS,MATCH($G$1,Database!$A$1:$AS$1,0),FALSE)=0,#N/A,VLOOKUP(A179,Database!$A:$AS,MATCH($G$1,Database!$A$1:$AS$1,0),FALSE))</f>
        <v/>
      </c>
      <c r="H179" s="77">
        <f>(((Table134567891011121314151617343[[#This Row],[ITA]]-VLOOKUP($U$1,A:B,2,))/VLOOKUP($U$1,A:B,2,))*100)+100</f>
        <v/>
      </c>
      <c r="I179" s="77">
        <f>(((Table134567891011121314151617343[[#This Row],[FRA]]-VLOOKUP($U$1,A:C,3,))/VLOOKUP($U$1,A:C,3,))*100)+100</f>
        <v/>
      </c>
      <c r="J179" s="77">
        <f>(((Table134567891011121314151617343[[#This Row],[DEU]]-VLOOKUP($U$1,A:D,4,))/VLOOKUP($U$1,A:D,4,))*100)+100</f>
        <v/>
      </c>
      <c r="K179" s="77">
        <f>(((Table134567891011121314151617343[[#This Row],[ESP]]-VLOOKUP($U$1,A:E,5,))/VLOOKUP($U$1,A:E,5,))*100)+100</f>
        <v/>
      </c>
      <c r="L179" s="77">
        <f>(((Table134567891011121314151617343[[#This Row],[EA19]]-VLOOKUP($U$1,A:F,6,))/VLOOKUP($U$1,A:F,6,))*100)+100</f>
        <v/>
      </c>
      <c r="M179" s="77">
        <f>(((Table134567891011121314151617343[[#This Row],[GBR]]-VLOOKUP($U$1,A:G,7,))/VLOOKUP($U$1,A:G,7,))*100)+100</f>
        <v/>
      </c>
      <c r="N179" s="77">
        <f>IF(VLOOKUP(A179,Database!$A:$AU,MATCH($N$1,Database!$A$1:$AU$1,0),FALSE)=0,#N/A,VLOOKUP(A179,Database!$A:$AU,MATCH($N$1,Database!$A$1:$AU$1,0),FALSE))</f>
        <v/>
      </c>
      <c r="O179" s="77">
        <f>(((Table134567891011121314151617343[[#This Row],[USA]]-VLOOKUP($U$1,A:N,14,))/VLOOKUP($U$1,A:N,14,))*100)+100</f>
        <v/>
      </c>
      <c r="P179" s="77">
        <f>IF(VLOOKUP(A179,Database!$A:$AS,MATCH($P$1,Database!$A$1:$AS$1,0),FALSE)=0,#N/A,VLOOKUP(A179,Database!$A:$AS,MATCH($P$1,Database!$A$1:$AS$1,0),FALSE))</f>
        <v/>
      </c>
      <c r="Q179" s="77">
        <f>(((Table134567891011121314151617343[[#This Row],[JPN]]-VLOOKUP($U$1,A:Q,16,))/VLOOKUP($U$1,A:Q,16,))*100)+100</f>
        <v/>
      </c>
    </row>
    <row r="180" customFormat="1" s="87">
      <c r="A180" s="21" t="n">
        <v>38292</v>
      </c>
      <c r="B180" s="77">
        <f>IF(VLOOKUP(A180,Database!$A:$AS,MATCH($B$1,Database!$A$1:$AS$1,0),FALSE)=0,#N/A,VLOOKUP(A180,Database!$A:$AS,MATCH($B$1,Database!$A$1:$AS$1,0),FALSE))</f>
        <v/>
      </c>
      <c r="C180" s="77">
        <f>IF(VLOOKUP(A180,Database!$A:$AS,MATCH($C$1,Database!$A$1:$AS$1,0),FALSE)=0,#N/A,VLOOKUP(A180,Database!$A:$AS,MATCH($C$1,Database!$A$1:$AS$1,0),FALSE))</f>
        <v/>
      </c>
      <c r="D180" s="77">
        <f>IF(VLOOKUP(A180,Database!$A:$AS,MATCH($D$1,Database!$A$1:$AS$1,0),FALSE)=0,#N/A,VLOOKUP(A180,Database!$A:$AS,MATCH($D$1,Database!$A$1:$AS$1,0),FALSE))</f>
        <v/>
      </c>
      <c r="E180" s="77">
        <f>IF(VLOOKUP(A180,Database!$A:$AS,MATCH($E$1,Database!$A$1:$AS$1,0),FALSE)=0,#N/A,VLOOKUP(A180,Database!$A:$AS,MATCH($E$1,Database!$A$1:$AS$1,0),FALSE))</f>
        <v/>
      </c>
      <c r="F180" s="77">
        <f>IF(VLOOKUP(A180,Database!$A:$AS,MATCH($F$1,Database!$A$1:$AS$1,0),FALSE)=0,#N/A,VLOOKUP(A180,Database!$A:$AS,MATCH($F$1,Database!$A$1:$AS$1,0),FALSE))</f>
        <v/>
      </c>
      <c r="G180" s="77">
        <f>IF(VLOOKUP(A180,Database!$A:$AS,MATCH($G$1,Database!$A$1:$AS$1,0),FALSE)=0,#N/A,VLOOKUP(A180,Database!$A:$AS,MATCH($G$1,Database!$A$1:$AS$1,0),FALSE))</f>
        <v/>
      </c>
      <c r="H180" s="77">
        <f>(((Table134567891011121314151617343[[#This Row],[ITA]]-VLOOKUP($U$1,A:B,2,))/VLOOKUP($U$1,A:B,2,))*100)+100</f>
        <v/>
      </c>
      <c r="I180" s="77">
        <f>(((Table134567891011121314151617343[[#This Row],[FRA]]-VLOOKUP($U$1,A:C,3,))/VLOOKUP($U$1,A:C,3,))*100)+100</f>
        <v/>
      </c>
      <c r="J180" s="77">
        <f>(((Table134567891011121314151617343[[#This Row],[DEU]]-VLOOKUP($U$1,A:D,4,))/VLOOKUP($U$1,A:D,4,))*100)+100</f>
        <v/>
      </c>
      <c r="K180" s="77">
        <f>(((Table134567891011121314151617343[[#This Row],[ESP]]-VLOOKUP($U$1,A:E,5,))/VLOOKUP($U$1,A:E,5,))*100)+100</f>
        <v/>
      </c>
      <c r="L180" s="77">
        <f>(((Table134567891011121314151617343[[#This Row],[EA19]]-VLOOKUP($U$1,A:F,6,))/VLOOKUP($U$1,A:F,6,))*100)+100</f>
        <v/>
      </c>
      <c r="M180" s="77">
        <f>(((Table134567891011121314151617343[[#This Row],[GBR]]-VLOOKUP($U$1,A:G,7,))/VLOOKUP($U$1,A:G,7,))*100)+100</f>
        <v/>
      </c>
      <c r="N180" s="77">
        <f>IF(VLOOKUP(A180,Database!$A:$AU,MATCH($N$1,Database!$A$1:$AU$1,0),FALSE)=0,#N/A,VLOOKUP(A180,Database!$A:$AU,MATCH($N$1,Database!$A$1:$AU$1,0),FALSE))</f>
        <v/>
      </c>
      <c r="O180" s="77">
        <f>(((Table134567891011121314151617343[[#This Row],[USA]]-VLOOKUP($U$1,A:N,14,))/VLOOKUP($U$1,A:N,14,))*100)+100</f>
        <v/>
      </c>
      <c r="P180" s="77">
        <f>IF(VLOOKUP(A180,Database!$A:$AS,MATCH($P$1,Database!$A$1:$AS$1,0),FALSE)=0,#N/A,VLOOKUP(A180,Database!$A:$AS,MATCH($P$1,Database!$A$1:$AS$1,0),FALSE))</f>
        <v/>
      </c>
      <c r="Q180" s="77">
        <f>(((Table134567891011121314151617343[[#This Row],[JPN]]-VLOOKUP($U$1,A:Q,16,))/VLOOKUP($U$1,A:Q,16,))*100)+100</f>
        <v/>
      </c>
    </row>
    <row r="181" customFormat="1" s="87">
      <c r="A181" s="21" t="n">
        <v>38322</v>
      </c>
      <c r="B181" s="77">
        <f>IF(VLOOKUP(A181,Database!$A:$AS,MATCH($B$1,Database!$A$1:$AS$1,0),FALSE)=0,#N/A,VLOOKUP(A181,Database!$A:$AS,MATCH($B$1,Database!$A$1:$AS$1,0),FALSE))</f>
        <v/>
      </c>
      <c r="C181" s="77">
        <f>IF(VLOOKUP(A181,Database!$A:$AS,MATCH($C$1,Database!$A$1:$AS$1,0),FALSE)=0,#N/A,VLOOKUP(A181,Database!$A:$AS,MATCH($C$1,Database!$A$1:$AS$1,0),FALSE))</f>
        <v/>
      </c>
      <c r="D181" s="77">
        <f>IF(VLOOKUP(A181,Database!$A:$AS,MATCH($D$1,Database!$A$1:$AS$1,0),FALSE)=0,#N/A,VLOOKUP(A181,Database!$A:$AS,MATCH($D$1,Database!$A$1:$AS$1,0),FALSE))</f>
        <v/>
      </c>
      <c r="E181" s="77">
        <f>IF(VLOOKUP(A181,Database!$A:$AS,MATCH($E$1,Database!$A$1:$AS$1,0),FALSE)=0,#N/A,VLOOKUP(A181,Database!$A:$AS,MATCH($E$1,Database!$A$1:$AS$1,0),FALSE))</f>
        <v/>
      </c>
      <c r="F181" s="77">
        <f>IF(VLOOKUP(A181,Database!$A:$AS,MATCH($F$1,Database!$A$1:$AS$1,0),FALSE)=0,#N/A,VLOOKUP(A181,Database!$A:$AS,MATCH($F$1,Database!$A$1:$AS$1,0),FALSE))</f>
        <v/>
      </c>
      <c r="G181" s="77">
        <f>IF(VLOOKUP(A181,Database!$A:$AS,MATCH($G$1,Database!$A$1:$AS$1,0),FALSE)=0,#N/A,VLOOKUP(A181,Database!$A:$AS,MATCH($G$1,Database!$A$1:$AS$1,0),FALSE))</f>
        <v/>
      </c>
      <c r="H181" s="77">
        <f>(((Table134567891011121314151617343[[#This Row],[ITA]]-VLOOKUP($U$1,A:B,2,))/VLOOKUP($U$1,A:B,2,))*100)+100</f>
        <v/>
      </c>
      <c r="I181" s="77">
        <f>(((Table134567891011121314151617343[[#This Row],[FRA]]-VLOOKUP($U$1,A:C,3,))/VLOOKUP($U$1,A:C,3,))*100)+100</f>
        <v/>
      </c>
      <c r="J181" s="77">
        <f>(((Table134567891011121314151617343[[#This Row],[DEU]]-VLOOKUP($U$1,A:D,4,))/VLOOKUP($U$1,A:D,4,))*100)+100</f>
        <v/>
      </c>
      <c r="K181" s="77">
        <f>(((Table134567891011121314151617343[[#This Row],[ESP]]-VLOOKUP($U$1,A:E,5,))/VLOOKUP($U$1,A:E,5,))*100)+100</f>
        <v/>
      </c>
      <c r="L181" s="77">
        <f>(((Table134567891011121314151617343[[#This Row],[EA19]]-VLOOKUP($U$1,A:F,6,))/VLOOKUP($U$1,A:F,6,))*100)+100</f>
        <v/>
      </c>
      <c r="M181" s="77">
        <f>(((Table134567891011121314151617343[[#This Row],[GBR]]-VLOOKUP($U$1,A:G,7,))/VLOOKUP($U$1,A:G,7,))*100)+100</f>
        <v/>
      </c>
      <c r="N181" s="77">
        <f>IF(VLOOKUP(A181,Database!$A:$AU,MATCH($N$1,Database!$A$1:$AU$1,0),FALSE)=0,#N/A,VLOOKUP(A181,Database!$A:$AU,MATCH($N$1,Database!$A$1:$AU$1,0),FALSE))</f>
        <v/>
      </c>
      <c r="O181" s="77">
        <f>(((Table134567891011121314151617343[[#This Row],[USA]]-VLOOKUP($U$1,A:N,14,))/VLOOKUP($U$1,A:N,14,))*100)+100</f>
        <v/>
      </c>
      <c r="P181" s="77">
        <f>IF(VLOOKUP(A181,Database!$A:$AS,MATCH($P$1,Database!$A$1:$AS$1,0),FALSE)=0,#N/A,VLOOKUP(A181,Database!$A:$AS,MATCH($P$1,Database!$A$1:$AS$1,0),FALSE))</f>
        <v/>
      </c>
      <c r="Q181" s="77">
        <f>(((Table134567891011121314151617343[[#This Row],[JPN]]-VLOOKUP($U$1,A:Q,16,))/VLOOKUP($U$1,A:Q,16,))*100)+100</f>
        <v/>
      </c>
    </row>
    <row r="182" customFormat="1" s="87">
      <c r="A182" s="21" t="n">
        <v>38353</v>
      </c>
      <c r="B182" s="77">
        <f>IF(VLOOKUP(A182,Database!$A:$AS,MATCH($B$1,Database!$A$1:$AS$1,0),FALSE)=0,#N/A,VLOOKUP(A182,Database!$A:$AS,MATCH($B$1,Database!$A$1:$AS$1,0),FALSE))</f>
        <v/>
      </c>
      <c r="C182" s="77">
        <f>IF(VLOOKUP(A182,Database!$A:$AS,MATCH($C$1,Database!$A$1:$AS$1,0),FALSE)=0,#N/A,VLOOKUP(A182,Database!$A:$AS,MATCH($C$1,Database!$A$1:$AS$1,0),FALSE))</f>
        <v/>
      </c>
      <c r="D182" s="77">
        <f>IF(VLOOKUP(A182,Database!$A:$AS,MATCH($D$1,Database!$A$1:$AS$1,0),FALSE)=0,#N/A,VLOOKUP(A182,Database!$A:$AS,MATCH($D$1,Database!$A$1:$AS$1,0),FALSE))</f>
        <v/>
      </c>
      <c r="E182" s="77">
        <f>IF(VLOOKUP(A182,Database!$A:$AS,MATCH($E$1,Database!$A$1:$AS$1,0),FALSE)=0,#N/A,VLOOKUP(A182,Database!$A:$AS,MATCH($E$1,Database!$A$1:$AS$1,0),FALSE))</f>
        <v/>
      </c>
      <c r="F182" s="77">
        <f>IF(VLOOKUP(A182,Database!$A:$AS,MATCH($F$1,Database!$A$1:$AS$1,0),FALSE)=0,#N/A,VLOOKUP(A182,Database!$A:$AS,MATCH($F$1,Database!$A$1:$AS$1,0),FALSE))</f>
        <v/>
      </c>
      <c r="G182" s="77">
        <f>IF(VLOOKUP(A182,Database!$A:$AS,MATCH($G$1,Database!$A$1:$AS$1,0),FALSE)=0,#N/A,VLOOKUP(A182,Database!$A:$AS,MATCH($G$1,Database!$A$1:$AS$1,0),FALSE))</f>
        <v/>
      </c>
      <c r="H182" s="77">
        <f>(((Table134567891011121314151617343[[#This Row],[ITA]]-VLOOKUP($U$1,A:B,2,))/VLOOKUP($U$1,A:B,2,))*100)+100</f>
        <v/>
      </c>
      <c r="I182" s="77">
        <f>(((Table134567891011121314151617343[[#This Row],[FRA]]-VLOOKUP($U$1,A:C,3,))/VLOOKUP($U$1,A:C,3,))*100)+100</f>
        <v/>
      </c>
      <c r="J182" s="77">
        <f>(((Table134567891011121314151617343[[#This Row],[DEU]]-VLOOKUP($U$1,A:D,4,))/VLOOKUP($U$1,A:D,4,))*100)+100</f>
        <v/>
      </c>
      <c r="K182" s="77">
        <f>(((Table134567891011121314151617343[[#This Row],[ESP]]-VLOOKUP($U$1,A:E,5,))/VLOOKUP($U$1,A:E,5,))*100)+100</f>
        <v/>
      </c>
      <c r="L182" s="77">
        <f>(((Table134567891011121314151617343[[#This Row],[EA19]]-VLOOKUP($U$1,A:F,6,))/VLOOKUP($U$1,A:F,6,))*100)+100</f>
        <v/>
      </c>
      <c r="M182" s="77">
        <f>(((Table134567891011121314151617343[[#This Row],[GBR]]-VLOOKUP($U$1,A:G,7,))/VLOOKUP($U$1,A:G,7,))*100)+100</f>
        <v/>
      </c>
      <c r="N182" s="77">
        <f>IF(VLOOKUP(A182,Database!$A:$AU,MATCH($N$1,Database!$A$1:$AU$1,0),FALSE)=0,#N/A,VLOOKUP(A182,Database!$A:$AU,MATCH($N$1,Database!$A$1:$AU$1,0),FALSE))</f>
        <v/>
      </c>
      <c r="O182" s="77">
        <f>(((Table134567891011121314151617343[[#This Row],[USA]]-VLOOKUP($U$1,A:N,14,))/VLOOKUP($U$1,A:N,14,))*100)+100</f>
        <v/>
      </c>
      <c r="P182" s="77">
        <f>IF(VLOOKUP(A182,Database!$A:$AS,MATCH($P$1,Database!$A$1:$AS$1,0),FALSE)=0,#N/A,VLOOKUP(A182,Database!$A:$AS,MATCH($P$1,Database!$A$1:$AS$1,0),FALSE))</f>
        <v/>
      </c>
      <c r="Q182" s="77">
        <f>(((Table134567891011121314151617343[[#This Row],[JPN]]-VLOOKUP($U$1,A:Q,16,))/VLOOKUP($U$1,A:Q,16,))*100)+100</f>
        <v/>
      </c>
    </row>
    <row r="183" customFormat="1" s="87">
      <c r="A183" s="21" t="n">
        <v>38384</v>
      </c>
      <c r="B183" s="77">
        <f>IF(VLOOKUP(A183,Database!$A:$AS,MATCH($B$1,Database!$A$1:$AS$1,0),FALSE)=0,#N/A,VLOOKUP(A183,Database!$A:$AS,MATCH($B$1,Database!$A$1:$AS$1,0),FALSE))</f>
        <v/>
      </c>
      <c r="C183" s="77">
        <f>IF(VLOOKUP(A183,Database!$A:$AS,MATCH($C$1,Database!$A$1:$AS$1,0),FALSE)=0,#N/A,VLOOKUP(A183,Database!$A:$AS,MATCH($C$1,Database!$A$1:$AS$1,0),FALSE))</f>
        <v/>
      </c>
      <c r="D183" s="77">
        <f>IF(VLOOKUP(A183,Database!$A:$AS,MATCH($D$1,Database!$A$1:$AS$1,0),FALSE)=0,#N/A,VLOOKUP(A183,Database!$A:$AS,MATCH($D$1,Database!$A$1:$AS$1,0),FALSE))</f>
        <v/>
      </c>
      <c r="E183" s="77">
        <f>IF(VLOOKUP(A183,Database!$A:$AS,MATCH($E$1,Database!$A$1:$AS$1,0),FALSE)=0,#N/A,VLOOKUP(A183,Database!$A:$AS,MATCH($E$1,Database!$A$1:$AS$1,0),FALSE))</f>
        <v/>
      </c>
      <c r="F183" s="77">
        <f>IF(VLOOKUP(A183,Database!$A:$AS,MATCH($F$1,Database!$A$1:$AS$1,0),FALSE)=0,#N/A,VLOOKUP(A183,Database!$A:$AS,MATCH($F$1,Database!$A$1:$AS$1,0),FALSE))</f>
        <v/>
      </c>
      <c r="G183" s="77">
        <f>IF(VLOOKUP(A183,Database!$A:$AS,MATCH($G$1,Database!$A$1:$AS$1,0),FALSE)=0,#N/A,VLOOKUP(A183,Database!$A:$AS,MATCH($G$1,Database!$A$1:$AS$1,0),FALSE))</f>
        <v/>
      </c>
      <c r="H183" s="77">
        <f>(((Table134567891011121314151617343[[#This Row],[ITA]]-VLOOKUP($U$1,A:B,2,))/VLOOKUP($U$1,A:B,2,))*100)+100</f>
        <v/>
      </c>
      <c r="I183" s="77">
        <f>(((Table134567891011121314151617343[[#This Row],[FRA]]-VLOOKUP($U$1,A:C,3,))/VLOOKUP($U$1,A:C,3,))*100)+100</f>
        <v/>
      </c>
      <c r="J183" s="77">
        <f>(((Table134567891011121314151617343[[#This Row],[DEU]]-VLOOKUP($U$1,A:D,4,))/VLOOKUP($U$1,A:D,4,))*100)+100</f>
        <v/>
      </c>
      <c r="K183" s="77">
        <f>(((Table134567891011121314151617343[[#This Row],[ESP]]-VLOOKUP($U$1,A:E,5,))/VLOOKUP($U$1,A:E,5,))*100)+100</f>
        <v/>
      </c>
      <c r="L183" s="77">
        <f>(((Table134567891011121314151617343[[#This Row],[EA19]]-VLOOKUP($U$1,A:F,6,))/VLOOKUP($U$1,A:F,6,))*100)+100</f>
        <v/>
      </c>
      <c r="M183" s="77">
        <f>(((Table134567891011121314151617343[[#This Row],[GBR]]-VLOOKUP($U$1,A:G,7,))/VLOOKUP($U$1,A:G,7,))*100)+100</f>
        <v/>
      </c>
      <c r="N183" s="77">
        <f>IF(VLOOKUP(A183,Database!$A:$AU,MATCH($N$1,Database!$A$1:$AU$1,0),FALSE)=0,#N/A,VLOOKUP(A183,Database!$A:$AU,MATCH($N$1,Database!$A$1:$AU$1,0),FALSE))</f>
        <v/>
      </c>
      <c r="O183" s="77">
        <f>(((Table134567891011121314151617343[[#This Row],[USA]]-VLOOKUP($U$1,A:N,14,))/VLOOKUP($U$1,A:N,14,))*100)+100</f>
        <v/>
      </c>
      <c r="P183" s="77">
        <f>IF(VLOOKUP(A183,Database!$A:$AS,MATCH($P$1,Database!$A$1:$AS$1,0),FALSE)=0,#N/A,VLOOKUP(A183,Database!$A:$AS,MATCH($P$1,Database!$A$1:$AS$1,0),FALSE))</f>
        <v/>
      </c>
      <c r="Q183" s="77">
        <f>(((Table134567891011121314151617343[[#This Row],[JPN]]-VLOOKUP($U$1,A:Q,16,))/VLOOKUP($U$1,A:Q,16,))*100)+100</f>
        <v/>
      </c>
    </row>
    <row r="184" customFormat="1" s="87">
      <c r="A184" s="21" t="n">
        <v>38412</v>
      </c>
      <c r="B184" s="77">
        <f>IF(VLOOKUP(A184,Database!$A:$AS,MATCH($B$1,Database!$A$1:$AS$1,0),FALSE)=0,#N/A,VLOOKUP(A184,Database!$A:$AS,MATCH($B$1,Database!$A$1:$AS$1,0),FALSE))</f>
        <v/>
      </c>
      <c r="C184" s="77">
        <f>IF(VLOOKUP(A184,Database!$A:$AS,MATCH($C$1,Database!$A$1:$AS$1,0),FALSE)=0,#N/A,VLOOKUP(A184,Database!$A:$AS,MATCH($C$1,Database!$A$1:$AS$1,0),FALSE))</f>
        <v/>
      </c>
      <c r="D184" s="77">
        <f>IF(VLOOKUP(A184,Database!$A:$AS,MATCH($D$1,Database!$A$1:$AS$1,0),FALSE)=0,#N/A,VLOOKUP(A184,Database!$A:$AS,MATCH($D$1,Database!$A$1:$AS$1,0),FALSE))</f>
        <v/>
      </c>
      <c r="E184" s="77">
        <f>IF(VLOOKUP(A184,Database!$A:$AS,MATCH($E$1,Database!$A$1:$AS$1,0),FALSE)=0,#N/A,VLOOKUP(A184,Database!$A:$AS,MATCH($E$1,Database!$A$1:$AS$1,0),FALSE))</f>
        <v/>
      </c>
      <c r="F184" s="77">
        <f>IF(VLOOKUP(A184,Database!$A:$AS,MATCH($F$1,Database!$A$1:$AS$1,0),FALSE)=0,#N/A,VLOOKUP(A184,Database!$A:$AS,MATCH($F$1,Database!$A$1:$AS$1,0),FALSE))</f>
        <v/>
      </c>
      <c r="G184" s="77">
        <f>IF(VLOOKUP(A184,Database!$A:$AS,MATCH($G$1,Database!$A$1:$AS$1,0),FALSE)=0,#N/A,VLOOKUP(A184,Database!$A:$AS,MATCH($G$1,Database!$A$1:$AS$1,0),FALSE))</f>
        <v/>
      </c>
      <c r="H184" s="77">
        <f>(((Table134567891011121314151617343[[#This Row],[ITA]]-VLOOKUP($U$1,A:B,2,))/VLOOKUP($U$1,A:B,2,))*100)+100</f>
        <v/>
      </c>
      <c r="I184" s="77">
        <f>(((Table134567891011121314151617343[[#This Row],[FRA]]-VLOOKUP($U$1,A:C,3,))/VLOOKUP($U$1,A:C,3,))*100)+100</f>
        <v/>
      </c>
      <c r="J184" s="77">
        <f>(((Table134567891011121314151617343[[#This Row],[DEU]]-VLOOKUP($U$1,A:D,4,))/VLOOKUP($U$1,A:D,4,))*100)+100</f>
        <v/>
      </c>
      <c r="K184" s="77">
        <f>(((Table134567891011121314151617343[[#This Row],[ESP]]-VLOOKUP($U$1,A:E,5,))/VLOOKUP($U$1,A:E,5,))*100)+100</f>
        <v/>
      </c>
      <c r="L184" s="77">
        <f>(((Table134567891011121314151617343[[#This Row],[EA19]]-VLOOKUP($U$1,A:F,6,))/VLOOKUP($U$1,A:F,6,))*100)+100</f>
        <v/>
      </c>
      <c r="M184" s="77">
        <f>(((Table134567891011121314151617343[[#This Row],[GBR]]-VLOOKUP($U$1,A:G,7,))/VLOOKUP($U$1,A:G,7,))*100)+100</f>
        <v/>
      </c>
      <c r="N184" s="77">
        <f>IF(VLOOKUP(A184,Database!$A:$AU,MATCH($N$1,Database!$A$1:$AU$1,0),FALSE)=0,#N/A,VLOOKUP(A184,Database!$A:$AU,MATCH($N$1,Database!$A$1:$AU$1,0),FALSE))</f>
        <v/>
      </c>
      <c r="O184" s="77">
        <f>(((Table134567891011121314151617343[[#This Row],[USA]]-VLOOKUP($U$1,A:N,14,))/VLOOKUP($U$1,A:N,14,))*100)+100</f>
        <v/>
      </c>
      <c r="P184" s="77">
        <f>IF(VLOOKUP(A184,Database!$A:$AS,MATCH($P$1,Database!$A$1:$AS$1,0),FALSE)=0,#N/A,VLOOKUP(A184,Database!$A:$AS,MATCH($P$1,Database!$A$1:$AS$1,0),FALSE))</f>
        <v/>
      </c>
      <c r="Q184" s="77">
        <f>(((Table134567891011121314151617343[[#This Row],[JPN]]-VLOOKUP($U$1,A:Q,16,))/VLOOKUP($U$1,A:Q,16,))*100)+100</f>
        <v/>
      </c>
    </row>
    <row r="185" customFormat="1" s="87">
      <c r="A185" s="21" t="n">
        <v>38443</v>
      </c>
      <c r="B185" s="77">
        <f>IF(VLOOKUP(A185,Database!$A:$AS,MATCH($B$1,Database!$A$1:$AS$1,0),FALSE)=0,#N/A,VLOOKUP(A185,Database!$A:$AS,MATCH($B$1,Database!$A$1:$AS$1,0),FALSE))</f>
        <v/>
      </c>
      <c r="C185" s="77">
        <f>IF(VLOOKUP(A185,Database!$A:$AS,MATCH($C$1,Database!$A$1:$AS$1,0),FALSE)=0,#N/A,VLOOKUP(A185,Database!$A:$AS,MATCH($C$1,Database!$A$1:$AS$1,0),FALSE))</f>
        <v/>
      </c>
      <c r="D185" s="77">
        <f>IF(VLOOKUP(A185,Database!$A:$AS,MATCH($D$1,Database!$A$1:$AS$1,0),FALSE)=0,#N/A,VLOOKUP(A185,Database!$A:$AS,MATCH($D$1,Database!$A$1:$AS$1,0),FALSE))</f>
        <v/>
      </c>
      <c r="E185" s="77">
        <f>IF(VLOOKUP(A185,Database!$A:$AS,MATCH($E$1,Database!$A$1:$AS$1,0),FALSE)=0,#N/A,VLOOKUP(A185,Database!$A:$AS,MATCH($E$1,Database!$A$1:$AS$1,0),FALSE))</f>
        <v/>
      </c>
      <c r="F185" s="77">
        <f>IF(VLOOKUP(A185,Database!$A:$AS,MATCH($F$1,Database!$A$1:$AS$1,0),FALSE)=0,#N/A,VLOOKUP(A185,Database!$A:$AS,MATCH($F$1,Database!$A$1:$AS$1,0),FALSE))</f>
        <v/>
      </c>
      <c r="G185" s="77">
        <f>IF(VLOOKUP(A185,Database!$A:$AS,MATCH($G$1,Database!$A$1:$AS$1,0),FALSE)=0,#N/A,VLOOKUP(A185,Database!$A:$AS,MATCH($G$1,Database!$A$1:$AS$1,0),FALSE))</f>
        <v/>
      </c>
      <c r="H185" s="77">
        <f>(((Table134567891011121314151617343[[#This Row],[ITA]]-VLOOKUP($U$1,A:B,2,))/VLOOKUP($U$1,A:B,2,))*100)+100</f>
        <v/>
      </c>
      <c r="I185" s="77">
        <f>(((Table134567891011121314151617343[[#This Row],[FRA]]-VLOOKUP($U$1,A:C,3,))/VLOOKUP($U$1,A:C,3,))*100)+100</f>
        <v/>
      </c>
      <c r="J185" s="77">
        <f>(((Table134567891011121314151617343[[#This Row],[DEU]]-VLOOKUP($U$1,A:D,4,))/VLOOKUP($U$1,A:D,4,))*100)+100</f>
        <v/>
      </c>
      <c r="K185" s="77">
        <f>(((Table134567891011121314151617343[[#This Row],[ESP]]-VLOOKUP($U$1,A:E,5,))/VLOOKUP($U$1,A:E,5,))*100)+100</f>
        <v/>
      </c>
      <c r="L185" s="77">
        <f>(((Table134567891011121314151617343[[#This Row],[EA19]]-VLOOKUP($U$1,A:F,6,))/VLOOKUP($U$1,A:F,6,))*100)+100</f>
        <v/>
      </c>
      <c r="M185" s="77">
        <f>(((Table134567891011121314151617343[[#This Row],[GBR]]-VLOOKUP($U$1,A:G,7,))/VLOOKUP($U$1,A:G,7,))*100)+100</f>
        <v/>
      </c>
      <c r="N185" s="77">
        <f>IF(VLOOKUP(A185,Database!$A:$AU,MATCH($N$1,Database!$A$1:$AU$1,0),FALSE)=0,#N/A,VLOOKUP(A185,Database!$A:$AU,MATCH($N$1,Database!$A$1:$AU$1,0),FALSE))</f>
        <v/>
      </c>
      <c r="O185" s="77">
        <f>(((Table134567891011121314151617343[[#This Row],[USA]]-VLOOKUP($U$1,A:N,14,))/VLOOKUP($U$1,A:N,14,))*100)+100</f>
        <v/>
      </c>
      <c r="P185" s="77">
        <f>IF(VLOOKUP(A185,Database!$A:$AS,MATCH($P$1,Database!$A$1:$AS$1,0),FALSE)=0,#N/A,VLOOKUP(A185,Database!$A:$AS,MATCH($P$1,Database!$A$1:$AS$1,0),FALSE))</f>
        <v/>
      </c>
      <c r="Q185" s="77">
        <f>(((Table134567891011121314151617343[[#This Row],[JPN]]-VLOOKUP($U$1,A:Q,16,))/VLOOKUP($U$1,A:Q,16,))*100)+100</f>
        <v/>
      </c>
    </row>
    <row r="186" customFormat="1" s="87">
      <c r="A186" s="21" t="n">
        <v>38473</v>
      </c>
      <c r="B186" s="77">
        <f>IF(VLOOKUP(A186,Database!$A:$AS,MATCH($B$1,Database!$A$1:$AS$1,0),FALSE)=0,#N/A,VLOOKUP(A186,Database!$A:$AS,MATCH($B$1,Database!$A$1:$AS$1,0),FALSE))</f>
        <v/>
      </c>
      <c r="C186" s="77">
        <f>IF(VLOOKUP(A186,Database!$A:$AS,MATCH($C$1,Database!$A$1:$AS$1,0),FALSE)=0,#N/A,VLOOKUP(A186,Database!$A:$AS,MATCH($C$1,Database!$A$1:$AS$1,0),FALSE))</f>
        <v/>
      </c>
      <c r="D186" s="77">
        <f>IF(VLOOKUP(A186,Database!$A:$AS,MATCH($D$1,Database!$A$1:$AS$1,0),FALSE)=0,#N/A,VLOOKUP(A186,Database!$A:$AS,MATCH($D$1,Database!$A$1:$AS$1,0),FALSE))</f>
        <v/>
      </c>
      <c r="E186" s="77">
        <f>IF(VLOOKUP(A186,Database!$A:$AS,MATCH($E$1,Database!$A$1:$AS$1,0),FALSE)=0,#N/A,VLOOKUP(A186,Database!$A:$AS,MATCH($E$1,Database!$A$1:$AS$1,0),FALSE))</f>
        <v/>
      </c>
      <c r="F186" s="77">
        <f>IF(VLOOKUP(A186,Database!$A:$AS,MATCH($F$1,Database!$A$1:$AS$1,0),FALSE)=0,#N/A,VLOOKUP(A186,Database!$A:$AS,MATCH($F$1,Database!$A$1:$AS$1,0),FALSE))</f>
        <v/>
      </c>
      <c r="G186" s="77">
        <f>IF(VLOOKUP(A186,Database!$A:$AS,MATCH($G$1,Database!$A$1:$AS$1,0),FALSE)=0,#N/A,VLOOKUP(A186,Database!$A:$AS,MATCH($G$1,Database!$A$1:$AS$1,0),FALSE))</f>
        <v/>
      </c>
      <c r="H186" s="77">
        <f>(((Table134567891011121314151617343[[#This Row],[ITA]]-VLOOKUP($U$1,A:B,2,))/VLOOKUP($U$1,A:B,2,))*100)+100</f>
        <v/>
      </c>
      <c r="I186" s="77">
        <f>(((Table134567891011121314151617343[[#This Row],[FRA]]-VLOOKUP($U$1,A:C,3,))/VLOOKUP($U$1,A:C,3,))*100)+100</f>
        <v/>
      </c>
      <c r="J186" s="77">
        <f>(((Table134567891011121314151617343[[#This Row],[DEU]]-VLOOKUP($U$1,A:D,4,))/VLOOKUP($U$1,A:D,4,))*100)+100</f>
        <v/>
      </c>
      <c r="K186" s="77">
        <f>(((Table134567891011121314151617343[[#This Row],[ESP]]-VLOOKUP($U$1,A:E,5,))/VLOOKUP($U$1,A:E,5,))*100)+100</f>
        <v/>
      </c>
      <c r="L186" s="77">
        <f>(((Table134567891011121314151617343[[#This Row],[EA19]]-VLOOKUP($U$1,A:F,6,))/VLOOKUP($U$1,A:F,6,))*100)+100</f>
        <v/>
      </c>
      <c r="M186" s="77">
        <f>(((Table134567891011121314151617343[[#This Row],[GBR]]-VLOOKUP($U$1,A:G,7,))/VLOOKUP($U$1,A:G,7,))*100)+100</f>
        <v/>
      </c>
      <c r="N186" s="77">
        <f>IF(VLOOKUP(A186,Database!$A:$AU,MATCH($N$1,Database!$A$1:$AU$1,0),FALSE)=0,#N/A,VLOOKUP(A186,Database!$A:$AU,MATCH($N$1,Database!$A$1:$AU$1,0),FALSE))</f>
        <v/>
      </c>
      <c r="O186" s="77">
        <f>(((Table134567891011121314151617343[[#This Row],[USA]]-VLOOKUP($U$1,A:N,14,))/VLOOKUP($U$1,A:N,14,))*100)+100</f>
        <v/>
      </c>
      <c r="P186" s="77">
        <f>IF(VLOOKUP(A186,Database!$A:$AS,MATCH($P$1,Database!$A$1:$AS$1,0),FALSE)=0,#N/A,VLOOKUP(A186,Database!$A:$AS,MATCH($P$1,Database!$A$1:$AS$1,0),FALSE))</f>
        <v/>
      </c>
      <c r="Q186" s="77">
        <f>(((Table134567891011121314151617343[[#This Row],[JPN]]-VLOOKUP($U$1,A:Q,16,))/VLOOKUP($U$1,A:Q,16,))*100)+100</f>
        <v/>
      </c>
    </row>
    <row r="187" customFormat="1" s="87">
      <c r="A187" s="21" t="n">
        <v>38504</v>
      </c>
      <c r="B187" s="77">
        <f>IF(VLOOKUP(A187,Database!$A:$AS,MATCH($B$1,Database!$A$1:$AS$1,0),FALSE)=0,#N/A,VLOOKUP(A187,Database!$A:$AS,MATCH($B$1,Database!$A$1:$AS$1,0),FALSE))</f>
        <v/>
      </c>
      <c r="C187" s="77">
        <f>IF(VLOOKUP(A187,Database!$A:$AS,MATCH($C$1,Database!$A$1:$AS$1,0),FALSE)=0,#N/A,VLOOKUP(A187,Database!$A:$AS,MATCH($C$1,Database!$A$1:$AS$1,0),FALSE))</f>
        <v/>
      </c>
      <c r="D187" s="77">
        <f>IF(VLOOKUP(A187,Database!$A:$AS,MATCH($D$1,Database!$A$1:$AS$1,0),FALSE)=0,#N/A,VLOOKUP(A187,Database!$A:$AS,MATCH($D$1,Database!$A$1:$AS$1,0),FALSE))</f>
        <v/>
      </c>
      <c r="E187" s="77">
        <f>IF(VLOOKUP(A187,Database!$A:$AS,MATCH($E$1,Database!$A$1:$AS$1,0),FALSE)=0,#N/A,VLOOKUP(A187,Database!$A:$AS,MATCH($E$1,Database!$A$1:$AS$1,0),FALSE))</f>
        <v/>
      </c>
      <c r="F187" s="77">
        <f>IF(VLOOKUP(A187,Database!$A:$AS,MATCH($F$1,Database!$A$1:$AS$1,0),FALSE)=0,#N/A,VLOOKUP(A187,Database!$A:$AS,MATCH($F$1,Database!$A$1:$AS$1,0),FALSE))</f>
        <v/>
      </c>
      <c r="G187" s="77">
        <f>IF(VLOOKUP(A187,Database!$A:$AS,MATCH($G$1,Database!$A$1:$AS$1,0),FALSE)=0,#N/A,VLOOKUP(A187,Database!$A:$AS,MATCH($G$1,Database!$A$1:$AS$1,0),FALSE))</f>
        <v/>
      </c>
      <c r="H187" s="77">
        <f>(((Table134567891011121314151617343[[#This Row],[ITA]]-VLOOKUP($U$1,A:B,2,))/VLOOKUP($U$1,A:B,2,))*100)+100</f>
        <v/>
      </c>
      <c r="I187" s="77">
        <f>(((Table134567891011121314151617343[[#This Row],[FRA]]-VLOOKUP($U$1,A:C,3,))/VLOOKUP($U$1,A:C,3,))*100)+100</f>
        <v/>
      </c>
      <c r="J187" s="77">
        <f>(((Table134567891011121314151617343[[#This Row],[DEU]]-VLOOKUP($U$1,A:D,4,))/VLOOKUP($U$1,A:D,4,))*100)+100</f>
        <v/>
      </c>
      <c r="K187" s="77">
        <f>(((Table134567891011121314151617343[[#This Row],[ESP]]-VLOOKUP($U$1,A:E,5,))/VLOOKUP($U$1,A:E,5,))*100)+100</f>
        <v/>
      </c>
      <c r="L187" s="77">
        <f>(((Table134567891011121314151617343[[#This Row],[EA19]]-VLOOKUP($U$1,A:F,6,))/VLOOKUP($U$1,A:F,6,))*100)+100</f>
        <v/>
      </c>
      <c r="M187" s="77">
        <f>(((Table134567891011121314151617343[[#This Row],[GBR]]-VLOOKUP($U$1,A:G,7,))/VLOOKUP($U$1,A:G,7,))*100)+100</f>
        <v/>
      </c>
      <c r="N187" s="77">
        <f>IF(VLOOKUP(A187,Database!$A:$AU,MATCH($N$1,Database!$A$1:$AU$1,0),FALSE)=0,#N/A,VLOOKUP(A187,Database!$A:$AU,MATCH($N$1,Database!$A$1:$AU$1,0),FALSE))</f>
        <v/>
      </c>
      <c r="O187" s="77">
        <f>(((Table134567891011121314151617343[[#This Row],[USA]]-VLOOKUP($U$1,A:N,14,))/VLOOKUP($U$1,A:N,14,))*100)+100</f>
        <v/>
      </c>
      <c r="P187" s="77">
        <f>IF(VLOOKUP(A187,Database!$A:$AS,MATCH($P$1,Database!$A$1:$AS$1,0),FALSE)=0,#N/A,VLOOKUP(A187,Database!$A:$AS,MATCH($P$1,Database!$A$1:$AS$1,0),FALSE))</f>
        <v/>
      </c>
      <c r="Q187" s="77">
        <f>(((Table134567891011121314151617343[[#This Row],[JPN]]-VLOOKUP($U$1,A:Q,16,))/VLOOKUP($U$1,A:Q,16,))*100)+100</f>
        <v/>
      </c>
    </row>
    <row r="188" customFormat="1" s="87">
      <c r="A188" s="21" t="n">
        <v>38534</v>
      </c>
      <c r="B188" s="77">
        <f>IF(VLOOKUP(A188,Database!$A:$AS,MATCH($B$1,Database!$A$1:$AS$1,0),FALSE)=0,#N/A,VLOOKUP(A188,Database!$A:$AS,MATCH($B$1,Database!$A$1:$AS$1,0),FALSE))</f>
        <v/>
      </c>
      <c r="C188" s="77">
        <f>IF(VLOOKUP(A188,Database!$A:$AS,MATCH($C$1,Database!$A$1:$AS$1,0),FALSE)=0,#N/A,VLOOKUP(A188,Database!$A:$AS,MATCH($C$1,Database!$A$1:$AS$1,0),FALSE))</f>
        <v/>
      </c>
      <c r="D188" s="77">
        <f>IF(VLOOKUP(A188,Database!$A:$AS,MATCH($D$1,Database!$A$1:$AS$1,0),FALSE)=0,#N/A,VLOOKUP(A188,Database!$A:$AS,MATCH($D$1,Database!$A$1:$AS$1,0),FALSE))</f>
        <v/>
      </c>
      <c r="E188" s="77">
        <f>IF(VLOOKUP(A188,Database!$A:$AS,MATCH($E$1,Database!$A$1:$AS$1,0),FALSE)=0,#N/A,VLOOKUP(A188,Database!$A:$AS,MATCH($E$1,Database!$A$1:$AS$1,0),FALSE))</f>
        <v/>
      </c>
      <c r="F188" s="77">
        <f>IF(VLOOKUP(A188,Database!$A:$AS,MATCH($F$1,Database!$A$1:$AS$1,0),FALSE)=0,#N/A,VLOOKUP(A188,Database!$A:$AS,MATCH($F$1,Database!$A$1:$AS$1,0),FALSE))</f>
        <v/>
      </c>
      <c r="G188" s="77">
        <f>IF(VLOOKUP(A188,Database!$A:$AS,MATCH($G$1,Database!$A$1:$AS$1,0),FALSE)=0,#N/A,VLOOKUP(A188,Database!$A:$AS,MATCH($G$1,Database!$A$1:$AS$1,0),FALSE))</f>
        <v/>
      </c>
      <c r="H188" s="77">
        <f>(((Table134567891011121314151617343[[#This Row],[ITA]]-VLOOKUP($U$1,A:B,2,))/VLOOKUP($U$1,A:B,2,))*100)+100</f>
        <v/>
      </c>
      <c r="I188" s="77">
        <f>(((Table134567891011121314151617343[[#This Row],[FRA]]-VLOOKUP($U$1,A:C,3,))/VLOOKUP($U$1,A:C,3,))*100)+100</f>
        <v/>
      </c>
      <c r="J188" s="77">
        <f>(((Table134567891011121314151617343[[#This Row],[DEU]]-VLOOKUP($U$1,A:D,4,))/VLOOKUP($U$1,A:D,4,))*100)+100</f>
        <v/>
      </c>
      <c r="K188" s="77">
        <f>(((Table134567891011121314151617343[[#This Row],[ESP]]-VLOOKUP($U$1,A:E,5,))/VLOOKUP($U$1,A:E,5,))*100)+100</f>
        <v/>
      </c>
      <c r="L188" s="77">
        <f>(((Table134567891011121314151617343[[#This Row],[EA19]]-VLOOKUP($U$1,A:F,6,))/VLOOKUP($U$1,A:F,6,))*100)+100</f>
        <v/>
      </c>
      <c r="M188" s="77">
        <f>(((Table134567891011121314151617343[[#This Row],[GBR]]-VLOOKUP($U$1,A:G,7,))/VLOOKUP($U$1,A:G,7,))*100)+100</f>
        <v/>
      </c>
      <c r="N188" s="77">
        <f>IF(VLOOKUP(A188,Database!$A:$AU,MATCH($N$1,Database!$A$1:$AU$1,0),FALSE)=0,#N/A,VLOOKUP(A188,Database!$A:$AU,MATCH($N$1,Database!$A$1:$AU$1,0),FALSE))</f>
        <v/>
      </c>
      <c r="O188" s="77">
        <f>(((Table134567891011121314151617343[[#This Row],[USA]]-VLOOKUP($U$1,A:N,14,))/VLOOKUP($U$1,A:N,14,))*100)+100</f>
        <v/>
      </c>
      <c r="P188" s="77">
        <f>IF(VLOOKUP(A188,Database!$A:$AS,MATCH($P$1,Database!$A$1:$AS$1,0),FALSE)=0,#N/A,VLOOKUP(A188,Database!$A:$AS,MATCH($P$1,Database!$A$1:$AS$1,0),FALSE))</f>
        <v/>
      </c>
      <c r="Q188" s="77">
        <f>(((Table134567891011121314151617343[[#This Row],[JPN]]-VLOOKUP($U$1,A:Q,16,))/VLOOKUP($U$1,A:Q,16,))*100)+100</f>
        <v/>
      </c>
    </row>
    <row r="189" customFormat="1" s="87">
      <c r="A189" s="21" t="n">
        <v>38565</v>
      </c>
      <c r="B189" s="77">
        <f>IF(VLOOKUP(A189,Database!$A:$AS,MATCH($B$1,Database!$A$1:$AS$1,0),FALSE)=0,#N/A,VLOOKUP(A189,Database!$A:$AS,MATCH($B$1,Database!$A$1:$AS$1,0),FALSE))</f>
        <v/>
      </c>
      <c r="C189" s="77">
        <f>IF(VLOOKUP(A189,Database!$A:$AS,MATCH($C$1,Database!$A$1:$AS$1,0),FALSE)=0,#N/A,VLOOKUP(A189,Database!$A:$AS,MATCH($C$1,Database!$A$1:$AS$1,0),FALSE))</f>
        <v/>
      </c>
      <c r="D189" s="77">
        <f>IF(VLOOKUP(A189,Database!$A:$AS,MATCH($D$1,Database!$A$1:$AS$1,0),FALSE)=0,#N/A,VLOOKUP(A189,Database!$A:$AS,MATCH($D$1,Database!$A$1:$AS$1,0),FALSE))</f>
        <v/>
      </c>
      <c r="E189" s="77">
        <f>IF(VLOOKUP(A189,Database!$A:$AS,MATCH($E$1,Database!$A$1:$AS$1,0),FALSE)=0,#N/A,VLOOKUP(A189,Database!$A:$AS,MATCH($E$1,Database!$A$1:$AS$1,0),FALSE))</f>
        <v/>
      </c>
      <c r="F189" s="77">
        <f>IF(VLOOKUP(A189,Database!$A:$AS,MATCH($F$1,Database!$A$1:$AS$1,0),FALSE)=0,#N/A,VLOOKUP(A189,Database!$A:$AS,MATCH($F$1,Database!$A$1:$AS$1,0),FALSE))</f>
        <v/>
      </c>
      <c r="G189" s="77">
        <f>IF(VLOOKUP(A189,Database!$A:$AS,MATCH($G$1,Database!$A$1:$AS$1,0),FALSE)=0,#N/A,VLOOKUP(A189,Database!$A:$AS,MATCH($G$1,Database!$A$1:$AS$1,0),FALSE))</f>
        <v/>
      </c>
      <c r="H189" s="77">
        <f>(((Table134567891011121314151617343[[#This Row],[ITA]]-VLOOKUP($U$1,A:B,2,))/VLOOKUP($U$1,A:B,2,))*100)+100</f>
        <v/>
      </c>
      <c r="I189" s="77">
        <f>(((Table134567891011121314151617343[[#This Row],[FRA]]-VLOOKUP($U$1,A:C,3,))/VLOOKUP($U$1,A:C,3,))*100)+100</f>
        <v/>
      </c>
      <c r="J189" s="77">
        <f>(((Table134567891011121314151617343[[#This Row],[DEU]]-VLOOKUP($U$1,A:D,4,))/VLOOKUP($U$1,A:D,4,))*100)+100</f>
        <v/>
      </c>
      <c r="K189" s="77">
        <f>(((Table134567891011121314151617343[[#This Row],[ESP]]-VLOOKUP($U$1,A:E,5,))/VLOOKUP($U$1,A:E,5,))*100)+100</f>
        <v/>
      </c>
      <c r="L189" s="77">
        <f>(((Table134567891011121314151617343[[#This Row],[EA19]]-VLOOKUP($U$1,A:F,6,))/VLOOKUP($U$1,A:F,6,))*100)+100</f>
        <v/>
      </c>
      <c r="M189" s="77">
        <f>(((Table134567891011121314151617343[[#This Row],[GBR]]-VLOOKUP($U$1,A:G,7,))/VLOOKUP($U$1,A:G,7,))*100)+100</f>
        <v/>
      </c>
      <c r="N189" s="77">
        <f>IF(VLOOKUP(A189,Database!$A:$AU,MATCH($N$1,Database!$A$1:$AU$1,0),FALSE)=0,#N/A,VLOOKUP(A189,Database!$A:$AU,MATCH($N$1,Database!$A$1:$AU$1,0),FALSE))</f>
        <v/>
      </c>
      <c r="O189" s="77">
        <f>(((Table134567891011121314151617343[[#This Row],[USA]]-VLOOKUP($U$1,A:N,14,))/VLOOKUP($U$1,A:N,14,))*100)+100</f>
        <v/>
      </c>
      <c r="P189" s="77">
        <f>IF(VLOOKUP(A189,Database!$A:$AS,MATCH($P$1,Database!$A$1:$AS$1,0),FALSE)=0,#N/A,VLOOKUP(A189,Database!$A:$AS,MATCH($P$1,Database!$A$1:$AS$1,0),FALSE))</f>
        <v/>
      </c>
      <c r="Q189" s="77">
        <f>(((Table134567891011121314151617343[[#This Row],[JPN]]-VLOOKUP($U$1,A:Q,16,))/VLOOKUP($U$1,A:Q,16,))*100)+100</f>
        <v/>
      </c>
    </row>
    <row r="190" customFormat="1" s="87">
      <c r="A190" s="21" t="n">
        <v>38596</v>
      </c>
      <c r="B190" s="77">
        <f>IF(VLOOKUP(A190,Database!$A:$AS,MATCH($B$1,Database!$A$1:$AS$1,0),FALSE)=0,#N/A,VLOOKUP(A190,Database!$A:$AS,MATCH($B$1,Database!$A$1:$AS$1,0),FALSE))</f>
        <v/>
      </c>
      <c r="C190" s="77">
        <f>IF(VLOOKUP(A190,Database!$A:$AS,MATCH($C$1,Database!$A$1:$AS$1,0),FALSE)=0,#N/A,VLOOKUP(A190,Database!$A:$AS,MATCH($C$1,Database!$A$1:$AS$1,0),FALSE))</f>
        <v/>
      </c>
      <c r="D190" s="77">
        <f>IF(VLOOKUP(A190,Database!$A:$AS,MATCH($D$1,Database!$A$1:$AS$1,0),FALSE)=0,#N/A,VLOOKUP(A190,Database!$A:$AS,MATCH($D$1,Database!$A$1:$AS$1,0),FALSE))</f>
        <v/>
      </c>
      <c r="E190" s="77">
        <f>IF(VLOOKUP(A190,Database!$A:$AS,MATCH($E$1,Database!$A$1:$AS$1,0),FALSE)=0,#N/A,VLOOKUP(A190,Database!$A:$AS,MATCH($E$1,Database!$A$1:$AS$1,0),FALSE))</f>
        <v/>
      </c>
      <c r="F190" s="77">
        <f>IF(VLOOKUP(A190,Database!$A:$AS,MATCH($F$1,Database!$A$1:$AS$1,0),FALSE)=0,#N/A,VLOOKUP(A190,Database!$A:$AS,MATCH($F$1,Database!$A$1:$AS$1,0),FALSE))</f>
        <v/>
      </c>
      <c r="G190" s="77">
        <f>IF(VLOOKUP(A190,Database!$A:$AS,MATCH($G$1,Database!$A$1:$AS$1,0),FALSE)=0,#N/A,VLOOKUP(A190,Database!$A:$AS,MATCH($G$1,Database!$A$1:$AS$1,0),FALSE))</f>
        <v/>
      </c>
      <c r="H190" s="77">
        <f>(((Table134567891011121314151617343[[#This Row],[ITA]]-VLOOKUP($U$1,A:B,2,))/VLOOKUP($U$1,A:B,2,))*100)+100</f>
        <v/>
      </c>
      <c r="I190" s="77">
        <f>(((Table134567891011121314151617343[[#This Row],[FRA]]-VLOOKUP($U$1,A:C,3,))/VLOOKUP($U$1,A:C,3,))*100)+100</f>
        <v/>
      </c>
      <c r="J190" s="77">
        <f>(((Table134567891011121314151617343[[#This Row],[DEU]]-VLOOKUP($U$1,A:D,4,))/VLOOKUP($U$1,A:D,4,))*100)+100</f>
        <v/>
      </c>
      <c r="K190" s="77">
        <f>(((Table134567891011121314151617343[[#This Row],[ESP]]-VLOOKUP($U$1,A:E,5,))/VLOOKUP($U$1,A:E,5,))*100)+100</f>
        <v/>
      </c>
      <c r="L190" s="77">
        <f>(((Table134567891011121314151617343[[#This Row],[EA19]]-VLOOKUP($U$1,A:F,6,))/VLOOKUP($U$1,A:F,6,))*100)+100</f>
        <v/>
      </c>
      <c r="M190" s="77">
        <f>(((Table134567891011121314151617343[[#This Row],[GBR]]-VLOOKUP($U$1,A:G,7,))/VLOOKUP($U$1,A:G,7,))*100)+100</f>
        <v/>
      </c>
      <c r="N190" s="77">
        <f>IF(VLOOKUP(A190,Database!$A:$AU,MATCH($N$1,Database!$A$1:$AU$1,0),FALSE)=0,#N/A,VLOOKUP(A190,Database!$A:$AU,MATCH($N$1,Database!$A$1:$AU$1,0),FALSE))</f>
        <v/>
      </c>
      <c r="O190" s="77">
        <f>(((Table134567891011121314151617343[[#This Row],[USA]]-VLOOKUP($U$1,A:N,14,))/VLOOKUP($U$1,A:N,14,))*100)+100</f>
        <v/>
      </c>
      <c r="P190" s="77">
        <f>IF(VLOOKUP(A190,Database!$A:$AS,MATCH($P$1,Database!$A$1:$AS$1,0),FALSE)=0,#N/A,VLOOKUP(A190,Database!$A:$AS,MATCH($P$1,Database!$A$1:$AS$1,0),FALSE))</f>
        <v/>
      </c>
      <c r="Q190" s="77">
        <f>(((Table134567891011121314151617343[[#This Row],[JPN]]-VLOOKUP($U$1,A:Q,16,))/VLOOKUP($U$1,A:Q,16,))*100)+100</f>
        <v/>
      </c>
    </row>
    <row r="191" customFormat="1" s="87">
      <c r="A191" s="21" t="n">
        <v>38626</v>
      </c>
      <c r="B191" s="77">
        <f>IF(VLOOKUP(A191,Database!$A:$AS,MATCH($B$1,Database!$A$1:$AS$1,0),FALSE)=0,#N/A,VLOOKUP(A191,Database!$A:$AS,MATCH($B$1,Database!$A$1:$AS$1,0),FALSE))</f>
        <v/>
      </c>
      <c r="C191" s="77">
        <f>IF(VLOOKUP(A191,Database!$A:$AS,MATCH($C$1,Database!$A$1:$AS$1,0),FALSE)=0,#N/A,VLOOKUP(A191,Database!$A:$AS,MATCH($C$1,Database!$A$1:$AS$1,0),FALSE))</f>
        <v/>
      </c>
      <c r="D191" s="77">
        <f>IF(VLOOKUP(A191,Database!$A:$AS,MATCH($D$1,Database!$A$1:$AS$1,0),FALSE)=0,#N/A,VLOOKUP(A191,Database!$A:$AS,MATCH($D$1,Database!$A$1:$AS$1,0),FALSE))</f>
        <v/>
      </c>
      <c r="E191" s="77">
        <f>IF(VLOOKUP(A191,Database!$A:$AS,MATCH($E$1,Database!$A$1:$AS$1,0),FALSE)=0,#N/A,VLOOKUP(A191,Database!$A:$AS,MATCH($E$1,Database!$A$1:$AS$1,0),FALSE))</f>
        <v/>
      </c>
      <c r="F191" s="77">
        <f>IF(VLOOKUP(A191,Database!$A:$AS,MATCH($F$1,Database!$A$1:$AS$1,0),FALSE)=0,#N/A,VLOOKUP(A191,Database!$A:$AS,MATCH($F$1,Database!$A$1:$AS$1,0),FALSE))</f>
        <v/>
      </c>
      <c r="G191" s="77">
        <f>IF(VLOOKUP(A191,Database!$A:$AS,MATCH($G$1,Database!$A$1:$AS$1,0),FALSE)=0,#N/A,VLOOKUP(A191,Database!$A:$AS,MATCH($G$1,Database!$A$1:$AS$1,0),FALSE))</f>
        <v/>
      </c>
      <c r="H191" s="77">
        <f>(((Table134567891011121314151617343[[#This Row],[ITA]]-VLOOKUP($U$1,A:B,2,))/VLOOKUP($U$1,A:B,2,))*100)+100</f>
        <v/>
      </c>
      <c r="I191" s="77">
        <f>(((Table134567891011121314151617343[[#This Row],[FRA]]-VLOOKUP($U$1,A:C,3,))/VLOOKUP($U$1,A:C,3,))*100)+100</f>
        <v/>
      </c>
      <c r="J191" s="77">
        <f>(((Table134567891011121314151617343[[#This Row],[DEU]]-VLOOKUP($U$1,A:D,4,))/VLOOKUP($U$1,A:D,4,))*100)+100</f>
        <v/>
      </c>
      <c r="K191" s="77">
        <f>(((Table134567891011121314151617343[[#This Row],[ESP]]-VLOOKUP($U$1,A:E,5,))/VLOOKUP($U$1,A:E,5,))*100)+100</f>
        <v/>
      </c>
      <c r="L191" s="77">
        <f>(((Table134567891011121314151617343[[#This Row],[EA19]]-VLOOKUP($U$1,A:F,6,))/VLOOKUP($U$1,A:F,6,))*100)+100</f>
        <v/>
      </c>
      <c r="M191" s="77">
        <f>(((Table134567891011121314151617343[[#This Row],[GBR]]-VLOOKUP($U$1,A:G,7,))/VLOOKUP($U$1,A:G,7,))*100)+100</f>
        <v/>
      </c>
      <c r="N191" s="77">
        <f>IF(VLOOKUP(A191,Database!$A:$AU,MATCH($N$1,Database!$A$1:$AU$1,0),FALSE)=0,#N/A,VLOOKUP(A191,Database!$A:$AU,MATCH($N$1,Database!$A$1:$AU$1,0),FALSE))</f>
        <v/>
      </c>
      <c r="O191" s="77">
        <f>(((Table134567891011121314151617343[[#This Row],[USA]]-VLOOKUP($U$1,A:N,14,))/VLOOKUP($U$1,A:N,14,))*100)+100</f>
        <v/>
      </c>
      <c r="P191" s="77">
        <f>IF(VLOOKUP(A191,Database!$A:$AS,MATCH($P$1,Database!$A$1:$AS$1,0),FALSE)=0,#N/A,VLOOKUP(A191,Database!$A:$AS,MATCH($P$1,Database!$A$1:$AS$1,0),FALSE))</f>
        <v/>
      </c>
      <c r="Q191" s="77">
        <f>(((Table134567891011121314151617343[[#This Row],[JPN]]-VLOOKUP($U$1,A:Q,16,))/VLOOKUP($U$1,A:Q,16,))*100)+100</f>
        <v/>
      </c>
    </row>
    <row r="192" customFormat="1" s="87">
      <c r="A192" s="21" t="n">
        <v>38657</v>
      </c>
      <c r="B192" s="77">
        <f>IF(VLOOKUP(A192,Database!$A:$AS,MATCH($B$1,Database!$A$1:$AS$1,0),FALSE)=0,#N/A,VLOOKUP(A192,Database!$A:$AS,MATCH($B$1,Database!$A$1:$AS$1,0),FALSE))</f>
        <v/>
      </c>
      <c r="C192" s="77">
        <f>IF(VLOOKUP(A192,Database!$A:$AS,MATCH($C$1,Database!$A$1:$AS$1,0),FALSE)=0,#N/A,VLOOKUP(A192,Database!$A:$AS,MATCH($C$1,Database!$A$1:$AS$1,0),FALSE))</f>
        <v/>
      </c>
      <c r="D192" s="77">
        <f>IF(VLOOKUP(A192,Database!$A:$AS,MATCH($D$1,Database!$A$1:$AS$1,0),FALSE)=0,#N/A,VLOOKUP(A192,Database!$A:$AS,MATCH($D$1,Database!$A$1:$AS$1,0),FALSE))</f>
        <v/>
      </c>
      <c r="E192" s="77">
        <f>IF(VLOOKUP(A192,Database!$A:$AS,MATCH($E$1,Database!$A$1:$AS$1,0),FALSE)=0,#N/A,VLOOKUP(A192,Database!$A:$AS,MATCH($E$1,Database!$A$1:$AS$1,0),FALSE))</f>
        <v/>
      </c>
      <c r="F192" s="77">
        <f>IF(VLOOKUP(A192,Database!$A:$AS,MATCH($F$1,Database!$A$1:$AS$1,0),FALSE)=0,#N/A,VLOOKUP(A192,Database!$A:$AS,MATCH($F$1,Database!$A$1:$AS$1,0),FALSE))</f>
        <v/>
      </c>
      <c r="G192" s="77">
        <f>IF(VLOOKUP(A192,Database!$A:$AS,MATCH($G$1,Database!$A$1:$AS$1,0),FALSE)=0,#N/A,VLOOKUP(A192,Database!$A:$AS,MATCH($G$1,Database!$A$1:$AS$1,0),FALSE))</f>
        <v/>
      </c>
      <c r="H192" s="77">
        <f>(((Table134567891011121314151617343[[#This Row],[ITA]]-VLOOKUP($U$1,A:B,2,))/VLOOKUP($U$1,A:B,2,))*100)+100</f>
        <v/>
      </c>
      <c r="I192" s="77">
        <f>(((Table134567891011121314151617343[[#This Row],[FRA]]-VLOOKUP($U$1,A:C,3,))/VLOOKUP($U$1,A:C,3,))*100)+100</f>
        <v/>
      </c>
      <c r="J192" s="77">
        <f>(((Table134567891011121314151617343[[#This Row],[DEU]]-VLOOKUP($U$1,A:D,4,))/VLOOKUP($U$1,A:D,4,))*100)+100</f>
        <v/>
      </c>
      <c r="K192" s="77">
        <f>(((Table134567891011121314151617343[[#This Row],[ESP]]-VLOOKUP($U$1,A:E,5,))/VLOOKUP($U$1,A:E,5,))*100)+100</f>
        <v/>
      </c>
      <c r="L192" s="77">
        <f>(((Table134567891011121314151617343[[#This Row],[EA19]]-VLOOKUP($U$1,A:F,6,))/VLOOKUP($U$1,A:F,6,))*100)+100</f>
        <v/>
      </c>
      <c r="M192" s="77">
        <f>(((Table134567891011121314151617343[[#This Row],[GBR]]-VLOOKUP($U$1,A:G,7,))/VLOOKUP($U$1,A:G,7,))*100)+100</f>
        <v/>
      </c>
      <c r="N192" s="77">
        <f>IF(VLOOKUP(A192,Database!$A:$AU,MATCH($N$1,Database!$A$1:$AU$1,0),FALSE)=0,#N/A,VLOOKUP(A192,Database!$A:$AU,MATCH($N$1,Database!$A$1:$AU$1,0),FALSE))</f>
        <v/>
      </c>
      <c r="O192" s="77">
        <f>(((Table134567891011121314151617343[[#This Row],[USA]]-VLOOKUP($U$1,A:N,14,))/VLOOKUP($U$1,A:N,14,))*100)+100</f>
        <v/>
      </c>
      <c r="P192" s="77">
        <f>IF(VLOOKUP(A192,Database!$A:$AS,MATCH($P$1,Database!$A$1:$AS$1,0),FALSE)=0,#N/A,VLOOKUP(A192,Database!$A:$AS,MATCH($P$1,Database!$A$1:$AS$1,0),FALSE))</f>
        <v/>
      </c>
      <c r="Q192" s="77">
        <f>(((Table134567891011121314151617343[[#This Row],[JPN]]-VLOOKUP($U$1,A:Q,16,))/VLOOKUP($U$1,A:Q,16,))*100)+100</f>
        <v/>
      </c>
    </row>
    <row r="193" customFormat="1" s="87">
      <c r="A193" s="21" t="n">
        <v>38687</v>
      </c>
      <c r="B193" s="77">
        <f>IF(VLOOKUP(A193,Database!$A:$AS,MATCH($B$1,Database!$A$1:$AS$1,0),FALSE)=0,#N/A,VLOOKUP(A193,Database!$A:$AS,MATCH($B$1,Database!$A$1:$AS$1,0),FALSE))</f>
        <v/>
      </c>
      <c r="C193" s="77">
        <f>IF(VLOOKUP(A193,Database!$A:$AS,MATCH($C$1,Database!$A$1:$AS$1,0),FALSE)=0,#N/A,VLOOKUP(A193,Database!$A:$AS,MATCH($C$1,Database!$A$1:$AS$1,0),FALSE))</f>
        <v/>
      </c>
      <c r="D193" s="77">
        <f>IF(VLOOKUP(A193,Database!$A:$AS,MATCH($D$1,Database!$A$1:$AS$1,0),FALSE)=0,#N/A,VLOOKUP(A193,Database!$A:$AS,MATCH($D$1,Database!$A$1:$AS$1,0),FALSE))</f>
        <v/>
      </c>
      <c r="E193" s="77">
        <f>IF(VLOOKUP(A193,Database!$A:$AS,MATCH($E$1,Database!$A$1:$AS$1,0),FALSE)=0,#N/A,VLOOKUP(A193,Database!$A:$AS,MATCH($E$1,Database!$A$1:$AS$1,0),FALSE))</f>
        <v/>
      </c>
      <c r="F193" s="77">
        <f>IF(VLOOKUP(A193,Database!$A:$AS,MATCH($F$1,Database!$A$1:$AS$1,0),FALSE)=0,#N/A,VLOOKUP(A193,Database!$A:$AS,MATCH($F$1,Database!$A$1:$AS$1,0),FALSE))</f>
        <v/>
      </c>
      <c r="G193" s="77">
        <f>IF(VLOOKUP(A193,Database!$A:$AS,MATCH($G$1,Database!$A$1:$AS$1,0),FALSE)=0,#N/A,VLOOKUP(A193,Database!$A:$AS,MATCH($G$1,Database!$A$1:$AS$1,0),FALSE))</f>
        <v/>
      </c>
      <c r="H193" s="77">
        <f>(((Table134567891011121314151617343[[#This Row],[ITA]]-VLOOKUP($U$1,A:B,2,))/VLOOKUP($U$1,A:B,2,))*100)+100</f>
        <v/>
      </c>
      <c r="I193" s="77">
        <f>(((Table134567891011121314151617343[[#This Row],[FRA]]-VLOOKUP($U$1,A:C,3,))/VLOOKUP($U$1,A:C,3,))*100)+100</f>
        <v/>
      </c>
      <c r="J193" s="77">
        <f>(((Table134567891011121314151617343[[#This Row],[DEU]]-VLOOKUP($U$1,A:D,4,))/VLOOKUP($U$1,A:D,4,))*100)+100</f>
        <v/>
      </c>
      <c r="K193" s="77">
        <f>(((Table134567891011121314151617343[[#This Row],[ESP]]-VLOOKUP($U$1,A:E,5,))/VLOOKUP($U$1,A:E,5,))*100)+100</f>
        <v/>
      </c>
      <c r="L193" s="77">
        <f>(((Table134567891011121314151617343[[#This Row],[EA19]]-VLOOKUP($U$1,A:F,6,))/VLOOKUP($U$1,A:F,6,))*100)+100</f>
        <v/>
      </c>
      <c r="M193" s="77">
        <f>(((Table134567891011121314151617343[[#This Row],[GBR]]-VLOOKUP($U$1,A:G,7,))/VLOOKUP($U$1,A:G,7,))*100)+100</f>
        <v/>
      </c>
      <c r="N193" s="77">
        <f>IF(VLOOKUP(A193,Database!$A:$AU,MATCH($N$1,Database!$A$1:$AU$1,0),FALSE)=0,#N/A,VLOOKUP(A193,Database!$A:$AU,MATCH($N$1,Database!$A$1:$AU$1,0),FALSE))</f>
        <v/>
      </c>
      <c r="O193" s="77">
        <f>(((Table134567891011121314151617343[[#This Row],[USA]]-VLOOKUP($U$1,A:N,14,))/VLOOKUP($U$1,A:N,14,))*100)+100</f>
        <v/>
      </c>
      <c r="P193" s="77">
        <f>IF(VLOOKUP(A193,Database!$A:$AS,MATCH($P$1,Database!$A$1:$AS$1,0),FALSE)=0,#N/A,VLOOKUP(A193,Database!$A:$AS,MATCH($P$1,Database!$A$1:$AS$1,0),FALSE))</f>
        <v/>
      </c>
      <c r="Q193" s="77">
        <f>(((Table134567891011121314151617343[[#This Row],[JPN]]-VLOOKUP($U$1,A:Q,16,))/VLOOKUP($U$1,A:Q,16,))*100)+100</f>
        <v/>
      </c>
    </row>
    <row r="194" customFormat="1" s="87">
      <c r="A194" s="21" t="n">
        <v>38718</v>
      </c>
      <c r="B194" s="77">
        <f>IF(VLOOKUP(A194,Database!$A:$AS,MATCH($B$1,Database!$A$1:$AS$1,0),FALSE)=0,#N/A,VLOOKUP(A194,Database!$A:$AS,MATCH($B$1,Database!$A$1:$AS$1,0),FALSE))</f>
        <v/>
      </c>
      <c r="C194" s="77">
        <f>IF(VLOOKUP(A194,Database!$A:$AS,MATCH($C$1,Database!$A$1:$AS$1,0),FALSE)=0,#N/A,VLOOKUP(A194,Database!$A:$AS,MATCH($C$1,Database!$A$1:$AS$1,0),FALSE))</f>
        <v/>
      </c>
      <c r="D194" s="77">
        <f>IF(VLOOKUP(A194,Database!$A:$AS,MATCH($D$1,Database!$A$1:$AS$1,0),FALSE)=0,#N/A,VLOOKUP(A194,Database!$A:$AS,MATCH($D$1,Database!$A$1:$AS$1,0),FALSE))</f>
        <v/>
      </c>
      <c r="E194" s="77">
        <f>IF(VLOOKUP(A194,Database!$A:$AS,MATCH($E$1,Database!$A$1:$AS$1,0),FALSE)=0,#N/A,VLOOKUP(A194,Database!$A:$AS,MATCH($E$1,Database!$A$1:$AS$1,0),FALSE))</f>
        <v/>
      </c>
      <c r="F194" s="77">
        <f>IF(VLOOKUP(A194,Database!$A:$AS,MATCH($F$1,Database!$A$1:$AS$1,0),FALSE)=0,#N/A,VLOOKUP(A194,Database!$A:$AS,MATCH($F$1,Database!$A$1:$AS$1,0),FALSE))</f>
        <v/>
      </c>
      <c r="G194" s="77">
        <f>IF(VLOOKUP(A194,Database!$A:$AS,MATCH($G$1,Database!$A$1:$AS$1,0),FALSE)=0,#N/A,VLOOKUP(A194,Database!$A:$AS,MATCH($G$1,Database!$A$1:$AS$1,0),FALSE))</f>
        <v/>
      </c>
      <c r="H194" s="77">
        <f>(((Table134567891011121314151617343[[#This Row],[ITA]]-VLOOKUP($U$1,A:B,2,))/VLOOKUP($U$1,A:B,2,))*100)+100</f>
        <v/>
      </c>
      <c r="I194" s="77">
        <f>(((Table134567891011121314151617343[[#This Row],[FRA]]-VLOOKUP($U$1,A:C,3,))/VLOOKUP($U$1,A:C,3,))*100)+100</f>
        <v/>
      </c>
      <c r="J194" s="77">
        <f>(((Table134567891011121314151617343[[#This Row],[DEU]]-VLOOKUP($U$1,A:D,4,))/VLOOKUP($U$1,A:D,4,))*100)+100</f>
        <v/>
      </c>
      <c r="K194" s="77">
        <f>(((Table134567891011121314151617343[[#This Row],[ESP]]-VLOOKUP($U$1,A:E,5,))/VLOOKUP($U$1,A:E,5,))*100)+100</f>
        <v/>
      </c>
      <c r="L194" s="77">
        <f>(((Table134567891011121314151617343[[#This Row],[EA19]]-VLOOKUP($U$1,A:F,6,))/VLOOKUP($U$1,A:F,6,))*100)+100</f>
        <v/>
      </c>
      <c r="M194" s="77">
        <f>(((Table134567891011121314151617343[[#This Row],[GBR]]-VLOOKUP($U$1,A:G,7,))/VLOOKUP($U$1,A:G,7,))*100)+100</f>
        <v/>
      </c>
      <c r="N194" s="77">
        <f>IF(VLOOKUP(A194,Database!$A:$AU,MATCH($N$1,Database!$A$1:$AU$1,0),FALSE)=0,#N/A,VLOOKUP(A194,Database!$A:$AU,MATCH($N$1,Database!$A$1:$AU$1,0),FALSE))</f>
        <v/>
      </c>
      <c r="O194" s="77">
        <f>(((Table134567891011121314151617343[[#This Row],[USA]]-VLOOKUP($U$1,A:N,14,))/VLOOKUP($U$1,A:N,14,))*100)+100</f>
        <v/>
      </c>
      <c r="P194" s="77">
        <f>IF(VLOOKUP(A194,Database!$A:$AS,MATCH($P$1,Database!$A$1:$AS$1,0),FALSE)=0,#N/A,VLOOKUP(A194,Database!$A:$AS,MATCH($P$1,Database!$A$1:$AS$1,0),FALSE))</f>
        <v/>
      </c>
      <c r="Q194" s="77">
        <f>(((Table134567891011121314151617343[[#This Row],[JPN]]-VLOOKUP($U$1,A:Q,16,))/VLOOKUP($U$1,A:Q,16,))*100)+100</f>
        <v/>
      </c>
    </row>
    <row r="195" customFormat="1" s="87">
      <c r="A195" s="21" t="n">
        <v>38749</v>
      </c>
      <c r="B195" s="77">
        <f>IF(VLOOKUP(A195,Database!$A:$AS,MATCH($B$1,Database!$A$1:$AS$1,0),FALSE)=0,#N/A,VLOOKUP(A195,Database!$A:$AS,MATCH($B$1,Database!$A$1:$AS$1,0),FALSE))</f>
        <v/>
      </c>
      <c r="C195" s="77">
        <f>IF(VLOOKUP(A195,Database!$A:$AS,MATCH($C$1,Database!$A$1:$AS$1,0),FALSE)=0,#N/A,VLOOKUP(A195,Database!$A:$AS,MATCH($C$1,Database!$A$1:$AS$1,0),FALSE))</f>
        <v/>
      </c>
      <c r="D195" s="77">
        <f>IF(VLOOKUP(A195,Database!$A:$AS,MATCH($D$1,Database!$A$1:$AS$1,0),FALSE)=0,#N/A,VLOOKUP(A195,Database!$A:$AS,MATCH($D$1,Database!$A$1:$AS$1,0),FALSE))</f>
        <v/>
      </c>
      <c r="E195" s="77">
        <f>IF(VLOOKUP(A195,Database!$A:$AS,MATCH($E$1,Database!$A$1:$AS$1,0),FALSE)=0,#N/A,VLOOKUP(A195,Database!$A:$AS,MATCH($E$1,Database!$A$1:$AS$1,0),FALSE))</f>
        <v/>
      </c>
      <c r="F195" s="77">
        <f>IF(VLOOKUP(A195,Database!$A:$AS,MATCH($F$1,Database!$A$1:$AS$1,0),FALSE)=0,#N/A,VLOOKUP(A195,Database!$A:$AS,MATCH($F$1,Database!$A$1:$AS$1,0),FALSE))</f>
        <v/>
      </c>
      <c r="G195" s="77">
        <f>IF(VLOOKUP(A195,Database!$A:$AS,MATCH($G$1,Database!$A$1:$AS$1,0),FALSE)=0,#N/A,VLOOKUP(A195,Database!$A:$AS,MATCH($G$1,Database!$A$1:$AS$1,0),FALSE))</f>
        <v/>
      </c>
      <c r="H195" s="77">
        <f>(((Table134567891011121314151617343[[#This Row],[ITA]]-VLOOKUP($U$1,A:B,2,))/VLOOKUP($U$1,A:B,2,))*100)+100</f>
        <v/>
      </c>
      <c r="I195" s="77">
        <f>(((Table134567891011121314151617343[[#This Row],[FRA]]-VLOOKUP($U$1,A:C,3,))/VLOOKUP($U$1,A:C,3,))*100)+100</f>
        <v/>
      </c>
      <c r="J195" s="77">
        <f>(((Table134567891011121314151617343[[#This Row],[DEU]]-VLOOKUP($U$1,A:D,4,))/VLOOKUP($U$1,A:D,4,))*100)+100</f>
        <v/>
      </c>
      <c r="K195" s="77">
        <f>(((Table134567891011121314151617343[[#This Row],[ESP]]-VLOOKUP($U$1,A:E,5,))/VLOOKUP($U$1,A:E,5,))*100)+100</f>
        <v/>
      </c>
      <c r="L195" s="77">
        <f>(((Table134567891011121314151617343[[#This Row],[EA19]]-VLOOKUP($U$1,A:F,6,))/VLOOKUP($U$1,A:F,6,))*100)+100</f>
        <v/>
      </c>
      <c r="M195" s="77">
        <f>(((Table134567891011121314151617343[[#This Row],[GBR]]-VLOOKUP($U$1,A:G,7,))/VLOOKUP($U$1,A:G,7,))*100)+100</f>
        <v/>
      </c>
      <c r="N195" s="77">
        <f>IF(VLOOKUP(A195,Database!$A:$AU,MATCH($N$1,Database!$A$1:$AU$1,0),FALSE)=0,#N/A,VLOOKUP(A195,Database!$A:$AU,MATCH($N$1,Database!$A$1:$AU$1,0),FALSE))</f>
        <v/>
      </c>
      <c r="O195" s="77">
        <f>(((Table134567891011121314151617343[[#This Row],[USA]]-VLOOKUP($U$1,A:N,14,))/VLOOKUP($U$1,A:N,14,))*100)+100</f>
        <v/>
      </c>
      <c r="P195" s="77">
        <f>IF(VLOOKUP(A195,Database!$A:$AS,MATCH($P$1,Database!$A$1:$AS$1,0),FALSE)=0,#N/A,VLOOKUP(A195,Database!$A:$AS,MATCH($P$1,Database!$A$1:$AS$1,0),FALSE))</f>
        <v/>
      </c>
      <c r="Q195" s="77">
        <f>(((Table134567891011121314151617343[[#This Row],[JPN]]-VLOOKUP($U$1,A:Q,16,))/VLOOKUP($U$1,A:Q,16,))*100)+100</f>
        <v/>
      </c>
    </row>
    <row r="196" customFormat="1" s="87">
      <c r="A196" s="21" t="n">
        <v>38777</v>
      </c>
      <c r="B196" s="77">
        <f>IF(VLOOKUP(A196,Database!$A:$AS,MATCH($B$1,Database!$A$1:$AS$1,0),FALSE)=0,#N/A,VLOOKUP(A196,Database!$A:$AS,MATCH($B$1,Database!$A$1:$AS$1,0),FALSE))</f>
        <v/>
      </c>
      <c r="C196" s="77">
        <f>IF(VLOOKUP(A196,Database!$A:$AS,MATCH($C$1,Database!$A$1:$AS$1,0),FALSE)=0,#N/A,VLOOKUP(A196,Database!$A:$AS,MATCH($C$1,Database!$A$1:$AS$1,0),FALSE))</f>
        <v/>
      </c>
      <c r="D196" s="77">
        <f>IF(VLOOKUP(A196,Database!$A:$AS,MATCH($D$1,Database!$A$1:$AS$1,0),FALSE)=0,#N/A,VLOOKUP(A196,Database!$A:$AS,MATCH($D$1,Database!$A$1:$AS$1,0),FALSE))</f>
        <v/>
      </c>
      <c r="E196" s="77">
        <f>IF(VLOOKUP(A196,Database!$A:$AS,MATCH($E$1,Database!$A$1:$AS$1,0),FALSE)=0,#N/A,VLOOKUP(A196,Database!$A:$AS,MATCH($E$1,Database!$A$1:$AS$1,0),FALSE))</f>
        <v/>
      </c>
      <c r="F196" s="77">
        <f>IF(VLOOKUP(A196,Database!$A:$AS,MATCH($F$1,Database!$A$1:$AS$1,0),FALSE)=0,#N/A,VLOOKUP(A196,Database!$A:$AS,MATCH($F$1,Database!$A$1:$AS$1,0),FALSE))</f>
        <v/>
      </c>
      <c r="G196" s="77">
        <f>IF(VLOOKUP(A196,Database!$A:$AS,MATCH($G$1,Database!$A$1:$AS$1,0),FALSE)=0,#N/A,VLOOKUP(A196,Database!$A:$AS,MATCH($G$1,Database!$A$1:$AS$1,0),FALSE))</f>
        <v/>
      </c>
      <c r="H196" s="77">
        <f>(((Table134567891011121314151617343[[#This Row],[ITA]]-VLOOKUP($U$1,A:B,2,))/VLOOKUP($U$1,A:B,2,))*100)+100</f>
        <v/>
      </c>
      <c r="I196" s="77">
        <f>(((Table134567891011121314151617343[[#This Row],[FRA]]-VLOOKUP($U$1,A:C,3,))/VLOOKUP($U$1,A:C,3,))*100)+100</f>
        <v/>
      </c>
      <c r="J196" s="77">
        <f>(((Table134567891011121314151617343[[#This Row],[DEU]]-VLOOKUP($U$1,A:D,4,))/VLOOKUP($U$1,A:D,4,))*100)+100</f>
        <v/>
      </c>
      <c r="K196" s="77">
        <f>(((Table134567891011121314151617343[[#This Row],[ESP]]-VLOOKUP($U$1,A:E,5,))/VLOOKUP($U$1,A:E,5,))*100)+100</f>
        <v/>
      </c>
      <c r="L196" s="77">
        <f>(((Table134567891011121314151617343[[#This Row],[EA19]]-VLOOKUP($U$1,A:F,6,))/VLOOKUP($U$1,A:F,6,))*100)+100</f>
        <v/>
      </c>
      <c r="M196" s="77">
        <f>(((Table134567891011121314151617343[[#This Row],[GBR]]-VLOOKUP($U$1,A:G,7,))/VLOOKUP($U$1,A:G,7,))*100)+100</f>
        <v/>
      </c>
      <c r="N196" s="77">
        <f>IF(VLOOKUP(A196,Database!$A:$AU,MATCH($N$1,Database!$A$1:$AU$1,0),FALSE)=0,#N/A,VLOOKUP(A196,Database!$A:$AU,MATCH($N$1,Database!$A$1:$AU$1,0),FALSE))</f>
        <v/>
      </c>
      <c r="O196" s="77">
        <f>(((Table134567891011121314151617343[[#This Row],[USA]]-VLOOKUP($U$1,A:N,14,))/VLOOKUP($U$1,A:N,14,))*100)+100</f>
        <v/>
      </c>
      <c r="P196" s="77">
        <f>IF(VLOOKUP(A196,Database!$A:$AS,MATCH($P$1,Database!$A$1:$AS$1,0),FALSE)=0,#N/A,VLOOKUP(A196,Database!$A:$AS,MATCH($P$1,Database!$A$1:$AS$1,0),FALSE))</f>
        <v/>
      </c>
      <c r="Q196" s="77">
        <f>(((Table134567891011121314151617343[[#This Row],[JPN]]-VLOOKUP($U$1,A:Q,16,))/VLOOKUP($U$1,A:Q,16,))*100)+100</f>
        <v/>
      </c>
    </row>
    <row r="197" customFormat="1" s="87">
      <c r="A197" s="21" t="n">
        <v>38808</v>
      </c>
      <c r="B197" s="77">
        <f>IF(VLOOKUP(A197,Database!$A:$AS,MATCH($B$1,Database!$A$1:$AS$1,0),FALSE)=0,#N/A,VLOOKUP(A197,Database!$A:$AS,MATCH($B$1,Database!$A$1:$AS$1,0),FALSE))</f>
        <v/>
      </c>
      <c r="C197" s="77">
        <f>IF(VLOOKUP(A197,Database!$A:$AS,MATCH($C$1,Database!$A$1:$AS$1,0),FALSE)=0,#N/A,VLOOKUP(A197,Database!$A:$AS,MATCH($C$1,Database!$A$1:$AS$1,0),FALSE))</f>
        <v/>
      </c>
      <c r="D197" s="77">
        <f>IF(VLOOKUP(A197,Database!$A:$AS,MATCH($D$1,Database!$A$1:$AS$1,0),FALSE)=0,#N/A,VLOOKUP(A197,Database!$A:$AS,MATCH($D$1,Database!$A$1:$AS$1,0),FALSE))</f>
        <v/>
      </c>
      <c r="E197" s="77">
        <f>IF(VLOOKUP(A197,Database!$A:$AS,MATCH($E$1,Database!$A$1:$AS$1,0),FALSE)=0,#N/A,VLOOKUP(A197,Database!$A:$AS,MATCH($E$1,Database!$A$1:$AS$1,0),FALSE))</f>
        <v/>
      </c>
      <c r="F197" s="77">
        <f>IF(VLOOKUP(A197,Database!$A:$AS,MATCH($F$1,Database!$A$1:$AS$1,0),FALSE)=0,#N/A,VLOOKUP(A197,Database!$A:$AS,MATCH($F$1,Database!$A$1:$AS$1,0),FALSE))</f>
        <v/>
      </c>
      <c r="G197" s="77">
        <f>IF(VLOOKUP(A197,Database!$A:$AS,MATCH($G$1,Database!$A$1:$AS$1,0),FALSE)=0,#N/A,VLOOKUP(A197,Database!$A:$AS,MATCH($G$1,Database!$A$1:$AS$1,0),FALSE))</f>
        <v/>
      </c>
      <c r="H197" s="77">
        <f>(((Table134567891011121314151617343[[#This Row],[ITA]]-VLOOKUP($U$1,A:B,2,))/VLOOKUP($U$1,A:B,2,))*100)+100</f>
        <v/>
      </c>
      <c r="I197" s="77">
        <f>(((Table134567891011121314151617343[[#This Row],[FRA]]-VLOOKUP($U$1,A:C,3,))/VLOOKUP($U$1,A:C,3,))*100)+100</f>
        <v/>
      </c>
      <c r="J197" s="77">
        <f>(((Table134567891011121314151617343[[#This Row],[DEU]]-VLOOKUP($U$1,A:D,4,))/VLOOKUP($U$1,A:D,4,))*100)+100</f>
        <v/>
      </c>
      <c r="K197" s="77">
        <f>(((Table134567891011121314151617343[[#This Row],[ESP]]-VLOOKUP($U$1,A:E,5,))/VLOOKUP($U$1,A:E,5,))*100)+100</f>
        <v/>
      </c>
      <c r="L197" s="77">
        <f>(((Table134567891011121314151617343[[#This Row],[EA19]]-VLOOKUP($U$1,A:F,6,))/VLOOKUP($U$1,A:F,6,))*100)+100</f>
        <v/>
      </c>
      <c r="M197" s="77">
        <f>(((Table134567891011121314151617343[[#This Row],[GBR]]-VLOOKUP($U$1,A:G,7,))/VLOOKUP($U$1,A:G,7,))*100)+100</f>
        <v/>
      </c>
      <c r="N197" s="77">
        <f>IF(VLOOKUP(A197,Database!$A:$AU,MATCH($N$1,Database!$A$1:$AU$1,0),FALSE)=0,#N/A,VLOOKUP(A197,Database!$A:$AU,MATCH($N$1,Database!$A$1:$AU$1,0),FALSE))</f>
        <v/>
      </c>
      <c r="O197" s="77">
        <f>(((Table134567891011121314151617343[[#This Row],[USA]]-VLOOKUP($U$1,A:N,14,))/VLOOKUP($U$1,A:N,14,))*100)+100</f>
        <v/>
      </c>
      <c r="P197" s="77">
        <f>IF(VLOOKUP(A197,Database!$A:$AS,MATCH($P$1,Database!$A$1:$AS$1,0),FALSE)=0,#N/A,VLOOKUP(A197,Database!$A:$AS,MATCH($P$1,Database!$A$1:$AS$1,0),FALSE))</f>
        <v/>
      </c>
      <c r="Q197" s="77">
        <f>(((Table134567891011121314151617343[[#This Row],[JPN]]-VLOOKUP($U$1,A:Q,16,))/VLOOKUP($U$1,A:Q,16,))*100)+100</f>
        <v/>
      </c>
    </row>
    <row r="198" customFormat="1" s="87">
      <c r="A198" s="21" t="n">
        <v>38838</v>
      </c>
      <c r="B198" s="77">
        <f>IF(VLOOKUP(A198,Database!$A:$AS,MATCH($B$1,Database!$A$1:$AS$1,0),FALSE)=0,#N/A,VLOOKUP(A198,Database!$A:$AS,MATCH($B$1,Database!$A$1:$AS$1,0),FALSE))</f>
        <v/>
      </c>
      <c r="C198" s="77">
        <f>IF(VLOOKUP(A198,Database!$A:$AS,MATCH($C$1,Database!$A$1:$AS$1,0),FALSE)=0,#N/A,VLOOKUP(A198,Database!$A:$AS,MATCH($C$1,Database!$A$1:$AS$1,0),FALSE))</f>
        <v/>
      </c>
      <c r="D198" s="77">
        <f>IF(VLOOKUP(A198,Database!$A:$AS,MATCH($D$1,Database!$A$1:$AS$1,0),FALSE)=0,#N/A,VLOOKUP(A198,Database!$A:$AS,MATCH($D$1,Database!$A$1:$AS$1,0),FALSE))</f>
        <v/>
      </c>
      <c r="E198" s="77">
        <f>IF(VLOOKUP(A198,Database!$A:$AS,MATCH($E$1,Database!$A$1:$AS$1,0),FALSE)=0,#N/A,VLOOKUP(A198,Database!$A:$AS,MATCH($E$1,Database!$A$1:$AS$1,0),FALSE))</f>
        <v/>
      </c>
      <c r="F198" s="77">
        <f>IF(VLOOKUP(A198,Database!$A:$AS,MATCH($F$1,Database!$A$1:$AS$1,0),FALSE)=0,#N/A,VLOOKUP(A198,Database!$A:$AS,MATCH($F$1,Database!$A$1:$AS$1,0),FALSE))</f>
        <v/>
      </c>
      <c r="G198" s="77">
        <f>IF(VLOOKUP(A198,Database!$A:$AS,MATCH($G$1,Database!$A$1:$AS$1,0),FALSE)=0,#N/A,VLOOKUP(A198,Database!$A:$AS,MATCH($G$1,Database!$A$1:$AS$1,0),FALSE))</f>
        <v/>
      </c>
      <c r="H198" s="77">
        <f>(((Table134567891011121314151617343[[#This Row],[ITA]]-VLOOKUP($U$1,A:B,2,))/VLOOKUP($U$1,A:B,2,))*100)+100</f>
        <v/>
      </c>
      <c r="I198" s="77">
        <f>(((Table134567891011121314151617343[[#This Row],[FRA]]-VLOOKUP($U$1,A:C,3,))/VLOOKUP($U$1,A:C,3,))*100)+100</f>
        <v/>
      </c>
      <c r="J198" s="77">
        <f>(((Table134567891011121314151617343[[#This Row],[DEU]]-VLOOKUP($U$1,A:D,4,))/VLOOKUP($U$1,A:D,4,))*100)+100</f>
        <v/>
      </c>
      <c r="K198" s="77">
        <f>(((Table134567891011121314151617343[[#This Row],[ESP]]-VLOOKUP($U$1,A:E,5,))/VLOOKUP($U$1,A:E,5,))*100)+100</f>
        <v/>
      </c>
      <c r="L198" s="77">
        <f>(((Table134567891011121314151617343[[#This Row],[EA19]]-VLOOKUP($U$1,A:F,6,))/VLOOKUP($U$1,A:F,6,))*100)+100</f>
        <v/>
      </c>
      <c r="M198" s="77">
        <f>(((Table134567891011121314151617343[[#This Row],[GBR]]-VLOOKUP($U$1,A:G,7,))/VLOOKUP($U$1,A:G,7,))*100)+100</f>
        <v/>
      </c>
      <c r="N198" s="77">
        <f>IF(VLOOKUP(A198,Database!$A:$AU,MATCH($N$1,Database!$A$1:$AU$1,0),FALSE)=0,#N/A,VLOOKUP(A198,Database!$A:$AU,MATCH($N$1,Database!$A$1:$AU$1,0),FALSE))</f>
        <v/>
      </c>
      <c r="O198" s="77">
        <f>(((Table134567891011121314151617343[[#This Row],[USA]]-VLOOKUP($U$1,A:N,14,))/VLOOKUP($U$1,A:N,14,))*100)+100</f>
        <v/>
      </c>
      <c r="P198" s="77">
        <f>IF(VLOOKUP(A198,Database!$A:$AS,MATCH($P$1,Database!$A$1:$AS$1,0),FALSE)=0,#N/A,VLOOKUP(A198,Database!$A:$AS,MATCH($P$1,Database!$A$1:$AS$1,0),FALSE))</f>
        <v/>
      </c>
      <c r="Q198" s="77">
        <f>(((Table134567891011121314151617343[[#This Row],[JPN]]-VLOOKUP($U$1,A:Q,16,))/VLOOKUP($U$1,A:Q,16,))*100)+100</f>
        <v/>
      </c>
    </row>
    <row r="199" customFormat="1" s="87">
      <c r="A199" s="21" t="n">
        <v>38869</v>
      </c>
      <c r="B199" s="77">
        <f>IF(VLOOKUP(A199,Database!$A:$AS,MATCH($B$1,Database!$A$1:$AS$1,0),FALSE)=0,#N/A,VLOOKUP(A199,Database!$A:$AS,MATCH($B$1,Database!$A$1:$AS$1,0),FALSE))</f>
        <v/>
      </c>
      <c r="C199" s="77">
        <f>IF(VLOOKUP(A199,Database!$A:$AS,MATCH($C$1,Database!$A$1:$AS$1,0),FALSE)=0,#N/A,VLOOKUP(A199,Database!$A:$AS,MATCH($C$1,Database!$A$1:$AS$1,0),FALSE))</f>
        <v/>
      </c>
      <c r="D199" s="77">
        <f>IF(VLOOKUP(A199,Database!$A:$AS,MATCH($D$1,Database!$A$1:$AS$1,0),FALSE)=0,#N/A,VLOOKUP(A199,Database!$A:$AS,MATCH($D$1,Database!$A$1:$AS$1,0),FALSE))</f>
        <v/>
      </c>
      <c r="E199" s="77">
        <f>IF(VLOOKUP(A199,Database!$A:$AS,MATCH($E$1,Database!$A$1:$AS$1,0),FALSE)=0,#N/A,VLOOKUP(A199,Database!$A:$AS,MATCH($E$1,Database!$A$1:$AS$1,0),FALSE))</f>
        <v/>
      </c>
      <c r="F199" s="77">
        <f>IF(VLOOKUP(A199,Database!$A:$AS,MATCH($F$1,Database!$A$1:$AS$1,0),FALSE)=0,#N/A,VLOOKUP(A199,Database!$A:$AS,MATCH($F$1,Database!$A$1:$AS$1,0),FALSE))</f>
        <v/>
      </c>
      <c r="G199" s="77">
        <f>IF(VLOOKUP(A199,Database!$A:$AS,MATCH($G$1,Database!$A$1:$AS$1,0),FALSE)=0,#N/A,VLOOKUP(A199,Database!$A:$AS,MATCH($G$1,Database!$A$1:$AS$1,0),FALSE))</f>
        <v/>
      </c>
      <c r="H199" s="77">
        <f>(((Table134567891011121314151617343[[#This Row],[ITA]]-VLOOKUP($U$1,A:B,2,))/VLOOKUP($U$1,A:B,2,))*100)+100</f>
        <v/>
      </c>
      <c r="I199" s="77">
        <f>(((Table134567891011121314151617343[[#This Row],[FRA]]-VLOOKUP($U$1,A:C,3,))/VLOOKUP($U$1,A:C,3,))*100)+100</f>
        <v/>
      </c>
      <c r="J199" s="77">
        <f>(((Table134567891011121314151617343[[#This Row],[DEU]]-VLOOKUP($U$1,A:D,4,))/VLOOKUP($U$1,A:D,4,))*100)+100</f>
        <v/>
      </c>
      <c r="K199" s="77">
        <f>(((Table134567891011121314151617343[[#This Row],[ESP]]-VLOOKUP($U$1,A:E,5,))/VLOOKUP($U$1,A:E,5,))*100)+100</f>
        <v/>
      </c>
      <c r="L199" s="77">
        <f>(((Table134567891011121314151617343[[#This Row],[EA19]]-VLOOKUP($U$1,A:F,6,))/VLOOKUP($U$1,A:F,6,))*100)+100</f>
        <v/>
      </c>
      <c r="M199" s="77">
        <f>(((Table134567891011121314151617343[[#This Row],[GBR]]-VLOOKUP($U$1,A:G,7,))/VLOOKUP($U$1,A:G,7,))*100)+100</f>
        <v/>
      </c>
      <c r="N199" s="77">
        <f>IF(VLOOKUP(A199,Database!$A:$AU,MATCH($N$1,Database!$A$1:$AU$1,0),FALSE)=0,#N/A,VLOOKUP(A199,Database!$A:$AU,MATCH($N$1,Database!$A$1:$AU$1,0),FALSE))</f>
        <v/>
      </c>
      <c r="O199" s="77">
        <f>(((Table134567891011121314151617343[[#This Row],[USA]]-VLOOKUP($U$1,A:N,14,))/VLOOKUP($U$1,A:N,14,))*100)+100</f>
        <v/>
      </c>
      <c r="P199" s="77">
        <f>IF(VLOOKUP(A199,Database!$A:$AS,MATCH($P$1,Database!$A$1:$AS$1,0),FALSE)=0,#N/A,VLOOKUP(A199,Database!$A:$AS,MATCH($P$1,Database!$A$1:$AS$1,0),FALSE))</f>
        <v/>
      </c>
      <c r="Q199" s="77">
        <f>(((Table134567891011121314151617343[[#This Row],[JPN]]-VLOOKUP($U$1,A:Q,16,))/VLOOKUP($U$1,A:Q,16,))*100)+100</f>
        <v/>
      </c>
    </row>
    <row r="200" customFormat="1" s="87">
      <c r="A200" s="21" t="n">
        <v>38899</v>
      </c>
      <c r="B200" s="77">
        <f>IF(VLOOKUP(A200,Database!$A:$AS,MATCH($B$1,Database!$A$1:$AS$1,0),FALSE)=0,#N/A,VLOOKUP(A200,Database!$A:$AS,MATCH($B$1,Database!$A$1:$AS$1,0),FALSE))</f>
        <v/>
      </c>
      <c r="C200" s="77">
        <f>IF(VLOOKUP(A200,Database!$A:$AS,MATCH($C$1,Database!$A$1:$AS$1,0),FALSE)=0,#N/A,VLOOKUP(A200,Database!$A:$AS,MATCH($C$1,Database!$A$1:$AS$1,0),FALSE))</f>
        <v/>
      </c>
      <c r="D200" s="77">
        <f>IF(VLOOKUP(A200,Database!$A:$AS,MATCH($D$1,Database!$A$1:$AS$1,0),FALSE)=0,#N/A,VLOOKUP(A200,Database!$A:$AS,MATCH($D$1,Database!$A$1:$AS$1,0),FALSE))</f>
        <v/>
      </c>
      <c r="E200" s="77">
        <f>IF(VLOOKUP(A200,Database!$A:$AS,MATCH($E$1,Database!$A$1:$AS$1,0),FALSE)=0,#N/A,VLOOKUP(A200,Database!$A:$AS,MATCH($E$1,Database!$A$1:$AS$1,0),FALSE))</f>
        <v/>
      </c>
      <c r="F200" s="77">
        <f>IF(VLOOKUP(A200,Database!$A:$AS,MATCH($F$1,Database!$A$1:$AS$1,0),FALSE)=0,#N/A,VLOOKUP(A200,Database!$A:$AS,MATCH($F$1,Database!$A$1:$AS$1,0),FALSE))</f>
        <v/>
      </c>
      <c r="G200" s="77">
        <f>IF(VLOOKUP(A200,Database!$A:$AS,MATCH($G$1,Database!$A$1:$AS$1,0),FALSE)=0,#N/A,VLOOKUP(A200,Database!$A:$AS,MATCH($G$1,Database!$A$1:$AS$1,0),FALSE))</f>
        <v/>
      </c>
      <c r="H200" s="77">
        <f>(((Table134567891011121314151617343[[#This Row],[ITA]]-VLOOKUP($U$1,A:B,2,))/VLOOKUP($U$1,A:B,2,))*100)+100</f>
        <v/>
      </c>
      <c r="I200" s="77">
        <f>(((Table134567891011121314151617343[[#This Row],[FRA]]-VLOOKUP($U$1,A:C,3,))/VLOOKUP($U$1,A:C,3,))*100)+100</f>
        <v/>
      </c>
      <c r="J200" s="77">
        <f>(((Table134567891011121314151617343[[#This Row],[DEU]]-VLOOKUP($U$1,A:D,4,))/VLOOKUP($U$1,A:D,4,))*100)+100</f>
        <v/>
      </c>
      <c r="K200" s="77">
        <f>(((Table134567891011121314151617343[[#This Row],[ESP]]-VLOOKUP($U$1,A:E,5,))/VLOOKUP($U$1,A:E,5,))*100)+100</f>
        <v/>
      </c>
      <c r="L200" s="77">
        <f>(((Table134567891011121314151617343[[#This Row],[EA19]]-VLOOKUP($U$1,A:F,6,))/VLOOKUP($U$1,A:F,6,))*100)+100</f>
        <v/>
      </c>
      <c r="M200" s="77">
        <f>(((Table134567891011121314151617343[[#This Row],[GBR]]-VLOOKUP($U$1,A:G,7,))/VLOOKUP($U$1,A:G,7,))*100)+100</f>
        <v/>
      </c>
      <c r="N200" s="77">
        <f>IF(VLOOKUP(A200,Database!$A:$AU,MATCH($N$1,Database!$A$1:$AU$1,0),FALSE)=0,#N/A,VLOOKUP(A200,Database!$A:$AU,MATCH($N$1,Database!$A$1:$AU$1,0),FALSE))</f>
        <v/>
      </c>
      <c r="O200" s="77">
        <f>(((Table134567891011121314151617343[[#This Row],[USA]]-VLOOKUP($U$1,A:N,14,))/VLOOKUP($U$1,A:N,14,))*100)+100</f>
        <v/>
      </c>
      <c r="P200" s="77">
        <f>IF(VLOOKUP(A200,Database!$A:$AS,MATCH($P$1,Database!$A$1:$AS$1,0),FALSE)=0,#N/A,VLOOKUP(A200,Database!$A:$AS,MATCH($P$1,Database!$A$1:$AS$1,0),FALSE))</f>
        <v/>
      </c>
      <c r="Q200" s="77">
        <f>(((Table134567891011121314151617343[[#This Row],[JPN]]-VLOOKUP($U$1,A:Q,16,))/VLOOKUP($U$1,A:Q,16,))*100)+100</f>
        <v/>
      </c>
    </row>
    <row r="201" customFormat="1" s="87">
      <c r="A201" s="21" t="n">
        <v>38930</v>
      </c>
      <c r="B201" s="77">
        <f>IF(VLOOKUP(A201,Database!$A:$AS,MATCH($B$1,Database!$A$1:$AS$1,0),FALSE)=0,#N/A,VLOOKUP(A201,Database!$A:$AS,MATCH($B$1,Database!$A$1:$AS$1,0),FALSE))</f>
        <v/>
      </c>
      <c r="C201" s="77">
        <f>IF(VLOOKUP(A201,Database!$A:$AS,MATCH($C$1,Database!$A$1:$AS$1,0),FALSE)=0,#N/A,VLOOKUP(A201,Database!$A:$AS,MATCH($C$1,Database!$A$1:$AS$1,0),FALSE))</f>
        <v/>
      </c>
      <c r="D201" s="77">
        <f>IF(VLOOKUP(A201,Database!$A:$AS,MATCH($D$1,Database!$A$1:$AS$1,0),FALSE)=0,#N/A,VLOOKUP(A201,Database!$A:$AS,MATCH($D$1,Database!$A$1:$AS$1,0),FALSE))</f>
        <v/>
      </c>
      <c r="E201" s="77">
        <f>IF(VLOOKUP(A201,Database!$A:$AS,MATCH($E$1,Database!$A$1:$AS$1,0),FALSE)=0,#N/A,VLOOKUP(A201,Database!$A:$AS,MATCH($E$1,Database!$A$1:$AS$1,0),FALSE))</f>
        <v/>
      </c>
      <c r="F201" s="77">
        <f>IF(VLOOKUP(A201,Database!$A:$AS,MATCH($F$1,Database!$A$1:$AS$1,0),FALSE)=0,#N/A,VLOOKUP(A201,Database!$A:$AS,MATCH($F$1,Database!$A$1:$AS$1,0),FALSE))</f>
        <v/>
      </c>
      <c r="G201" s="77">
        <f>IF(VLOOKUP(A201,Database!$A:$AS,MATCH($G$1,Database!$A$1:$AS$1,0),FALSE)=0,#N/A,VLOOKUP(A201,Database!$A:$AS,MATCH($G$1,Database!$A$1:$AS$1,0),FALSE))</f>
        <v/>
      </c>
      <c r="H201" s="77">
        <f>(((Table134567891011121314151617343[[#This Row],[ITA]]-VLOOKUP($U$1,A:B,2,))/VLOOKUP($U$1,A:B,2,))*100)+100</f>
        <v/>
      </c>
      <c r="I201" s="77">
        <f>(((Table134567891011121314151617343[[#This Row],[FRA]]-VLOOKUP($U$1,A:C,3,))/VLOOKUP($U$1,A:C,3,))*100)+100</f>
        <v/>
      </c>
      <c r="J201" s="77">
        <f>(((Table134567891011121314151617343[[#This Row],[DEU]]-VLOOKUP($U$1,A:D,4,))/VLOOKUP($U$1,A:D,4,))*100)+100</f>
        <v/>
      </c>
      <c r="K201" s="77">
        <f>(((Table134567891011121314151617343[[#This Row],[ESP]]-VLOOKUP($U$1,A:E,5,))/VLOOKUP($U$1,A:E,5,))*100)+100</f>
        <v/>
      </c>
      <c r="L201" s="77">
        <f>(((Table134567891011121314151617343[[#This Row],[EA19]]-VLOOKUP($U$1,A:F,6,))/VLOOKUP($U$1,A:F,6,))*100)+100</f>
        <v/>
      </c>
      <c r="M201" s="77">
        <f>(((Table134567891011121314151617343[[#This Row],[GBR]]-VLOOKUP($U$1,A:G,7,))/VLOOKUP($U$1,A:G,7,))*100)+100</f>
        <v/>
      </c>
      <c r="N201" s="77">
        <f>IF(VLOOKUP(A201,Database!$A:$AU,MATCH($N$1,Database!$A$1:$AU$1,0),FALSE)=0,#N/A,VLOOKUP(A201,Database!$A:$AU,MATCH($N$1,Database!$A$1:$AU$1,0),FALSE))</f>
        <v/>
      </c>
      <c r="O201" s="77">
        <f>(((Table134567891011121314151617343[[#This Row],[USA]]-VLOOKUP($U$1,A:N,14,))/VLOOKUP($U$1,A:N,14,))*100)+100</f>
        <v/>
      </c>
      <c r="P201" s="77">
        <f>IF(VLOOKUP(A201,Database!$A:$AS,MATCH($P$1,Database!$A$1:$AS$1,0),FALSE)=0,#N/A,VLOOKUP(A201,Database!$A:$AS,MATCH($P$1,Database!$A$1:$AS$1,0),FALSE))</f>
        <v/>
      </c>
      <c r="Q201" s="77">
        <f>(((Table134567891011121314151617343[[#This Row],[JPN]]-VLOOKUP($U$1,A:Q,16,))/VLOOKUP($U$1,A:Q,16,))*100)+100</f>
        <v/>
      </c>
    </row>
    <row r="202" customFormat="1" s="87">
      <c r="A202" s="21" t="n">
        <v>38961</v>
      </c>
      <c r="B202" s="77">
        <f>IF(VLOOKUP(A202,Database!$A:$AS,MATCH($B$1,Database!$A$1:$AS$1,0),FALSE)=0,#N/A,VLOOKUP(A202,Database!$A:$AS,MATCH($B$1,Database!$A$1:$AS$1,0),FALSE))</f>
        <v/>
      </c>
      <c r="C202" s="77">
        <f>IF(VLOOKUP(A202,Database!$A:$AS,MATCH($C$1,Database!$A$1:$AS$1,0),FALSE)=0,#N/A,VLOOKUP(A202,Database!$A:$AS,MATCH($C$1,Database!$A$1:$AS$1,0),FALSE))</f>
        <v/>
      </c>
      <c r="D202" s="77">
        <f>IF(VLOOKUP(A202,Database!$A:$AS,MATCH($D$1,Database!$A$1:$AS$1,0),FALSE)=0,#N/A,VLOOKUP(A202,Database!$A:$AS,MATCH($D$1,Database!$A$1:$AS$1,0),FALSE))</f>
        <v/>
      </c>
      <c r="E202" s="77">
        <f>IF(VLOOKUP(A202,Database!$A:$AS,MATCH($E$1,Database!$A$1:$AS$1,0),FALSE)=0,#N/A,VLOOKUP(A202,Database!$A:$AS,MATCH($E$1,Database!$A$1:$AS$1,0),FALSE))</f>
        <v/>
      </c>
      <c r="F202" s="77">
        <f>IF(VLOOKUP(A202,Database!$A:$AS,MATCH($F$1,Database!$A$1:$AS$1,0),FALSE)=0,#N/A,VLOOKUP(A202,Database!$A:$AS,MATCH($F$1,Database!$A$1:$AS$1,0),FALSE))</f>
        <v/>
      </c>
      <c r="G202" s="77">
        <f>IF(VLOOKUP(A202,Database!$A:$AS,MATCH($G$1,Database!$A$1:$AS$1,0),FALSE)=0,#N/A,VLOOKUP(A202,Database!$A:$AS,MATCH($G$1,Database!$A$1:$AS$1,0),FALSE))</f>
        <v/>
      </c>
      <c r="H202" s="77">
        <f>(((Table134567891011121314151617343[[#This Row],[ITA]]-VLOOKUP($U$1,A:B,2,))/VLOOKUP($U$1,A:B,2,))*100)+100</f>
        <v/>
      </c>
      <c r="I202" s="77">
        <f>(((Table134567891011121314151617343[[#This Row],[FRA]]-VLOOKUP($U$1,A:C,3,))/VLOOKUP($U$1,A:C,3,))*100)+100</f>
        <v/>
      </c>
      <c r="J202" s="77">
        <f>(((Table134567891011121314151617343[[#This Row],[DEU]]-VLOOKUP($U$1,A:D,4,))/VLOOKUP($U$1,A:D,4,))*100)+100</f>
        <v/>
      </c>
      <c r="K202" s="77">
        <f>(((Table134567891011121314151617343[[#This Row],[ESP]]-VLOOKUP($U$1,A:E,5,))/VLOOKUP($U$1,A:E,5,))*100)+100</f>
        <v/>
      </c>
      <c r="L202" s="77">
        <f>(((Table134567891011121314151617343[[#This Row],[EA19]]-VLOOKUP($U$1,A:F,6,))/VLOOKUP($U$1,A:F,6,))*100)+100</f>
        <v/>
      </c>
      <c r="M202" s="77">
        <f>(((Table134567891011121314151617343[[#This Row],[GBR]]-VLOOKUP($U$1,A:G,7,))/VLOOKUP($U$1,A:G,7,))*100)+100</f>
        <v/>
      </c>
      <c r="N202" s="77">
        <f>IF(VLOOKUP(A202,Database!$A:$AU,MATCH($N$1,Database!$A$1:$AU$1,0),FALSE)=0,#N/A,VLOOKUP(A202,Database!$A:$AU,MATCH($N$1,Database!$A$1:$AU$1,0),FALSE))</f>
        <v/>
      </c>
      <c r="O202" s="77">
        <f>(((Table134567891011121314151617343[[#This Row],[USA]]-VLOOKUP($U$1,A:N,14,))/VLOOKUP($U$1,A:N,14,))*100)+100</f>
        <v/>
      </c>
      <c r="P202" s="77">
        <f>IF(VLOOKUP(A202,Database!$A:$AS,MATCH($P$1,Database!$A$1:$AS$1,0),FALSE)=0,#N/A,VLOOKUP(A202,Database!$A:$AS,MATCH($P$1,Database!$A$1:$AS$1,0),FALSE))</f>
        <v/>
      </c>
      <c r="Q202" s="77">
        <f>(((Table134567891011121314151617343[[#This Row],[JPN]]-VLOOKUP($U$1,A:Q,16,))/VLOOKUP($U$1,A:Q,16,))*100)+100</f>
        <v/>
      </c>
    </row>
    <row r="203" customFormat="1" s="87">
      <c r="A203" s="21" t="n">
        <v>38991</v>
      </c>
      <c r="B203" s="77">
        <f>IF(VLOOKUP(A203,Database!$A:$AS,MATCH($B$1,Database!$A$1:$AS$1,0),FALSE)=0,#N/A,VLOOKUP(A203,Database!$A:$AS,MATCH($B$1,Database!$A$1:$AS$1,0),FALSE))</f>
        <v/>
      </c>
      <c r="C203" s="77">
        <f>IF(VLOOKUP(A203,Database!$A:$AS,MATCH($C$1,Database!$A$1:$AS$1,0),FALSE)=0,#N/A,VLOOKUP(A203,Database!$A:$AS,MATCH($C$1,Database!$A$1:$AS$1,0),FALSE))</f>
        <v/>
      </c>
      <c r="D203" s="77">
        <f>IF(VLOOKUP(A203,Database!$A:$AS,MATCH($D$1,Database!$A$1:$AS$1,0),FALSE)=0,#N/A,VLOOKUP(A203,Database!$A:$AS,MATCH($D$1,Database!$A$1:$AS$1,0),FALSE))</f>
        <v/>
      </c>
      <c r="E203" s="77">
        <f>IF(VLOOKUP(A203,Database!$A:$AS,MATCH($E$1,Database!$A$1:$AS$1,0),FALSE)=0,#N/A,VLOOKUP(A203,Database!$A:$AS,MATCH($E$1,Database!$A$1:$AS$1,0),FALSE))</f>
        <v/>
      </c>
      <c r="F203" s="77">
        <f>IF(VLOOKUP(A203,Database!$A:$AS,MATCH($F$1,Database!$A$1:$AS$1,0),FALSE)=0,#N/A,VLOOKUP(A203,Database!$A:$AS,MATCH($F$1,Database!$A$1:$AS$1,0),FALSE))</f>
        <v/>
      </c>
      <c r="G203" s="77">
        <f>IF(VLOOKUP(A203,Database!$A:$AS,MATCH($G$1,Database!$A$1:$AS$1,0),FALSE)=0,#N/A,VLOOKUP(A203,Database!$A:$AS,MATCH($G$1,Database!$A$1:$AS$1,0),FALSE))</f>
        <v/>
      </c>
      <c r="H203" s="77">
        <f>(((Table134567891011121314151617343[[#This Row],[ITA]]-VLOOKUP($U$1,A:B,2,))/VLOOKUP($U$1,A:B,2,))*100)+100</f>
        <v/>
      </c>
      <c r="I203" s="77">
        <f>(((Table134567891011121314151617343[[#This Row],[FRA]]-VLOOKUP($U$1,A:C,3,))/VLOOKUP($U$1,A:C,3,))*100)+100</f>
        <v/>
      </c>
      <c r="J203" s="77">
        <f>(((Table134567891011121314151617343[[#This Row],[DEU]]-VLOOKUP($U$1,A:D,4,))/VLOOKUP($U$1,A:D,4,))*100)+100</f>
        <v/>
      </c>
      <c r="K203" s="77">
        <f>(((Table134567891011121314151617343[[#This Row],[ESP]]-VLOOKUP($U$1,A:E,5,))/VLOOKUP($U$1,A:E,5,))*100)+100</f>
        <v/>
      </c>
      <c r="L203" s="77">
        <f>(((Table134567891011121314151617343[[#This Row],[EA19]]-VLOOKUP($U$1,A:F,6,))/VLOOKUP($U$1,A:F,6,))*100)+100</f>
        <v/>
      </c>
      <c r="M203" s="77">
        <f>(((Table134567891011121314151617343[[#This Row],[GBR]]-VLOOKUP($U$1,A:G,7,))/VLOOKUP($U$1,A:G,7,))*100)+100</f>
        <v/>
      </c>
      <c r="N203" s="77">
        <f>IF(VLOOKUP(A203,Database!$A:$AU,MATCH($N$1,Database!$A$1:$AU$1,0),FALSE)=0,#N/A,VLOOKUP(A203,Database!$A:$AU,MATCH($N$1,Database!$A$1:$AU$1,0),FALSE))</f>
        <v/>
      </c>
      <c r="O203" s="77">
        <f>(((Table134567891011121314151617343[[#This Row],[USA]]-VLOOKUP($U$1,A:N,14,))/VLOOKUP($U$1,A:N,14,))*100)+100</f>
        <v/>
      </c>
      <c r="P203" s="77">
        <f>IF(VLOOKUP(A203,Database!$A:$AS,MATCH($P$1,Database!$A$1:$AS$1,0),FALSE)=0,#N/A,VLOOKUP(A203,Database!$A:$AS,MATCH($P$1,Database!$A$1:$AS$1,0),FALSE))</f>
        <v/>
      </c>
      <c r="Q203" s="77">
        <f>(((Table134567891011121314151617343[[#This Row],[JPN]]-VLOOKUP($U$1,A:Q,16,))/VLOOKUP($U$1,A:Q,16,))*100)+100</f>
        <v/>
      </c>
    </row>
    <row r="204" customFormat="1" s="87">
      <c r="A204" s="21" t="n">
        <v>39022</v>
      </c>
      <c r="B204" s="77">
        <f>IF(VLOOKUP(A204,Database!$A:$AS,MATCH($B$1,Database!$A$1:$AS$1,0),FALSE)=0,#N/A,VLOOKUP(A204,Database!$A:$AS,MATCH($B$1,Database!$A$1:$AS$1,0),FALSE))</f>
        <v/>
      </c>
      <c r="C204" s="77">
        <f>IF(VLOOKUP(A204,Database!$A:$AS,MATCH($C$1,Database!$A$1:$AS$1,0),FALSE)=0,#N/A,VLOOKUP(A204,Database!$A:$AS,MATCH($C$1,Database!$A$1:$AS$1,0),FALSE))</f>
        <v/>
      </c>
      <c r="D204" s="77">
        <f>IF(VLOOKUP(A204,Database!$A:$AS,MATCH($D$1,Database!$A$1:$AS$1,0),FALSE)=0,#N/A,VLOOKUP(A204,Database!$A:$AS,MATCH($D$1,Database!$A$1:$AS$1,0),FALSE))</f>
        <v/>
      </c>
      <c r="E204" s="77">
        <f>IF(VLOOKUP(A204,Database!$A:$AS,MATCH($E$1,Database!$A$1:$AS$1,0),FALSE)=0,#N/A,VLOOKUP(A204,Database!$A:$AS,MATCH($E$1,Database!$A$1:$AS$1,0),FALSE))</f>
        <v/>
      </c>
      <c r="F204" s="77">
        <f>IF(VLOOKUP(A204,Database!$A:$AS,MATCH($F$1,Database!$A$1:$AS$1,0),FALSE)=0,#N/A,VLOOKUP(A204,Database!$A:$AS,MATCH($F$1,Database!$A$1:$AS$1,0),FALSE))</f>
        <v/>
      </c>
      <c r="G204" s="77">
        <f>IF(VLOOKUP(A204,Database!$A:$AS,MATCH($G$1,Database!$A$1:$AS$1,0),FALSE)=0,#N/A,VLOOKUP(A204,Database!$A:$AS,MATCH($G$1,Database!$A$1:$AS$1,0),FALSE))</f>
        <v/>
      </c>
      <c r="H204" s="77">
        <f>(((Table134567891011121314151617343[[#This Row],[ITA]]-VLOOKUP($U$1,A:B,2,))/VLOOKUP($U$1,A:B,2,))*100)+100</f>
        <v/>
      </c>
      <c r="I204" s="77">
        <f>(((Table134567891011121314151617343[[#This Row],[FRA]]-VLOOKUP($U$1,A:C,3,))/VLOOKUP($U$1,A:C,3,))*100)+100</f>
        <v/>
      </c>
      <c r="J204" s="77">
        <f>(((Table134567891011121314151617343[[#This Row],[DEU]]-VLOOKUP($U$1,A:D,4,))/VLOOKUP($U$1,A:D,4,))*100)+100</f>
        <v/>
      </c>
      <c r="K204" s="77">
        <f>(((Table134567891011121314151617343[[#This Row],[ESP]]-VLOOKUP($U$1,A:E,5,))/VLOOKUP($U$1,A:E,5,))*100)+100</f>
        <v/>
      </c>
      <c r="L204" s="77">
        <f>(((Table134567891011121314151617343[[#This Row],[EA19]]-VLOOKUP($U$1,A:F,6,))/VLOOKUP($U$1,A:F,6,))*100)+100</f>
        <v/>
      </c>
      <c r="M204" s="77">
        <f>(((Table134567891011121314151617343[[#This Row],[GBR]]-VLOOKUP($U$1,A:G,7,))/VLOOKUP($U$1,A:G,7,))*100)+100</f>
        <v/>
      </c>
      <c r="N204" s="77">
        <f>IF(VLOOKUP(A204,Database!$A:$AU,MATCH($N$1,Database!$A$1:$AU$1,0),FALSE)=0,#N/A,VLOOKUP(A204,Database!$A:$AU,MATCH($N$1,Database!$A$1:$AU$1,0),FALSE))</f>
        <v/>
      </c>
      <c r="O204" s="77">
        <f>(((Table134567891011121314151617343[[#This Row],[USA]]-VLOOKUP($U$1,A:N,14,))/VLOOKUP($U$1,A:N,14,))*100)+100</f>
        <v/>
      </c>
      <c r="P204" s="77">
        <f>IF(VLOOKUP(A204,Database!$A:$AS,MATCH($P$1,Database!$A$1:$AS$1,0),FALSE)=0,#N/A,VLOOKUP(A204,Database!$A:$AS,MATCH($P$1,Database!$A$1:$AS$1,0),FALSE))</f>
        <v/>
      </c>
      <c r="Q204" s="77">
        <f>(((Table134567891011121314151617343[[#This Row],[JPN]]-VLOOKUP($U$1,A:Q,16,))/VLOOKUP($U$1,A:Q,16,))*100)+100</f>
        <v/>
      </c>
    </row>
    <row r="205" customFormat="1" s="87">
      <c r="A205" s="21" t="n">
        <v>39052</v>
      </c>
      <c r="B205" s="77">
        <f>IF(VLOOKUP(A205,Database!$A:$AS,MATCH($B$1,Database!$A$1:$AS$1,0),FALSE)=0,#N/A,VLOOKUP(A205,Database!$A:$AS,MATCH($B$1,Database!$A$1:$AS$1,0),FALSE))</f>
        <v/>
      </c>
      <c r="C205" s="77">
        <f>IF(VLOOKUP(A205,Database!$A:$AS,MATCH($C$1,Database!$A$1:$AS$1,0),FALSE)=0,#N/A,VLOOKUP(A205,Database!$A:$AS,MATCH($C$1,Database!$A$1:$AS$1,0),FALSE))</f>
        <v/>
      </c>
      <c r="D205" s="77">
        <f>IF(VLOOKUP(A205,Database!$A:$AS,MATCH($D$1,Database!$A$1:$AS$1,0),FALSE)=0,#N/A,VLOOKUP(A205,Database!$A:$AS,MATCH($D$1,Database!$A$1:$AS$1,0),FALSE))</f>
        <v/>
      </c>
      <c r="E205" s="77">
        <f>IF(VLOOKUP(A205,Database!$A:$AS,MATCH($E$1,Database!$A$1:$AS$1,0),FALSE)=0,#N/A,VLOOKUP(A205,Database!$A:$AS,MATCH($E$1,Database!$A$1:$AS$1,0),FALSE))</f>
        <v/>
      </c>
      <c r="F205" s="77">
        <f>IF(VLOOKUP(A205,Database!$A:$AS,MATCH($F$1,Database!$A$1:$AS$1,0),FALSE)=0,#N/A,VLOOKUP(A205,Database!$A:$AS,MATCH($F$1,Database!$A$1:$AS$1,0),FALSE))</f>
        <v/>
      </c>
      <c r="G205" s="77">
        <f>IF(VLOOKUP(A205,Database!$A:$AS,MATCH($G$1,Database!$A$1:$AS$1,0),FALSE)=0,#N/A,VLOOKUP(A205,Database!$A:$AS,MATCH($G$1,Database!$A$1:$AS$1,0),FALSE))</f>
        <v/>
      </c>
      <c r="H205" s="77">
        <f>(((Table134567891011121314151617343[[#This Row],[ITA]]-VLOOKUP($U$1,A:B,2,))/VLOOKUP($U$1,A:B,2,))*100)+100</f>
        <v/>
      </c>
      <c r="I205" s="77">
        <f>(((Table134567891011121314151617343[[#This Row],[FRA]]-VLOOKUP($U$1,A:C,3,))/VLOOKUP($U$1,A:C,3,))*100)+100</f>
        <v/>
      </c>
      <c r="J205" s="77">
        <f>(((Table134567891011121314151617343[[#This Row],[DEU]]-VLOOKUP($U$1,A:D,4,))/VLOOKUP($U$1,A:D,4,))*100)+100</f>
        <v/>
      </c>
      <c r="K205" s="77">
        <f>(((Table134567891011121314151617343[[#This Row],[ESP]]-VLOOKUP($U$1,A:E,5,))/VLOOKUP($U$1,A:E,5,))*100)+100</f>
        <v/>
      </c>
      <c r="L205" s="77">
        <f>(((Table134567891011121314151617343[[#This Row],[EA19]]-VLOOKUP($U$1,A:F,6,))/VLOOKUP($U$1,A:F,6,))*100)+100</f>
        <v/>
      </c>
      <c r="M205" s="77">
        <f>(((Table134567891011121314151617343[[#This Row],[GBR]]-VLOOKUP($U$1,A:G,7,))/VLOOKUP($U$1,A:G,7,))*100)+100</f>
        <v/>
      </c>
      <c r="N205" s="77">
        <f>IF(VLOOKUP(A205,Database!$A:$AU,MATCH($N$1,Database!$A$1:$AU$1,0),FALSE)=0,#N/A,VLOOKUP(A205,Database!$A:$AU,MATCH($N$1,Database!$A$1:$AU$1,0),FALSE))</f>
        <v/>
      </c>
      <c r="O205" s="77">
        <f>(((Table134567891011121314151617343[[#This Row],[USA]]-VLOOKUP($U$1,A:N,14,))/VLOOKUP($U$1,A:N,14,))*100)+100</f>
        <v/>
      </c>
      <c r="P205" s="77">
        <f>IF(VLOOKUP(A205,Database!$A:$AS,MATCH($P$1,Database!$A$1:$AS$1,0),FALSE)=0,#N/A,VLOOKUP(A205,Database!$A:$AS,MATCH($P$1,Database!$A$1:$AS$1,0),FALSE))</f>
        <v/>
      </c>
      <c r="Q205" s="77">
        <f>(((Table134567891011121314151617343[[#This Row],[JPN]]-VLOOKUP($U$1,A:Q,16,))/VLOOKUP($U$1,A:Q,16,))*100)+100</f>
        <v/>
      </c>
    </row>
    <row r="206" customFormat="1" s="87">
      <c r="A206" s="21" t="n">
        <v>39083</v>
      </c>
      <c r="B206" s="77">
        <f>IF(VLOOKUP(A206,Database!$A:$AS,MATCH($B$1,Database!$A$1:$AS$1,0),FALSE)=0,#N/A,VLOOKUP(A206,Database!$A:$AS,MATCH($B$1,Database!$A$1:$AS$1,0),FALSE))</f>
        <v/>
      </c>
      <c r="C206" s="77">
        <f>IF(VLOOKUP(A206,Database!$A:$AS,MATCH($C$1,Database!$A$1:$AS$1,0),FALSE)=0,#N/A,VLOOKUP(A206,Database!$A:$AS,MATCH($C$1,Database!$A$1:$AS$1,0),FALSE))</f>
        <v/>
      </c>
      <c r="D206" s="77">
        <f>IF(VLOOKUP(A206,Database!$A:$AS,MATCH($D$1,Database!$A$1:$AS$1,0),FALSE)=0,#N/A,VLOOKUP(A206,Database!$A:$AS,MATCH($D$1,Database!$A$1:$AS$1,0),FALSE))</f>
        <v/>
      </c>
      <c r="E206" s="77">
        <f>IF(VLOOKUP(A206,Database!$A:$AS,MATCH($E$1,Database!$A$1:$AS$1,0),FALSE)=0,#N/A,VLOOKUP(A206,Database!$A:$AS,MATCH($E$1,Database!$A$1:$AS$1,0),FALSE))</f>
        <v/>
      </c>
      <c r="F206" s="77">
        <f>IF(VLOOKUP(A206,Database!$A:$AS,MATCH($F$1,Database!$A$1:$AS$1,0),FALSE)=0,#N/A,VLOOKUP(A206,Database!$A:$AS,MATCH($F$1,Database!$A$1:$AS$1,0),FALSE))</f>
        <v/>
      </c>
      <c r="G206" s="77">
        <f>IF(VLOOKUP(A206,Database!$A:$AS,MATCH($G$1,Database!$A$1:$AS$1,0),FALSE)=0,#N/A,VLOOKUP(A206,Database!$A:$AS,MATCH($G$1,Database!$A$1:$AS$1,0),FALSE))</f>
        <v/>
      </c>
      <c r="H206" s="77">
        <f>(((Table134567891011121314151617343[[#This Row],[ITA]]-VLOOKUP($U$1,A:B,2,))/VLOOKUP($U$1,A:B,2,))*100)+100</f>
        <v/>
      </c>
      <c r="I206" s="77">
        <f>(((Table134567891011121314151617343[[#This Row],[FRA]]-VLOOKUP($U$1,A:C,3,))/VLOOKUP($U$1,A:C,3,))*100)+100</f>
        <v/>
      </c>
      <c r="J206" s="77">
        <f>(((Table134567891011121314151617343[[#This Row],[DEU]]-VLOOKUP($U$1,A:D,4,))/VLOOKUP($U$1,A:D,4,))*100)+100</f>
        <v/>
      </c>
      <c r="K206" s="77">
        <f>(((Table134567891011121314151617343[[#This Row],[ESP]]-VLOOKUP($U$1,A:E,5,))/VLOOKUP($U$1,A:E,5,))*100)+100</f>
        <v/>
      </c>
      <c r="L206" s="77">
        <f>(((Table134567891011121314151617343[[#This Row],[EA19]]-VLOOKUP($U$1,A:F,6,))/VLOOKUP($U$1,A:F,6,))*100)+100</f>
        <v/>
      </c>
      <c r="M206" s="77">
        <f>(((Table134567891011121314151617343[[#This Row],[GBR]]-VLOOKUP($U$1,A:G,7,))/VLOOKUP($U$1,A:G,7,))*100)+100</f>
        <v/>
      </c>
      <c r="N206" s="77">
        <f>IF(VLOOKUP(A206,Database!$A:$AU,MATCH($N$1,Database!$A$1:$AU$1,0),FALSE)=0,#N/A,VLOOKUP(A206,Database!$A:$AU,MATCH($N$1,Database!$A$1:$AU$1,0),FALSE))</f>
        <v/>
      </c>
      <c r="O206" s="77">
        <f>(((Table134567891011121314151617343[[#This Row],[USA]]-VLOOKUP($U$1,A:N,14,))/VLOOKUP($U$1,A:N,14,))*100)+100</f>
        <v/>
      </c>
      <c r="P206" s="77">
        <f>IF(VLOOKUP(A206,Database!$A:$AS,MATCH($P$1,Database!$A$1:$AS$1,0),FALSE)=0,#N/A,VLOOKUP(A206,Database!$A:$AS,MATCH($P$1,Database!$A$1:$AS$1,0),FALSE))</f>
        <v/>
      </c>
      <c r="Q206" s="77">
        <f>(((Table134567891011121314151617343[[#This Row],[JPN]]-VLOOKUP($U$1,A:Q,16,))/VLOOKUP($U$1,A:Q,16,))*100)+100</f>
        <v/>
      </c>
    </row>
    <row r="207" customFormat="1" s="87">
      <c r="A207" s="21" t="n">
        <v>39114</v>
      </c>
      <c r="B207" s="77">
        <f>IF(VLOOKUP(A207,Database!$A:$AS,MATCH($B$1,Database!$A$1:$AS$1,0),FALSE)=0,#N/A,VLOOKUP(A207,Database!$A:$AS,MATCH($B$1,Database!$A$1:$AS$1,0),FALSE))</f>
        <v/>
      </c>
      <c r="C207" s="77">
        <f>IF(VLOOKUP(A207,Database!$A:$AS,MATCH($C$1,Database!$A$1:$AS$1,0),FALSE)=0,#N/A,VLOOKUP(A207,Database!$A:$AS,MATCH($C$1,Database!$A$1:$AS$1,0),FALSE))</f>
        <v/>
      </c>
      <c r="D207" s="77">
        <f>IF(VLOOKUP(A207,Database!$A:$AS,MATCH($D$1,Database!$A$1:$AS$1,0),FALSE)=0,#N/A,VLOOKUP(A207,Database!$A:$AS,MATCH($D$1,Database!$A$1:$AS$1,0),FALSE))</f>
        <v/>
      </c>
      <c r="E207" s="77">
        <f>IF(VLOOKUP(A207,Database!$A:$AS,MATCH($E$1,Database!$A$1:$AS$1,0),FALSE)=0,#N/A,VLOOKUP(A207,Database!$A:$AS,MATCH($E$1,Database!$A$1:$AS$1,0),FALSE))</f>
        <v/>
      </c>
      <c r="F207" s="77">
        <f>IF(VLOOKUP(A207,Database!$A:$AS,MATCH($F$1,Database!$A$1:$AS$1,0),FALSE)=0,#N/A,VLOOKUP(A207,Database!$A:$AS,MATCH($F$1,Database!$A$1:$AS$1,0),FALSE))</f>
        <v/>
      </c>
      <c r="G207" s="77">
        <f>IF(VLOOKUP(A207,Database!$A:$AS,MATCH($G$1,Database!$A$1:$AS$1,0),FALSE)=0,#N/A,VLOOKUP(A207,Database!$A:$AS,MATCH($G$1,Database!$A$1:$AS$1,0),FALSE))</f>
        <v/>
      </c>
      <c r="H207" s="77">
        <f>(((Table134567891011121314151617343[[#This Row],[ITA]]-VLOOKUP($U$1,A:B,2,))/VLOOKUP($U$1,A:B,2,))*100)+100</f>
        <v/>
      </c>
      <c r="I207" s="77">
        <f>(((Table134567891011121314151617343[[#This Row],[FRA]]-VLOOKUP($U$1,A:C,3,))/VLOOKUP($U$1,A:C,3,))*100)+100</f>
        <v/>
      </c>
      <c r="J207" s="77">
        <f>(((Table134567891011121314151617343[[#This Row],[DEU]]-VLOOKUP($U$1,A:D,4,))/VLOOKUP($U$1,A:D,4,))*100)+100</f>
        <v/>
      </c>
      <c r="K207" s="77">
        <f>(((Table134567891011121314151617343[[#This Row],[ESP]]-VLOOKUP($U$1,A:E,5,))/VLOOKUP($U$1,A:E,5,))*100)+100</f>
        <v/>
      </c>
      <c r="L207" s="77">
        <f>(((Table134567891011121314151617343[[#This Row],[EA19]]-VLOOKUP($U$1,A:F,6,))/VLOOKUP($U$1,A:F,6,))*100)+100</f>
        <v/>
      </c>
      <c r="M207" s="77">
        <f>(((Table134567891011121314151617343[[#This Row],[GBR]]-VLOOKUP($U$1,A:G,7,))/VLOOKUP($U$1,A:G,7,))*100)+100</f>
        <v/>
      </c>
      <c r="N207" s="77">
        <f>IF(VLOOKUP(A207,Database!$A:$AU,MATCH($N$1,Database!$A$1:$AU$1,0),FALSE)=0,#N/A,VLOOKUP(A207,Database!$A:$AU,MATCH($N$1,Database!$A$1:$AU$1,0),FALSE))</f>
        <v/>
      </c>
      <c r="O207" s="77">
        <f>(((Table134567891011121314151617343[[#This Row],[USA]]-VLOOKUP($U$1,A:N,14,))/VLOOKUP($U$1,A:N,14,))*100)+100</f>
        <v/>
      </c>
      <c r="P207" s="77">
        <f>IF(VLOOKUP(A207,Database!$A:$AS,MATCH($P$1,Database!$A$1:$AS$1,0),FALSE)=0,#N/A,VLOOKUP(A207,Database!$A:$AS,MATCH($P$1,Database!$A$1:$AS$1,0),FALSE))</f>
        <v/>
      </c>
      <c r="Q207" s="77">
        <f>(((Table134567891011121314151617343[[#This Row],[JPN]]-VLOOKUP($U$1,A:Q,16,))/VLOOKUP($U$1,A:Q,16,))*100)+100</f>
        <v/>
      </c>
    </row>
    <row r="208" customFormat="1" s="87">
      <c r="A208" s="21" t="n">
        <v>39142</v>
      </c>
      <c r="B208" s="77">
        <f>IF(VLOOKUP(A208,Database!$A:$AS,MATCH($B$1,Database!$A$1:$AS$1,0),FALSE)=0,#N/A,VLOOKUP(A208,Database!$A:$AS,MATCH($B$1,Database!$A$1:$AS$1,0),FALSE))</f>
        <v/>
      </c>
      <c r="C208" s="77">
        <f>IF(VLOOKUP(A208,Database!$A:$AS,MATCH($C$1,Database!$A$1:$AS$1,0),FALSE)=0,#N/A,VLOOKUP(A208,Database!$A:$AS,MATCH($C$1,Database!$A$1:$AS$1,0),FALSE))</f>
        <v/>
      </c>
      <c r="D208" s="77">
        <f>IF(VLOOKUP(A208,Database!$A:$AS,MATCH($D$1,Database!$A$1:$AS$1,0),FALSE)=0,#N/A,VLOOKUP(A208,Database!$A:$AS,MATCH($D$1,Database!$A$1:$AS$1,0),FALSE))</f>
        <v/>
      </c>
      <c r="E208" s="77">
        <f>IF(VLOOKUP(A208,Database!$A:$AS,MATCH($E$1,Database!$A$1:$AS$1,0),FALSE)=0,#N/A,VLOOKUP(A208,Database!$A:$AS,MATCH($E$1,Database!$A$1:$AS$1,0),FALSE))</f>
        <v/>
      </c>
      <c r="F208" s="77">
        <f>IF(VLOOKUP(A208,Database!$A:$AS,MATCH($F$1,Database!$A$1:$AS$1,0),FALSE)=0,#N/A,VLOOKUP(A208,Database!$A:$AS,MATCH($F$1,Database!$A$1:$AS$1,0),FALSE))</f>
        <v/>
      </c>
      <c r="G208" s="77">
        <f>IF(VLOOKUP(A208,Database!$A:$AS,MATCH($G$1,Database!$A$1:$AS$1,0),FALSE)=0,#N/A,VLOOKUP(A208,Database!$A:$AS,MATCH($G$1,Database!$A$1:$AS$1,0),FALSE))</f>
        <v/>
      </c>
      <c r="H208" s="77">
        <f>(((Table134567891011121314151617343[[#This Row],[ITA]]-VLOOKUP($U$1,A:B,2,))/VLOOKUP($U$1,A:B,2,))*100)+100</f>
        <v/>
      </c>
      <c r="I208" s="77">
        <f>(((Table134567891011121314151617343[[#This Row],[FRA]]-VLOOKUP($U$1,A:C,3,))/VLOOKUP($U$1,A:C,3,))*100)+100</f>
        <v/>
      </c>
      <c r="J208" s="77">
        <f>(((Table134567891011121314151617343[[#This Row],[DEU]]-VLOOKUP($U$1,A:D,4,))/VLOOKUP($U$1,A:D,4,))*100)+100</f>
        <v/>
      </c>
      <c r="K208" s="77">
        <f>(((Table134567891011121314151617343[[#This Row],[ESP]]-VLOOKUP($U$1,A:E,5,))/VLOOKUP($U$1,A:E,5,))*100)+100</f>
        <v/>
      </c>
      <c r="L208" s="77">
        <f>(((Table134567891011121314151617343[[#This Row],[EA19]]-VLOOKUP($U$1,A:F,6,))/VLOOKUP($U$1,A:F,6,))*100)+100</f>
        <v/>
      </c>
      <c r="M208" s="77">
        <f>(((Table134567891011121314151617343[[#This Row],[GBR]]-VLOOKUP($U$1,A:G,7,))/VLOOKUP($U$1,A:G,7,))*100)+100</f>
        <v/>
      </c>
      <c r="N208" s="77">
        <f>IF(VLOOKUP(A208,Database!$A:$AU,MATCH($N$1,Database!$A$1:$AU$1,0),FALSE)=0,#N/A,VLOOKUP(A208,Database!$A:$AU,MATCH($N$1,Database!$A$1:$AU$1,0),FALSE))</f>
        <v/>
      </c>
      <c r="O208" s="77">
        <f>(((Table134567891011121314151617343[[#This Row],[USA]]-VLOOKUP($U$1,A:N,14,))/VLOOKUP($U$1,A:N,14,))*100)+100</f>
        <v/>
      </c>
      <c r="P208" s="77">
        <f>IF(VLOOKUP(A208,Database!$A:$AS,MATCH($P$1,Database!$A$1:$AS$1,0),FALSE)=0,#N/A,VLOOKUP(A208,Database!$A:$AS,MATCH($P$1,Database!$A$1:$AS$1,0),FALSE))</f>
        <v/>
      </c>
      <c r="Q208" s="77">
        <f>(((Table134567891011121314151617343[[#This Row],[JPN]]-VLOOKUP($U$1,A:Q,16,))/VLOOKUP($U$1,A:Q,16,))*100)+100</f>
        <v/>
      </c>
    </row>
    <row r="209" customFormat="1" s="87">
      <c r="A209" s="21" t="n">
        <v>39173</v>
      </c>
      <c r="B209" s="77">
        <f>IF(VLOOKUP(A209,Database!$A:$AS,MATCH($B$1,Database!$A$1:$AS$1,0),FALSE)=0,#N/A,VLOOKUP(A209,Database!$A:$AS,MATCH($B$1,Database!$A$1:$AS$1,0),FALSE))</f>
        <v/>
      </c>
      <c r="C209" s="77">
        <f>IF(VLOOKUP(A209,Database!$A:$AS,MATCH($C$1,Database!$A$1:$AS$1,0),FALSE)=0,#N/A,VLOOKUP(A209,Database!$A:$AS,MATCH($C$1,Database!$A$1:$AS$1,0),FALSE))</f>
        <v/>
      </c>
      <c r="D209" s="77">
        <f>IF(VLOOKUP(A209,Database!$A:$AS,MATCH($D$1,Database!$A$1:$AS$1,0),FALSE)=0,#N/A,VLOOKUP(A209,Database!$A:$AS,MATCH($D$1,Database!$A$1:$AS$1,0),FALSE))</f>
        <v/>
      </c>
      <c r="E209" s="77">
        <f>IF(VLOOKUP(A209,Database!$A:$AS,MATCH($E$1,Database!$A$1:$AS$1,0),FALSE)=0,#N/A,VLOOKUP(A209,Database!$A:$AS,MATCH($E$1,Database!$A$1:$AS$1,0),FALSE))</f>
        <v/>
      </c>
      <c r="F209" s="77">
        <f>IF(VLOOKUP(A209,Database!$A:$AS,MATCH($F$1,Database!$A$1:$AS$1,0),FALSE)=0,#N/A,VLOOKUP(A209,Database!$A:$AS,MATCH($F$1,Database!$A$1:$AS$1,0),FALSE))</f>
        <v/>
      </c>
      <c r="G209" s="77">
        <f>IF(VLOOKUP(A209,Database!$A:$AS,MATCH($G$1,Database!$A$1:$AS$1,0),FALSE)=0,#N/A,VLOOKUP(A209,Database!$A:$AS,MATCH($G$1,Database!$A$1:$AS$1,0),FALSE))</f>
        <v/>
      </c>
      <c r="H209" s="77">
        <f>(((Table134567891011121314151617343[[#This Row],[ITA]]-VLOOKUP($U$1,A:B,2,))/VLOOKUP($U$1,A:B,2,))*100)+100</f>
        <v/>
      </c>
      <c r="I209" s="77">
        <f>(((Table134567891011121314151617343[[#This Row],[FRA]]-VLOOKUP($U$1,A:C,3,))/VLOOKUP($U$1,A:C,3,))*100)+100</f>
        <v/>
      </c>
      <c r="J209" s="77">
        <f>(((Table134567891011121314151617343[[#This Row],[DEU]]-VLOOKUP($U$1,A:D,4,))/VLOOKUP($U$1,A:D,4,))*100)+100</f>
        <v/>
      </c>
      <c r="K209" s="77">
        <f>(((Table134567891011121314151617343[[#This Row],[ESP]]-VLOOKUP($U$1,A:E,5,))/VLOOKUP($U$1,A:E,5,))*100)+100</f>
        <v/>
      </c>
      <c r="L209" s="77">
        <f>(((Table134567891011121314151617343[[#This Row],[EA19]]-VLOOKUP($U$1,A:F,6,))/VLOOKUP($U$1,A:F,6,))*100)+100</f>
        <v/>
      </c>
      <c r="M209" s="77">
        <f>(((Table134567891011121314151617343[[#This Row],[GBR]]-VLOOKUP($U$1,A:G,7,))/VLOOKUP($U$1,A:G,7,))*100)+100</f>
        <v/>
      </c>
      <c r="N209" s="77">
        <f>IF(VLOOKUP(A209,Database!$A:$AU,MATCH($N$1,Database!$A$1:$AU$1,0),FALSE)=0,#N/A,VLOOKUP(A209,Database!$A:$AU,MATCH($N$1,Database!$A$1:$AU$1,0),FALSE))</f>
        <v/>
      </c>
      <c r="O209" s="77">
        <f>(((Table134567891011121314151617343[[#This Row],[USA]]-VLOOKUP($U$1,A:N,14,))/VLOOKUP($U$1,A:N,14,))*100)+100</f>
        <v/>
      </c>
      <c r="P209" s="77">
        <f>IF(VLOOKUP(A209,Database!$A:$AS,MATCH($P$1,Database!$A$1:$AS$1,0),FALSE)=0,#N/A,VLOOKUP(A209,Database!$A:$AS,MATCH($P$1,Database!$A$1:$AS$1,0),FALSE))</f>
        <v/>
      </c>
      <c r="Q209" s="77">
        <f>(((Table134567891011121314151617343[[#This Row],[JPN]]-VLOOKUP($U$1,A:Q,16,))/VLOOKUP($U$1,A:Q,16,))*100)+100</f>
        <v/>
      </c>
    </row>
    <row r="210" customFormat="1" s="87">
      <c r="A210" s="21" t="n">
        <v>39203</v>
      </c>
      <c r="B210" s="77">
        <f>IF(VLOOKUP(A210,Database!$A:$AS,MATCH($B$1,Database!$A$1:$AS$1,0),FALSE)=0,#N/A,VLOOKUP(A210,Database!$A:$AS,MATCH($B$1,Database!$A$1:$AS$1,0),FALSE))</f>
        <v/>
      </c>
      <c r="C210" s="77">
        <f>IF(VLOOKUP(A210,Database!$A:$AS,MATCH($C$1,Database!$A$1:$AS$1,0),FALSE)=0,#N/A,VLOOKUP(A210,Database!$A:$AS,MATCH($C$1,Database!$A$1:$AS$1,0),FALSE))</f>
        <v/>
      </c>
      <c r="D210" s="77">
        <f>IF(VLOOKUP(A210,Database!$A:$AS,MATCH($D$1,Database!$A$1:$AS$1,0),FALSE)=0,#N/A,VLOOKUP(A210,Database!$A:$AS,MATCH($D$1,Database!$A$1:$AS$1,0),FALSE))</f>
        <v/>
      </c>
      <c r="E210" s="77">
        <f>IF(VLOOKUP(A210,Database!$A:$AS,MATCH($E$1,Database!$A$1:$AS$1,0),FALSE)=0,#N/A,VLOOKUP(A210,Database!$A:$AS,MATCH($E$1,Database!$A$1:$AS$1,0),FALSE))</f>
        <v/>
      </c>
      <c r="F210" s="77">
        <f>IF(VLOOKUP(A210,Database!$A:$AS,MATCH($F$1,Database!$A$1:$AS$1,0),FALSE)=0,#N/A,VLOOKUP(A210,Database!$A:$AS,MATCH($F$1,Database!$A$1:$AS$1,0),FALSE))</f>
        <v/>
      </c>
      <c r="G210" s="77">
        <f>IF(VLOOKUP(A210,Database!$A:$AS,MATCH($G$1,Database!$A$1:$AS$1,0),FALSE)=0,#N/A,VLOOKUP(A210,Database!$A:$AS,MATCH($G$1,Database!$A$1:$AS$1,0),FALSE))</f>
        <v/>
      </c>
      <c r="H210" s="77">
        <f>(((Table134567891011121314151617343[[#This Row],[ITA]]-VLOOKUP($U$1,A:B,2,))/VLOOKUP($U$1,A:B,2,))*100)+100</f>
        <v/>
      </c>
      <c r="I210" s="77">
        <f>(((Table134567891011121314151617343[[#This Row],[FRA]]-VLOOKUP($U$1,A:C,3,))/VLOOKUP($U$1,A:C,3,))*100)+100</f>
        <v/>
      </c>
      <c r="J210" s="77">
        <f>(((Table134567891011121314151617343[[#This Row],[DEU]]-VLOOKUP($U$1,A:D,4,))/VLOOKUP($U$1,A:D,4,))*100)+100</f>
        <v/>
      </c>
      <c r="K210" s="77">
        <f>(((Table134567891011121314151617343[[#This Row],[ESP]]-VLOOKUP($U$1,A:E,5,))/VLOOKUP($U$1,A:E,5,))*100)+100</f>
        <v/>
      </c>
      <c r="L210" s="77">
        <f>(((Table134567891011121314151617343[[#This Row],[EA19]]-VLOOKUP($U$1,A:F,6,))/VLOOKUP($U$1,A:F,6,))*100)+100</f>
        <v/>
      </c>
      <c r="M210" s="77">
        <f>(((Table134567891011121314151617343[[#This Row],[GBR]]-VLOOKUP($U$1,A:G,7,))/VLOOKUP($U$1,A:G,7,))*100)+100</f>
        <v/>
      </c>
      <c r="N210" s="77">
        <f>IF(VLOOKUP(A210,Database!$A:$AU,MATCH($N$1,Database!$A$1:$AU$1,0),FALSE)=0,#N/A,VLOOKUP(A210,Database!$A:$AU,MATCH($N$1,Database!$A$1:$AU$1,0),FALSE))</f>
        <v/>
      </c>
      <c r="O210" s="77">
        <f>(((Table134567891011121314151617343[[#This Row],[USA]]-VLOOKUP($U$1,A:N,14,))/VLOOKUP($U$1,A:N,14,))*100)+100</f>
        <v/>
      </c>
      <c r="P210" s="77">
        <f>IF(VLOOKUP(A210,Database!$A:$AS,MATCH($P$1,Database!$A$1:$AS$1,0),FALSE)=0,#N/A,VLOOKUP(A210,Database!$A:$AS,MATCH($P$1,Database!$A$1:$AS$1,0),FALSE))</f>
        <v/>
      </c>
      <c r="Q210" s="77">
        <f>(((Table134567891011121314151617343[[#This Row],[JPN]]-VLOOKUP($U$1,A:Q,16,))/VLOOKUP($U$1,A:Q,16,))*100)+100</f>
        <v/>
      </c>
    </row>
    <row r="211" customFormat="1" s="87">
      <c r="A211" s="21" t="n">
        <v>39234</v>
      </c>
      <c r="B211" s="77">
        <f>IF(VLOOKUP(A211,Database!$A:$AS,MATCH($B$1,Database!$A$1:$AS$1,0),FALSE)=0,#N/A,VLOOKUP(A211,Database!$A:$AS,MATCH($B$1,Database!$A$1:$AS$1,0),FALSE))</f>
        <v/>
      </c>
      <c r="C211" s="77">
        <f>IF(VLOOKUP(A211,Database!$A:$AS,MATCH($C$1,Database!$A$1:$AS$1,0),FALSE)=0,#N/A,VLOOKUP(A211,Database!$A:$AS,MATCH($C$1,Database!$A$1:$AS$1,0),FALSE))</f>
        <v/>
      </c>
      <c r="D211" s="77">
        <f>IF(VLOOKUP(A211,Database!$A:$AS,MATCH($D$1,Database!$A$1:$AS$1,0),FALSE)=0,#N/A,VLOOKUP(A211,Database!$A:$AS,MATCH($D$1,Database!$A$1:$AS$1,0),FALSE))</f>
        <v/>
      </c>
      <c r="E211" s="77">
        <f>IF(VLOOKUP(A211,Database!$A:$AS,MATCH($E$1,Database!$A$1:$AS$1,0),FALSE)=0,#N/A,VLOOKUP(A211,Database!$A:$AS,MATCH($E$1,Database!$A$1:$AS$1,0),FALSE))</f>
        <v/>
      </c>
      <c r="F211" s="77">
        <f>IF(VLOOKUP(A211,Database!$A:$AS,MATCH($F$1,Database!$A$1:$AS$1,0),FALSE)=0,#N/A,VLOOKUP(A211,Database!$A:$AS,MATCH($F$1,Database!$A$1:$AS$1,0),FALSE))</f>
        <v/>
      </c>
      <c r="G211" s="77">
        <f>IF(VLOOKUP(A211,Database!$A:$AS,MATCH($G$1,Database!$A$1:$AS$1,0),FALSE)=0,#N/A,VLOOKUP(A211,Database!$A:$AS,MATCH($G$1,Database!$A$1:$AS$1,0),FALSE))</f>
        <v/>
      </c>
      <c r="H211" s="77">
        <f>(((Table134567891011121314151617343[[#This Row],[ITA]]-VLOOKUP($U$1,A:B,2,))/VLOOKUP($U$1,A:B,2,))*100)+100</f>
        <v/>
      </c>
      <c r="I211" s="77">
        <f>(((Table134567891011121314151617343[[#This Row],[FRA]]-VLOOKUP($U$1,A:C,3,))/VLOOKUP($U$1,A:C,3,))*100)+100</f>
        <v/>
      </c>
      <c r="J211" s="77">
        <f>(((Table134567891011121314151617343[[#This Row],[DEU]]-VLOOKUP($U$1,A:D,4,))/VLOOKUP($U$1,A:D,4,))*100)+100</f>
        <v/>
      </c>
      <c r="K211" s="77">
        <f>(((Table134567891011121314151617343[[#This Row],[ESP]]-VLOOKUP($U$1,A:E,5,))/VLOOKUP($U$1,A:E,5,))*100)+100</f>
        <v/>
      </c>
      <c r="L211" s="77">
        <f>(((Table134567891011121314151617343[[#This Row],[EA19]]-VLOOKUP($U$1,A:F,6,))/VLOOKUP($U$1,A:F,6,))*100)+100</f>
        <v/>
      </c>
      <c r="M211" s="77">
        <f>(((Table134567891011121314151617343[[#This Row],[GBR]]-VLOOKUP($U$1,A:G,7,))/VLOOKUP($U$1,A:G,7,))*100)+100</f>
        <v/>
      </c>
      <c r="N211" s="77">
        <f>IF(VLOOKUP(A211,Database!$A:$AU,MATCH($N$1,Database!$A$1:$AU$1,0),FALSE)=0,#N/A,VLOOKUP(A211,Database!$A:$AU,MATCH($N$1,Database!$A$1:$AU$1,0),FALSE))</f>
        <v/>
      </c>
      <c r="O211" s="77">
        <f>(((Table134567891011121314151617343[[#This Row],[USA]]-VLOOKUP($U$1,A:N,14,))/VLOOKUP($U$1,A:N,14,))*100)+100</f>
        <v/>
      </c>
      <c r="P211" s="77">
        <f>IF(VLOOKUP(A211,Database!$A:$AS,MATCH($P$1,Database!$A$1:$AS$1,0),FALSE)=0,#N/A,VLOOKUP(A211,Database!$A:$AS,MATCH($P$1,Database!$A$1:$AS$1,0),FALSE))</f>
        <v/>
      </c>
      <c r="Q211" s="77">
        <f>(((Table134567891011121314151617343[[#This Row],[JPN]]-VLOOKUP($U$1,A:Q,16,))/VLOOKUP($U$1,A:Q,16,))*100)+100</f>
        <v/>
      </c>
    </row>
    <row r="212" customFormat="1" s="87">
      <c r="A212" s="21" t="n">
        <v>39264</v>
      </c>
      <c r="B212" s="77">
        <f>IF(VLOOKUP(A212,Database!$A:$AS,MATCH($B$1,Database!$A$1:$AS$1,0),FALSE)=0,#N/A,VLOOKUP(A212,Database!$A:$AS,MATCH($B$1,Database!$A$1:$AS$1,0),FALSE))</f>
        <v/>
      </c>
      <c r="C212" s="77">
        <f>IF(VLOOKUP(A212,Database!$A:$AS,MATCH($C$1,Database!$A$1:$AS$1,0),FALSE)=0,#N/A,VLOOKUP(A212,Database!$A:$AS,MATCH($C$1,Database!$A$1:$AS$1,0),FALSE))</f>
        <v/>
      </c>
      <c r="D212" s="77">
        <f>IF(VLOOKUP(A212,Database!$A:$AS,MATCH($D$1,Database!$A$1:$AS$1,0),FALSE)=0,#N/A,VLOOKUP(A212,Database!$A:$AS,MATCH($D$1,Database!$A$1:$AS$1,0),FALSE))</f>
        <v/>
      </c>
      <c r="E212" s="77">
        <f>IF(VLOOKUP(A212,Database!$A:$AS,MATCH($E$1,Database!$A$1:$AS$1,0),FALSE)=0,#N/A,VLOOKUP(A212,Database!$A:$AS,MATCH($E$1,Database!$A$1:$AS$1,0),FALSE))</f>
        <v/>
      </c>
      <c r="F212" s="77">
        <f>IF(VLOOKUP(A212,Database!$A:$AS,MATCH($F$1,Database!$A$1:$AS$1,0),FALSE)=0,#N/A,VLOOKUP(A212,Database!$A:$AS,MATCH($F$1,Database!$A$1:$AS$1,0),FALSE))</f>
        <v/>
      </c>
      <c r="G212" s="77">
        <f>IF(VLOOKUP(A212,Database!$A:$AS,MATCH($G$1,Database!$A$1:$AS$1,0),FALSE)=0,#N/A,VLOOKUP(A212,Database!$A:$AS,MATCH($G$1,Database!$A$1:$AS$1,0),FALSE))</f>
        <v/>
      </c>
      <c r="H212" s="77">
        <f>(((Table134567891011121314151617343[[#This Row],[ITA]]-VLOOKUP($U$1,A:B,2,))/VLOOKUP($U$1,A:B,2,))*100)+100</f>
        <v/>
      </c>
      <c r="I212" s="77">
        <f>(((Table134567891011121314151617343[[#This Row],[FRA]]-VLOOKUP($U$1,A:C,3,))/VLOOKUP($U$1,A:C,3,))*100)+100</f>
        <v/>
      </c>
      <c r="J212" s="77">
        <f>(((Table134567891011121314151617343[[#This Row],[DEU]]-VLOOKUP($U$1,A:D,4,))/VLOOKUP($U$1,A:D,4,))*100)+100</f>
        <v/>
      </c>
      <c r="K212" s="77">
        <f>(((Table134567891011121314151617343[[#This Row],[ESP]]-VLOOKUP($U$1,A:E,5,))/VLOOKUP($U$1,A:E,5,))*100)+100</f>
        <v/>
      </c>
      <c r="L212" s="77">
        <f>(((Table134567891011121314151617343[[#This Row],[EA19]]-VLOOKUP($U$1,A:F,6,))/VLOOKUP($U$1,A:F,6,))*100)+100</f>
        <v/>
      </c>
      <c r="M212" s="77">
        <f>(((Table134567891011121314151617343[[#This Row],[GBR]]-VLOOKUP($U$1,A:G,7,))/VLOOKUP($U$1,A:G,7,))*100)+100</f>
        <v/>
      </c>
      <c r="N212" s="77">
        <f>IF(VLOOKUP(A212,Database!$A:$AU,MATCH($N$1,Database!$A$1:$AU$1,0),FALSE)=0,#N/A,VLOOKUP(A212,Database!$A:$AU,MATCH($N$1,Database!$A$1:$AU$1,0),FALSE))</f>
        <v/>
      </c>
      <c r="O212" s="77">
        <f>(((Table134567891011121314151617343[[#This Row],[USA]]-VLOOKUP($U$1,A:N,14,))/VLOOKUP($U$1,A:N,14,))*100)+100</f>
        <v/>
      </c>
      <c r="P212" s="77">
        <f>IF(VLOOKUP(A212,Database!$A:$AS,MATCH($P$1,Database!$A$1:$AS$1,0),FALSE)=0,#N/A,VLOOKUP(A212,Database!$A:$AS,MATCH($P$1,Database!$A$1:$AS$1,0),FALSE))</f>
        <v/>
      </c>
      <c r="Q212" s="77">
        <f>(((Table134567891011121314151617343[[#This Row],[JPN]]-VLOOKUP($U$1,A:Q,16,))/VLOOKUP($U$1,A:Q,16,))*100)+100</f>
        <v/>
      </c>
    </row>
    <row r="213" customFormat="1" s="87">
      <c r="A213" s="21" t="n">
        <v>39295</v>
      </c>
      <c r="B213" s="77">
        <f>IF(VLOOKUP(A213,Database!$A:$AS,MATCH($B$1,Database!$A$1:$AS$1,0),FALSE)=0,#N/A,VLOOKUP(A213,Database!$A:$AS,MATCH($B$1,Database!$A$1:$AS$1,0),FALSE))</f>
        <v/>
      </c>
      <c r="C213" s="77">
        <f>IF(VLOOKUP(A213,Database!$A:$AS,MATCH($C$1,Database!$A$1:$AS$1,0),FALSE)=0,#N/A,VLOOKUP(A213,Database!$A:$AS,MATCH($C$1,Database!$A$1:$AS$1,0),FALSE))</f>
        <v/>
      </c>
      <c r="D213" s="77">
        <f>IF(VLOOKUP(A213,Database!$A:$AS,MATCH($D$1,Database!$A$1:$AS$1,0),FALSE)=0,#N/A,VLOOKUP(A213,Database!$A:$AS,MATCH($D$1,Database!$A$1:$AS$1,0),FALSE))</f>
        <v/>
      </c>
      <c r="E213" s="77">
        <f>IF(VLOOKUP(A213,Database!$A:$AS,MATCH($E$1,Database!$A$1:$AS$1,0),FALSE)=0,#N/A,VLOOKUP(A213,Database!$A:$AS,MATCH($E$1,Database!$A$1:$AS$1,0),FALSE))</f>
        <v/>
      </c>
      <c r="F213" s="77">
        <f>IF(VLOOKUP(A213,Database!$A:$AS,MATCH($F$1,Database!$A$1:$AS$1,0),FALSE)=0,#N/A,VLOOKUP(A213,Database!$A:$AS,MATCH($F$1,Database!$A$1:$AS$1,0),FALSE))</f>
        <v/>
      </c>
      <c r="G213" s="77">
        <f>IF(VLOOKUP(A213,Database!$A:$AS,MATCH($G$1,Database!$A$1:$AS$1,0),FALSE)=0,#N/A,VLOOKUP(A213,Database!$A:$AS,MATCH($G$1,Database!$A$1:$AS$1,0),FALSE))</f>
        <v/>
      </c>
      <c r="H213" s="77">
        <f>(((Table134567891011121314151617343[[#This Row],[ITA]]-VLOOKUP($U$1,A:B,2,))/VLOOKUP($U$1,A:B,2,))*100)+100</f>
        <v/>
      </c>
      <c r="I213" s="77">
        <f>(((Table134567891011121314151617343[[#This Row],[FRA]]-VLOOKUP($U$1,A:C,3,))/VLOOKUP($U$1,A:C,3,))*100)+100</f>
        <v/>
      </c>
      <c r="J213" s="77">
        <f>(((Table134567891011121314151617343[[#This Row],[DEU]]-VLOOKUP($U$1,A:D,4,))/VLOOKUP($U$1,A:D,4,))*100)+100</f>
        <v/>
      </c>
      <c r="K213" s="77">
        <f>(((Table134567891011121314151617343[[#This Row],[ESP]]-VLOOKUP($U$1,A:E,5,))/VLOOKUP($U$1,A:E,5,))*100)+100</f>
        <v/>
      </c>
      <c r="L213" s="77">
        <f>(((Table134567891011121314151617343[[#This Row],[EA19]]-VLOOKUP($U$1,A:F,6,))/VLOOKUP($U$1,A:F,6,))*100)+100</f>
        <v/>
      </c>
      <c r="M213" s="77">
        <f>(((Table134567891011121314151617343[[#This Row],[GBR]]-VLOOKUP($U$1,A:G,7,))/VLOOKUP($U$1,A:G,7,))*100)+100</f>
        <v/>
      </c>
      <c r="N213" s="77">
        <f>IF(VLOOKUP(A213,Database!$A:$AU,MATCH($N$1,Database!$A$1:$AU$1,0),FALSE)=0,#N/A,VLOOKUP(A213,Database!$A:$AU,MATCH($N$1,Database!$A$1:$AU$1,0),FALSE))</f>
        <v/>
      </c>
      <c r="O213" s="77">
        <f>(((Table134567891011121314151617343[[#This Row],[USA]]-VLOOKUP($U$1,A:N,14,))/VLOOKUP($U$1,A:N,14,))*100)+100</f>
        <v/>
      </c>
      <c r="P213" s="77">
        <f>IF(VLOOKUP(A213,Database!$A:$AS,MATCH($P$1,Database!$A$1:$AS$1,0),FALSE)=0,#N/A,VLOOKUP(A213,Database!$A:$AS,MATCH($P$1,Database!$A$1:$AS$1,0),FALSE))</f>
        <v/>
      </c>
      <c r="Q213" s="77">
        <f>(((Table134567891011121314151617343[[#This Row],[JPN]]-VLOOKUP($U$1,A:Q,16,))/VLOOKUP($U$1,A:Q,16,))*100)+100</f>
        <v/>
      </c>
    </row>
    <row r="214" customFormat="1" s="87">
      <c r="A214" s="21" t="n">
        <v>39326</v>
      </c>
      <c r="B214" s="77">
        <f>IF(VLOOKUP(A214,Database!$A:$AS,MATCH($B$1,Database!$A$1:$AS$1,0),FALSE)=0,#N/A,VLOOKUP(A214,Database!$A:$AS,MATCH($B$1,Database!$A$1:$AS$1,0),FALSE))</f>
        <v/>
      </c>
      <c r="C214" s="77">
        <f>IF(VLOOKUP(A214,Database!$A:$AS,MATCH($C$1,Database!$A$1:$AS$1,0),FALSE)=0,#N/A,VLOOKUP(A214,Database!$A:$AS,MATCH($C$1,Database!$A$1:$AS$1,0),FALSE))</f>
        <v/>
      </c>
      <c r="D214" s="77">
        <f>IF(VLOOKUP(A214,Database!$A:$AS,MATCH($D$1,Database!$A$1:$AS$1,0),FALSE)=0,#N/A,VLOOKUP(A214,Database!$A:$AS,MATCH($D$1,Database!$A$1:$AS$1,0),FALSE))</f>
        <v/>
      </c>
      <c r="E214" s="77">
        <f>IF(VLOOKUP(A214,Database!$A:$AS,MATCH($E$1,Database!$A$1:$AS$1,0),FALSE)=0,#N/A,VLOOKUP(A214,Database!$A:$AS,MATCH($E$1,Database!$A$1:$AS$1,0),FALSE))</f>
        <v/>
      </c>
      <c r="F214" s="77">
        <f>IF(VLOOKUP(A214,Database!$A:$AS,MATCH($F$1,Database!$A$1:$AS$1,0),FALSE)=0,#N/A,VLOOKUP(A214,Database!$A:$AS,MATCH($F$1,Database!$A$1:$AS$1,0),FALSE))</f>
        <v/>
      </c>
      <c r="G214" s="77">
        <f>IF(VLOOKUP(A214,Database!$A:$AS,MATCH($G$1,Database!$A$1:$AS$1,0),FALSE)=0,#N/A,VLOOKUP(A214,Database!$A:$AS,MATCH($G$1,Database!$A$1:$AS$1,0),FALSE))</f>
        <v/>
      </c>
      <c r="H214" s="77">
        <f>(((Table134567891011121314151617343[[#This Row],[ITA]]-VLOOKUP($U$1,A:B,2,))/VLOOKUP($U$1,A:B,2,))*100)+100</f>
        <v/>
      </c>
      <c r="I214" s="77">
        <f>(((Table134567891011121314151617343[[#This Row],[FRA]]-VLOOKUP($U$1,A:C,3,))/VLOOKUP($U$1,A:C,3,))*100)+100</f>
        <v/>
      </c>
      <c r="J214" s="77">
        <f>(((Table134567891011121314151617343[[#This Row],[DEU]]-VLOOKUP($U$1,A:D,4,))/VLOOKUP($U$1,A:D,4,))*100)+100</f>
        <v/>
      </c>
      <c r="K214" s="77">
        <f>(((Table134567891011121314151617343[[#This Row],[ESP]]-VLOOKUP($U$1,A:E,5,))/VLOOKUP($U$1,A:E,5,))*100)+100</f>
        <v/>
      </c>
      <c r="L214" s="77">
        <f>(((Table134567891011121314151617343[[#This Row],[EA19]]-VLOOKUP($U$1,A:F,6,))/VLOOKUP($U$1,A:F,6,))*100)+100</f>
        <v/>
      </c>
      <c r="M214" s="77">
        <f>(((Table134567891011121314151617343[[#This Row],[GBR]]-VLOOKUP($U$1,A:G,7,))/VLOOKUP($U$1,A:G,7,))*100)+100</f>
        <v/>
      </c>
      <c r="N214" s="77">
        <f>IF(VLOOKUP(A214,Database!$A:$AU,MATCH($N$1,Database!$A$1:$AU$1,0),FALSE)=0,#N/A,VLOOKUP(A214,Database!$A:$AU,MATCH($N$1,Database!$A$1:$AU$1,0),FALSE))</f>
        <v/>
      </c>
      <c r="O214" s="77">
        <f>(((Table134567891011121314151617343[[#This Row],[USA]]-VLOOKUP($U$1,A:N,14,))/VLOOKUP($U$1,A:N,14,))*100)+100</f>
        <v/>
      </c>
      <c r="P214" s="77">
        <f>IF(VLOOKUP(A214,Database!$A:$AS,MATCH($P$1,Database!$A$1:$AS$1,0),FALSE)=0,#N/A,VLOOKUP(A214,Database!$A:$AS,MATCH($P$1,Database!$A$1:$AS$1,0),FALSE))</f>
        <v/>
      </c>
      <c r="Q214" s="77">
        <f>(((Table134567891011121314151617343[[#This Row],[JPN]]-VLOOKUP($U$1,A:Q,16,))/VLOOKUP($U$1,A:Q,16,))*100)+100</f>
        <v/>
      </c>
    </row>
    <row r="215" customFormat="1" s="87">
      <c r="A215" s="21" t="n">
        <v>39356</v>
      </c>
      <c r="B215" s="77">
        <f>IF(VLOOKUP(A215,Database!$A:$AS,MATCH($B$1,Database!$A$1:$AS$1,0),FALSE)=0,#N/A,VLOOKUP(A215,Database!$A:$AS,MATCH($B$1,Database!$A$1:$AS$1,0),FALSE))</f>
        <v/>
      </c>
      <c r="C215" s="77">
        <f>IF(VLOOKUP(A215,Database!$A:$AS,MATCH($C$1,Database!$A$1:$AS$1,0),FALSE)=0,#N/A,VLOOKUP(A215,Database!$A:$AS,MATCH($C$1,Database!$A$1:$AS$1,0),FALSE))</f>
        <v/>
      </c>
      <c r="D215" s="77">
        <f>IF(VLOOKUP(A215,Database!$A:$AS,MATCH($D$1,Database!$A$1:$AS$1,0),FALSE)=0,#N/A,VLOOKUP(A215,Database!$A:$AS,MATCH($D$1,Database!$A$1:$AS$1,0),FALSE))</f>
        <v/>
      </c>
      <c r="E215" s="77">
        <f>IF(VLOOKUP(A215,Database!$A:$AS,MATCH($E$1,Database!$A$1:$AS$1,0),FALSE)=0,#N/A,VLOOKUP(A215,Database!$A:$AS,MATCH($E$1,Database!$A$1:$AS$1,0),FALSE))</f>
        <v/>
      </c>
      <c r="F215" s="77">
        <f>IF(VLOOKUP(A215,Database!$A:$AS,MATCH($F$1,Database!$A$1:$AS$1,0),FALSE)=0,#N/A,VLOOKUP(A215,Database!$A:$AS,MATCH($F$1,Database!$A$1:$AS$1,0),FALSE))</f>
        <v/>
      </c>
      <c r="G215" s="77">
        <f>IF(VLOOKUP(A215,Database!$A:$AS,MATCH($G$1,Database!$A$1:$AS$1,0),FALSE)=0,#N/A,VLOOKUP(A215,Database!$A:$AS,MATCH($G$1,Database!$A$1:$AS$1,0),FALSE))</f>
        <v/>
      </c>
      <c r="H215" s="77">
        <f>(((Table134567891011121314151617343[[#This Row],[ITA]]-VLOOKUP($U$1,A:B,2,))/VLOOKUP($U$1,A:B,2,))*100)+100</f>
        <v/>
      </c>
      <c r="I215" s="77">
        <f>(((Table134567891011121314151617343[[#This Row],[FRA]]-VLOOKUP($U$1,A:C,3,))/VLOOKUP($U$1,A:C,3,))*100)+100</f>
        <v/>
      </c>
      <c r="J215" s="77">
        <f>(((Table134567891011121314151617343[[#This Row],[DEU]]-VLOOKUP($U$1,A:D,4,))/VLOOKUP($U$1,A:D,4,))*100)+100</f>
        <v/>
      </c>
      <c r="K215" s="77">
        <f>(((Table134567891011121314151617343[[#This Row],[ESP]]-VLOOKUP($U$1,A:E,5,))/VLOOKUP($U$1,A:E,5,))*100)+100</f>
        <v/>
      </c>
      <c r="L215" s="77">
        <f>(((Table134567891011121314151617343[[#This Row],[EA19]]-VLOOKUP($U$1,A:F,6,))/VLOOKUP($U$1,A:F,6,))*100)+100</f>
        <v/>
      </c>
      <c r="M215" s="77">
        <f>(((Table134567891011121314151617343[[#This Row],[GBR]]-VLOOKUP($U$1,A:G,7,))/VLOOKUP($U$1,A:G,7,))*100)+100</f>
        <v/>
      </c>
      <c r="N215" s="77">
        <f>IF(VLOOKUP(A215,Database!$A:$AU,MATCH($N$1,Database!$A$1:$AU$1,0),FALSE)=0,#N/A,VLOOKUP(A215,Database!$A:$AU,MATCH($N$1,Database!$A$1:$AU$1,0),FALSE))</f>
        <v/>
      </c>
      <c r="O215" s="77">
        <f>(((Table134567891011121314151617343[[#This Row],[USA]]-VLOOKUP($U$1,A:N,14,))/VLOOKUP($U$1,A:N,14,))*100)+100</f>
        <v/>
      </c>
      <c r="P215" s="77">
        <f>IF(VLOOKUP(A215,Database!$A:$AS,MATCH($P$1,Database!$A$1:$AS$1,0),FALSE)=0,#N/A,VLOOKUP(A215,Database!$A:$AS,MATCH($P$1,Database!$A$1:$AS$1,0),FALSE))</f>
        <v/>
      </c>
      <c r="Q215" s="77">
        <f>(((Table134567891011121314151617343[[#This Row],[JPN]]-VLOOKUP($U$1,A:Q,16,))/VLOOKUP($U$1,A:Q,16,))*100)+100</f>
        <v/>
      </c>
    </row>
    <row r="216" customFormat="1" s="87">
      <c r="A216" s="21" t="n">
        <v>39387</v>
      </c>
      <c r="B216" s="77">
        <f>IF(VLOOKUP(A216,Database!$A:$AS,MATCH($B$1,Database!$A$1:$AS$1,0),FALSE)=0,#N/A,VLOOKUP(A216,Database!$A:$AS,MATCH($B$1,Database!$A$1:$AS$1,0),FALSE))</f>
        <v/>
      </c>
      <c r="C216" s="77">
        <f>IF(VLOOKUP(A216,Database!$A:$AS,MATCH($C$1,Database!$A$1:$AS$1,0),FALSE)=0,#N/A,VLOOKUP(A216,Database!$A:$AS,MATCH($C$1,Database!$A$1:$AS$1,0),FALSE))</f>
        <v/>
      </c>
      <c r="D216" s="77">
        <f>IF(VLOOKUP(A216,Database!$A:$AS,MATCH($D$1,Database!$A$1:$AS$1,0),FALSE)=0,#N/A,VLOOKUP(A216,Database!$A:$AS,MATCH($D$1,Database!$A$1:$AS$1,0),FALSE))</f>
        <v/>
      </c>
      <c r="E216" s="77">
        <f>IF(VLOOKUP(A216,Database!$A:$AS,MATCH($E$1,Database!$A$1:$AS$1,0),FALSE)=0,#N/A,VLOOKUP(A216,Database!$A:$AS,MATCH($E$1,Database!$A$1:$AS$1,0),FALSE))</f>
        <v/>
      </c>
      <c r="F216" s="77">
        <f>IF(VLOOKUP(A216,Database!$A:$AS,MATCH($F$1,Database!$A$1:$AS$1,0),FALSE)=0,#N/A,VLOOKUP(A216,Database!$A:$AS,MATCH($F$1,Database!$A$1:$AS$1,0),FALSE))</f>
        <v/>
      </c>
      <c r="G216" s="77">
        <f>IF(VLOOKUP(A216,Database!$A:$AS,MATCH($G$1,Database!$A$1:$AS$1,0),FALSE)=0,#N/A,VLOOKUP(A216,Database!$A:$AS,MATCH($G$1,Database!$A$1:$AS$1,0),FALSE))</f>
        <v/>
      </c>
      <c r="H216" s="77">
        <f>(((Table134567891011121314151617343[[#This Row],[ITA]]-VLOOKUP($U$1,A:B,2,))/VLOOKUP($U$1,A:B,2,))*100)+100</f>
        <v/>
      </c>
      <c r="I216" s="77">
        <f>(((Table134567891011121314151617343[[#This Row],[FRA]]-VLOOKUP($U$1,A:C,3,))/VLOOKUP($U$1,A:C,3,))*100)+100</f>
        <v/>
      </c>
      <c r="J216" s="77">
        <f>(((Table134567891011121314151617343[[#This Row],[DEU]]-VLOOKUP($U$1,A:D,4,))/VLOOKUP($U$1,A:D,4,))*100)+100</f>
        <v/>
      </c>
      <c r="K216" s="77">
        <f>(((Table134567891011121314151617343[[#This Row],[ESP]]-VLOOKUP($U$1,A:E,5,))/VLOOKUP($U$1,A:E,5,))*100)+100</f>
        <v/>
      </c>
      <c r="L216" s="77">
        <f>(((Table134567891011121314151617343[[#This Row],[EA19]]-VLOOKUP($U$1,A:F,6,))/VLOOKUP($U$1,A:F,6,))*100)+100</f>
        <v/>
      </c>
      <c r="M216" s="77">
        <f>(((Table134567891011121314151617343[[#This Row],[GBR]]-VLOOKUP($U$1,A:G,7,))/VLOOKUP($U$1,A:G,7,))*100)+100</f>
        <v/>
      </c>
      <c r="N216" s="77">
        <f>IF(VLOOKUP(A216,Database!$A:$AU,MATCH($N$1,Database!$A$1:$AU$1,0),FALSE)=0,#N/A,VLOOKUP(A216,Database!$A:$AU,MATCH($N$1,Database!$A$1:$AU$1,0),FALSE))</f>
        <v/>
      </c>
      <c r="O216" s="77">
        <f>(((Table134567891011121314151617343[[#This Row],[USA]]-VLOOKUP($U$1,A:N,14,))/VLOOKUP($U$1,A:N,14,))*100)+100</f>
        <v/>
      </c>
      <c r="P216" s="77">
        <f>IF(VLOOKUP(A216,Database!$A:$AS,MATCH($P$1,Database!$A$1:$AS$1,0),FALSE)=0,#N/A,VLOOKUP(A216,Database!$A:$AS,MATCH($P$1,Database!$A$1:$AS$1,0),FALSE))</f>
        <v/>
      </c>
      <c r="Q216" s="77">
        <f>(((Table134567891011121314151617343[[#This Row],[JPN]]-VLOOKUP($U$1,A:Q,16,))/VLOOKUP($U$1,A:Q,16,))*100)+100</f>
        <v/>
      </c>
    </row>
    <row r="217" customFormat="1" s="87">
      <c r="A217" s="21" t="n">
        <v>39417</v>
      </c>
      <c r="B217" s="77">
        <f>IF(VLOOKUP(A217,Database!$A:$AS,MATCH($B$1,Database!$A$1:$AS$1,0),FALSE)=0,#N/A,VLOOKUP(A217,Database!$A:$AS,MATCH($B$1,Database!$A$1:$AS$1,0),FALSE))</f>
        <v/>
      </c>
      <c r="C217" s="77">
        <f>IF(VLOOKUP(A217,Database!$A:$AS,MATCH($C$1,Database!$A$1:$AS$1,0),FALSE)=0,#N/A,VLOOKUP(A217,Database!$A:$AS,MATCH($C$1,Database!$A$1:$AS$1,0),FALSE))</f>
        <v/>
      </c>
      <c r="D217" s="77">
        <f>IF(VLOOKUP(A217,Database!$A:$AS,MATCH($D$1,Database!$A$1:$AS$1,0),FALSE)=0,#N/A,VLOOKUP(A217,Database!$A:$AS,MATCH($D$1,Database!$A$1:$AS$1,0),FALSE))</f>
        <v/>
      </c>
      <c r="E217" s="77">
        <f>IF(VLOOKUP(A217,Database!$A:$AS,MATCH($E$1,Database!$A$1:$AS$1,0),FALSE)=0,#N/A,VLOOKUP(A217,Database!$A:$AS,MATCH($E$1,Database!$A$1:$AS$1,0),FALSE))</f>
        <v/>
      </c>
      <c r="F217" s="77">
        <f>IF(VLOOKUP(A217,Database!$A:$AS,MATCH($F$1,Database!$A$1:$AS$1,0),FALSE)=0,#N/A,VLOOKUP(A217,Database!$A:$AS,MATCH($F$1,Database!$A$1:$AS$1,0),FALSE))</f>
        <v/>
      </c>
      <c r="G217" s="77">
        <f>IF(VLOOKUP(A217,Database!$A:$AS,MATCH($G$1,Database!$A$1:$AS$1,0),FALSE)=0,#N/A,VLOOKUP(A217,Database!$A:$AS,MATCH($G$1,Database!$A$1:$AS$1,0),FALSE))</f>
        <v/>
      </c>
      <c r="H217" s="77">
        <f>(((Table134567891011121314151617343[[#This Row],[ITA]]-VLOOKUP($U$1,A:B,2,))/VLOOKUP($U$1,A:B,2,))*100)+100</f>
        <v/>
      </c>
      <c r="I217" s="77">
        <f>(((Table134567891011121314151617343[[#This Row],[FRA]]-VLOOKUP($U$1,A:C,3,))/VLOOKUP($U$1,A:C,3,))*100)+100</f>
        <v/>
      </c>
      <c r="J217" s="77">
        <f>(((Table134567891011121314151617343[[#This Row],[DEU]]-VLOOKUP($U$1,A:D,4,))/VLOOKUP($U$1,A:D,4,))*100)+100</f>
        <v/>
      </c>
      <c r="K217" s="77">
        <f>(((Table134567891011121314151617343[[#This Row],[ESP]]-VLOOKUP($U$1,A:E,5,))/VLOOKUP($U$1,A:E,5,))*100)+100</f>
        <v/>
      </c>
      <c r="L217" s="77">
        <f>(((Table134567891011121314151617343[[#This Row],[EA19]]-VLOOKUP($U$1,A:F,6,))/VLOOKUP($U$1,A:F,6,))*100)+100</f>
        <v/>
      </c>
      <c r="M217" s="77">
        <f>(((Table134567891011121314151617343[[#This Row],[GBR]]-VLOOKUP($U$1,A:G,7,))/VLOOKUP($U$1,A:G,7,))*100)+100</f>
        <v/>
      </c>
      <c r="N217" s="77">
        <f>IF(VLOOKUP(A217,Database!$A:$AU,MATCH($N$1,Database!$A$1:$AU$1,0),FALSE)=0,#N/A,VLOOKUP(A217,Database!$A:$AU,MATCH($N$1,Database!$A$1:$AU$1,0),FALSE))</f>
        <v/>
      </c>
      <c r="O217" s="77">
        <f>(((Table134567891011121314151617343[[#This Row],[USA]]-VLOOKUP($U$1,A:N,14,))/VLOOKUP($U$1,A:N,14,))*100)+100</f>
        <v/>
      </c>
      <c r="P217" s="77">
        <f>IF(VLOOKUP(A217,Database!$A:$AS,MATCH($P$1,Database!$A$1:$AS$1,0),FALSE)=0,#N/A,VLOOKUP(A217,Database!$A:$AS,MATCH($P$1,Database!$A$1:$AS$1,0),FALSE))</f>
        <v/>
      </c>
      <c r="Q217" s="77">
        <f>(((Table134567891011121314151617343[[#This Row],[JPN]]-VLOOKUP($U$1,A:Q,16,))/VLOOKUP($U$1,A:Q,16,))*100)+100</f>
        <v/>
      </c>
    </row>
    <row r="218" customFormat="1" s="87">
      <c r="A218" s="21" t="n">
        <v>39448</v>
      </c>
      <c r="B218" s="77">
        <f>IF(VLOOKUP(A218,Database!$A:$AS,MATCH($B$1,Database!$A$1:$AS$1,0),FALSE)=0,#N/A,VLOOKUP(A218,Database!$A:$AS,MATCH($B$1,Database!$A$1:$AS$1,0),FALSE))</f>
        <v/>
      </c>
      <c r="C218" s="77">
        <f>IF(VLOOKUP(A218,Database!$A:$AS,MATCH($C$1,Database!$A$1:$AS$1,0),FALSE)=0,#N/A,VLOOKUP(A218,Database!$A:$AS,MATCH($C$1,Database!$A$1:$AS$1,0),FALSE))</f>
        <v/>
      </c>
      <c r="D218" s="77">
        <f>IF(VLOOKUP(A218,Database!$A:$AS,MATCH($D$1,Database!$A$1:$AS$1,0),FALSE)=0,#N/A,VLOOKUP(A218,Database!$A:$AS,MATCH($D$1,Database!$A$1:$AS$1,0),FALSE))</f>
        <v/>
      </c>
      <c r="E218" s="77">
        <f>IF(VLOOKUP(A218,Database!$A:$AS,MATCH($E$1,Database!$A$1:$AS$1,0),FALSE)=0,#N/A,VLOOKUP(A218,Database!$A:$AS,MATCH($E$1,Database!$A$1:$AS$1,0),FALSE))</f>
        <v/>
      </c>
      <c r="F218" s="77">
        <f>IF(VLOOKUP(A218,Database!$A:$AS,MATCH($F$1,Database!$A$1:$AS$1,0),FALSE)=0,#N/A,VLOOKUP(A218,Database!$A:$AS,MATCH($F$1,Database!$A$1:$AS$1,0),FALSE))</f>
        <v/>
      </c>
      <c r="G218" s="77">
        <f>IF(VLOOKUP(A218,Database!$A:$AS,MATCH($G$1,Database!$A$1:$AS$1,0),FALSE)=0,#N/A,VLOOKUP(A218,Database!$A:$AS,MATCH($G$1,Database!$A$1:$AS$1,0),FALSE))</f>
        <v/>
      </c>
      <c r="H218" s="77">
        <f>(((Table134567891011121314151617343[[#This Row],[ITA]]-VLOOKUP($U$1,A:B,2,))/VLOOKUP($U$1,A:B,2,))*100)+100</f>
        <v/>
      </c>
      <c r="I218" s="77">
        <f>(((Table134567891011121314151617343[[#This Row],[FRA]]-VLOOKUP($U$1,A:C,3,))/VLOOKUP($U$1,A:C,3,))*100)+100</f>
        <v/>
      </c>
      <c r="J218" s="77">
        <f>(((Table134567891011121314151617343[[#This Row],[DEU]]-VLOOKUP($U$1,A:D,4,))/VLOOKUP($U$1,A:D,4,))*100)+100</f>
        <v/>
      </c>
      <c r="K218" s="77">
        <f>(((Table134567891011121314151617343[[#This Row],[ESP]]-VLOOKUP($U$1,A:E,5,))/VLOOKUP($U$1,A:E,5,))*100)+100</f>
        <v/>
      </c>
      <c r="L218" s="77">
        <f>(((Table134567891011121314151617343[[#This Row],[EA19]]-VLOOKUP($U$1,A:F,6,))/VLOOKUP($U$1,A:F,6,))*100)+100</f>
        <v/>
      </c>
      <c r="M218" s="77">
        <f>(((Table134567891011121314151617343[[#This Row],[GBR]]-VLOOKUP($U$1,A:G,7,))/VLOOKUP($U$1,A:G,7,))*100)+100</f>
        <v/>
      </c>
      <c r="N218" s="77">
        <f>IF(VLOOKUP(A218,Database!$A:$AU,MATCH($N$1,Database!$A$1:$AU$1,0),FALSE)=0,#N/A,VLOOKUP(A218,Database!$A:$AU,MATCH($N$1,Database!$A$1:$AU$1,0),FALSE))</f>
        <v/>
      </c>
      <c r="O218" s="77">
        <f>(((Table134567891011121314151617343[[#This Row],[USA]]-VLOOKUP($U$1,A:N,14,))/VLOOKUP($U$1,A:N,14,))*100)+100</f>
        <v/>
      </c>
      <c r="P218" s="77">
        <f>IF(VLOOKUP(A218,Database!$A:$AS,MATCH($P$1,Database!$A$1:$AS$1,0),FALSE)=0,#N/A,VLOOKUP(A218,Database!$A:$AS,MATCH($P$1,Database!$A$1:$AS$1,0),FALSE))</f>
        <v/>
      </c>
      <c r="Q218" s="77">
        <f>(((Table134567891011121314151617343[[#This Row],[JPN]]-VLOOKUP($U$1,A:Q,16,))/VLOOKUP($U$1,A:Q,16,))*100)+100</f>
        <v/>
      </c>
    </row>
    <row r="219" customFormat="1" s="87">
      <c r="A219" s="21" t="n">
        <v>39479</v>
      </c>
      <c r="B219" s="77">
        <f>IF(VLOOKUP(A219,Database!$A:$AS,MATCH($B$1,Database!$A$1:$AS$1,0),FALSE)=0,#N/A,VLOOKUP(A219,Database!$A:$AS,MATCH($B$1,Database!$A$1:$AS$1,0),FALSE))</f>
        <v/>
      </c>
      <c r="C219" s="77">
        <f>IF(VLOOKUP(A219,Database!$A:$AS,MATCH($C$1,Database!$A$1:$AS$1,0),FALSE)=0,#N/A,VLOOKUP(A219,Database!$A:$AS,MATCH($C$1,Database!$A$1:$AS$1,0),FALSE))</f>
        <v/>
      </c>
      <c r="D219" s="77">
        <f>IF(VLOOKUP(A219,Database!$A:$AS,MATCH($D$1,Database!$A$1:$AS$1,0),FALSE)=0,#N/A,VLOOKUP(A219,Database!$A:$AS,MATCH($D$1,Database!$A$1:$AS$1,0),FALSE))</f>
        <v/>
      </c>
      <c r="E219" s="77">
        <f>IF(VLOOKUP(A219,Database!$A:$AS,MATCH($E$1,Database!$A$1:$AS$1,0),FALSE)=0,#N/A,VLOOKUP(A219,Database!$A:$AS,MATCH($E$1,Database!$A$1:$AS$1,0),FALSE))</f>
        <v/>
      </c>
      <c r="F219" s="77">
        <f>IF(VLOOKUP(A219,Database!$A:$AS,MATCH($F$1,Database!$A$1:$AS$1,0),FALSE)=0,#N/A,VLOOKUP(A219,Database!$A:$AS,MATCH($F$1,Database!$A$1:$AS$1,0),FALSE))</f>
        <v/>
      </c>
      <c r="G219" s="77">
        <f>IF(VLOOKUP(A219,Database!$A:$AS,MATCH($G$1,Database!$A$1:$AS$1,0),FALSE)=0,#N/A,VLOOKUP(A219,Database!$A:$AS,MATCH($G$1,Database!$A$1:$AS$1,0),FALSE))</f>
        <v/>
      </c>
      <c r="H219" s="77">
        <f>(((Table134567891011121314151617343[[#This Row],[ITA]]-VLOOKUP($U$1,A:B,2,))/VLOOKUP($U$1,A:B,2,))*100)+100</f>
        <v/>
      </c>
      <c r="I219" s="77">
        <f>(((Table134567891011121314151617343[[#This Row],[FRA]]-VLOOKUP($U$1,A:C,3,))/VLOOKUP($U$1,A:C,3,))*100)+100</f>
        <v/>
      </c>
      <c r="J219" s="77">
        <f>(((Table134567891011121314151617343[[#This Row],[DEU]]-VLOOKUP($U$1,A:D,4,))/VLOOKUP($U$1,A:D,4,))*100)+100</f>
        <v/>
      </c>
      <c r="K219" s="77">
        <f>(((Table134567891011121314151617343[[#This Row],[ESP]]-VLOOKUP($U$1,A:E,5,))/VLOOKUP($U$1,A:E,5,))*100)+100</f>
        <v/>
      </c>
      <c r="L219" s="77">
        <f>(((Table134567891011121314151617343[[#This Row],[EA19]]-VLOOKUP($U$1,A:F,6,))/VLOOKUP($U$1,A:F,6,))*100)+100</f>
        <v/>
      </c>
      <c r="M219" s="77">
        <f>(((Table134567891011121314151617343[[#This Row],[GBR]]-VLOOKUP($U$1,A:G,7,))/VLOOKUP($U$1,A:G,7,))*100)+100</f>
        <v/>
      </c>
      <c r="N219" s="77">
        <f>IF(VLOOKUP(A219,Database!$A:$AU,MATCH($N$1,Database!$A$1:$AU$1,0),FALSE)=0,#N/A,VLOOKUP(A219,Database!$A:$AU,MATCH($N$1,Database!$A$1:$AU$1,0),FALSE))</f>
        <v/>
      </c>
      <c r="O219" s="77">
        <f>(((Table134567891011121314151617343[[#This Row],[USA]]-VLOOKUP($U$1,A:N,14,))/VLOOKUP($U$1,A:N,14,))*100)+100</f>
        <v/>
      </c>
      <c r="P219" s="77">
        <f>IF(VLOOKUP(A219,Database!$A:$AS,MATCH($P$1,Database!$A$1:$AS$1,0),FALSE)=0,#N/A,VLOOKUP(A219,Database!$A:$AS,MATCH($P$1,Database!$A$1:$AS$1,0),FALSE))</f>
        <v/>
      </c>
      <c r="Q219" s="77">
        <f>(((Table134567891011121314151617343[[#This Row],[JPN]]-VLOOKUP($U$1,A:Q,16,))/VLOOKUP($U$1,A:Q,16,))*100)+100</f>
        <v/>
      </c>
    </row>
    <row r="220" customFormat="1" s="87">
      <c r="A220" s="21" t="n">
        <v>39508</v>
      </c>
      <c r="B220" s="77">
        <f>IF(VLOOKUP(A220,Database!$A:$AS,MATCH($B$1,Database!$A$1:$AS$1,0),FALSE)=0,#N/A,VLOOKUP(A220,Database!$A:$AS,MATCH($B$1,Database!$A$1:$AS$1,0),FALSE))</f>
        <v/>
      </c>
      <c r="C220" s="77">
        <f>IF(VLOOKUP(A220,Database!$A:$AS,MATCH($C$1,Database!$A$1:$AS$1,0),FALSE)=0,#N/A,VLOOKUP(A220,Database!$A:$AS,MATCH($C$1,Database!$A$1:$AS$1,0),FALSE))</f>
        <v/>
      </c>
      <c r="D220" s="77">
        <f>IF(VLOOKUP(A220,Database!$A:$AS,MATCH($D$1,Database!$A$1:$AS$1,0),FALSE)=0,#N/A,VLOOKUP(A220,Database!$A:$AS,MATCH($D$1,Database!$A$1:$AS$1,0),FALSE))</f>
        <v/>
      </c>
      <c r="E220" s="77">
        <f>IF(VLOOKUP(A220,Database!$A:$AS,MATCH($E$1,Database!$A$1:$AS$1,0),FALSE)=0,#N/A,VLOOKUP(A220,Database!$A:$AS,MATCH($E$1,Database!$A$1:$AS$1,0),FALSE))</f>
        <v/>
      </c>
      <c r="F220" s="77">
        <f>IF(VLOOKUP(A220,Database!$A:$AS,MATCH($F$1,Database!$A$1:$AS$1,0),FALSE)=0,#N/A,VLOOKUP(A220,Database!$A:$AS,MATCH($F$1,Database!$A$1:$AS$1,0),FALSE))</f>
        <v/>
      </c>
      <c r="G220" s="77">
        <f>IF(VLOOKUP(A220,Database!$A:$AS,MATCH($G$1,Database!$A$1:$AS$1,0),FALSE)=0,#N/A,VLOOKUP(A220,Database!$A:$AS,MATCH($G$1,Database!$A$1:$AS$1,0),FALSE))</f>
        <v/>
      </c>
      <c r="H220" s="77">
        <f>(((Table134567891011121314151617343[[#This Row],[ITA]]-VLOOKUP($U$1,A:B,2,))/VLOOKUP($U$1,A:B,2,))*100)+100</f>
        <v/>
      </c>
      <c r="I220" s="77">
        <f>(((Table134567891011121314151617343[[#This Row],[FRA]]-VLOOKUP($U$1,A:C,3,))/VLOOKUP($U$1,A:C,3,))*100)+100</f>
        <v/>
      </c>
      <c r="J220" s="77">
        <f>(((Table134567891011121314151617343[[#This Row],[DEU]]-VLOOKUP($U$1,A:D,4,))/VLOOKUP($U$1,A:D,4,))*100)+100</f>
        <v/>
      </c>
      <c r="K220" s="77">
        <f>(((Table134567891011121314151617343[[#This Row],[ESP]]-VLOOKUP($U$1,A:E,5,))/VLOOKUP($U$1,A:E,5,))*100)+100</f>
        <v/>
      </c>
      <c r="L220" s="77">
        <f>(((Table134567891011121314151617343[[#This Row],[EA19]]-VLOOKUP($U$1,A:F,6,))/VLOOKUP($U$1,A:F,6,))*100)+100</f>
        <v/>
      </c>
      <c r="M220" s="77">
        <f>(((Table134567891011121314151617343[[#This Row],[GBR]]-VLOOKUP($U$1,A:G,7,))/VLOOKUP($U$1,A:G,7,))*100)+100</f>
        <v/>
      </c>
      <c r="N220" s="77">
        <f>IF(VLOOKUP(A220,Database!$A:$AU,MATCH($N$1,Database!$A$1:$AU$1,0),FALSE)=0,#N/A,VLOOKUP(A220,Database!$A:$AU,MATCH($N$1,Database!$A$1:$AU$1,0),FALSE))</f>
        <v/>
      </c>
      <c r="O220" s="77">
        <f>(((Table134567891011121314151617343[[#This Row],[USA]]-VLOOKUP($U$1,A:N,14,))/VLOOKUP($U$1,A:N,14,))*100)+100</f>
        <v/>
      </c>
      <c r="P220" s="77">
        <f>IF(VLOOKUP(A220,Database!$A:$AS,MATCH($P$1,Database!$A$1:$AS$1,0),FALSE)=0,#N/A,VLOOKUP(A220,Database!$A:$AS,MATCH($P$1,Database!$A$1:$AS$1,0),FALSE))</f>
        <v/>
      </c>
      <c r="Q220" s="77">
        <f>(((Table134567891011121314151617343[[#This Row],[JPN]]-VLOOKUP($U$1,A:Q,16,))/VLOOKUP($U$1,A:Q,16,))*100)+100</f>
        <v/>
      </c>
    </row>
    <row r="221" customFormat="1" s="87">
      <c r="A221" s="21" t="n">
        <v>39539</v>
      </c>
      <c r="B221" s="77">
        <f>IF(VLOOKUP(A221,Database!$A:$AS,MATCH($B$1,Database!$A$1:$AS$1,0),FALSE)=0,#N/A,VLOOKUP(A221,Database!$A:$AS,MATCH($B$1,Database!$A$1:$AS$1,0),FALSE))</f>
        <v/>
      </c>
      <c r="C221" s="77">
        <f>IF(VLOOKUP(A221,Database!$A:$AS,MATCH($C$1,Database!$A$1:$AS$1,0),FALSE)=0,#N/A,VLOOKUP(A221,Database!$A:$AS,MATCH($C$1,Database!$A$1:$AS$1,0),FALSE))</f>
        <v/>
      </c>
      <c r="D221" s="77">
        <f>IF(VLOOKUP(A221,Database!$A:$AS,MATCH($D$1,Database!$A$1:$AS$1,0),FALSE)=0,#N/A,VLOOKUP(A221,Database!$A:$AS,MATCH($D$1,Database!$A$1:$AS$1,0),FALSE))</f>
        <v/>
      </c>
      <c r="E221" s="77">
        <f>IF(VLOOKUP(A221,Database!$A:$AS,MATCH($E$1,Database!$A$1:$AS$1,0),FALSE)=0,#N/A,VLOOKUP(A221,Database!$A:$AS,MATCH($E$1,Database!$A$1:$AS$1,0),FALSE))</f>
        <v/>
      </c>
      <c r="F221" s="77">
        <f>IF(VLOOKUP(A221,Database!$A:$AS,MATCH($F$1,Database!$A$1:$AS$1,0),FALSE)=0,#N/A,VLOOKUP(A221,Database!$A:$AS,MATCH($F$1,Database!$A$1:$AS$1,0),FALSE))</f>
        <v/>
      </c>
      <c r="G221" s="77">
        <f>IF(VLOOKUP(A221,Database!$A:$AS,MATCH($G$1,Database!$A$1:$AS$1,0),FALSE)=0,#N/A,VLOOKUP(A221,Database!$A:$AS,MATCH($G$1,Database!$A$1:$AS$1,0),FALSE))</f>
        <v/>
      </c>
      <c r="H221" s="77">
        <f>(((Table134567891011121314151617343[[#This Row],[ITA]]-VLOOKUP($U$1,A:B,2,))/VLOOKUP($U$1,A:B,2,))*100)+100</f>
        <v/>
      </c>
      <c r="I221" s="77">
        <f>(((Table134567891011121314151617343[[#This Row],[FRA]]-VLOOKUP($U$1,A:C,3,))/VLOOKUP($U$1,A:C,3,))*100)+100</f>
        <v/>
      </c>
      <c r="J221" s="77">
        <f>(((Table134567891011121314151617343[[#This Row],[DEU]]-VLOOKUP($U$1,A:D,4,))/VLOOKUP($U$1,A:D,4,))*100)+100</f>
        <v/>
      </c>
      <c r="K221" s="77">
        <f>(((Table134567891011121314151617343[[#This Row],[ESP]]-VLOOKUP($U$1,A:E,5,))/VLOOKUP($U$1,A:E,5,))*100)+100</f>
        <v/>
      </c>
      <c r="L221" s="77">
        <f>(((Table134567891011121314151617343[[#This Row],[EA19]]-VLOOKUP($U$1,A:F,6,))/VLOOKUP($U$1,A:F,6,))*100)+100</f>
        <v/>
      </c>
      <c r="M221" s="77">
        <f>(((Table134567891011121314151617343[[#This Row],[GBR]]-VLOOKUP($U$1,A:G,7,))/VLOOKUP($U$1,A:G,7,))*100)+100</f>
        <v/>
      </c>
      <c r="N221" s="77">
        <f>IF(VLOOKUP(A221,Database!$A:$AU,MATCH($N$1,Database!$A$1:$AU$1,0),FALSE)=0,#N/A,VLOOKUP(A221,Database!$A:$AU,MATCH($N$1,Database!$A$1:$AU$1,0),FALSE))</f>
        <v/>
      </c>
      <c r="O221" s="77">
        <f>(((Table134567891011121314151617343[[#This Row],[USA]]-VLOOKUP($U$1,A:N,14,))/VLOOKUP($U$1,A:N,14,))*100)+100</f>
        <v/>
      </c>
      <c r="P221" s="77">
        <f>IF(VLOOKUP(A221,Database!$A:$AS,MATCH($P$1,Database!$A$1:$AS$1,0),FALSE)=0,#N/A,VLOOKUP(A221,Database!$A:$AS,MATCH($P$1,Database!$A$1:$AS$1,0),FALSE))</f>
        <v/>
      </c>
      <c r="Q221" s="77">
        <f>(((Table134567891011121314151617343[[#This Row],[JPN]]-VLOOKUP($U$1,A:Q,16,))/VLOOKUP($U$1,A:Q,16,))*100)+100</f>
        <v/>
      </c>
    </row>
    <row r="222" customFormat="1" s="87">
      <c r="A222" s="21" t="n">
        <v>39569</v>
      </c>
      <c r="B222" s="77">
        <f>IF(VLOOKUP(A222,Database!$A:$AS,MATCH($B$1,Database!$A$1:$AS$1,0),FALSE)=0,#N/A,VLOOKUP(A222,Database!$A:$AS,MATCH($B$1,Database!$A$1:$AS$1,0),FALSE))</f>
        <v/>
      </c>
      <c r="C222" s="77">
        <f>IF(VLOOKUP(A222,Database!$A:$AS,MATCH($C$1,Database!$A$1:$AS$1,0),FALSE)=0,#N/A,VLOOKUP(A222,Database!$A:$AS,MATCH($C$1,Database!$A$1:$AS$1,0),FALSE))</f>
        <v/>
      </c>
      <c r="D222" s="77">
        <f>IF(VLOOKUP(A222,Database!$A:$AS,MATCH($D$1,Database!$A$1:$AS$1,0),FALSE)=0,#N/A,VLOOKUP(A222,Database!$A:$AS,MATCH($D$1,Database!$A$1:$AS$1,0),FALSE))</f>
        <v/>
      </c>
      <c r="E222" s="77">
        <f>IF(VLOOKUP(A222,Database!$A:$AS,MATCH($E$1,Database!$A$1:$AS$1,0),FALSE)=0,#N/A,VLOOKUP(A222,Database!$A:$AS,MATCH($E$1,Database!$A$1:$AS$1,0),FALSE))</f>
        <v/>
      </c>
      <c r="F222" s="77">
        <f>IF(VLOOKUP(A222,Database!$A:$AS,MATCH($F$1,Database!$A$1:$AS$1,0),FALSE)=0,#N/A,VLOOKUP(A222,Database!$A:$AS,MATCH($F$1,Database!$A$1:$AS$1,0),FALSE))</f>
        <v/>
      </c>
      <c r="G222" s="77">
        <f>IF(VLOOKUP(A222,Database!$A:$AS,MATCH($G$1,Database!$A$1:$AS$1,0),FALSE)=0,#N/A,VLOOKUP(A222,Database!$A:$AS,MATCH($G$1,Database!$A$1:$AS$1,0),FALSE))</f>
        <v/>
      </c>
      <c r="H222" s="77">
        <f>(((Table134567891011121314151617343[[#This Row],[ITA]]-VLOOKUP($U$1,A:B,2,))/VLOOKUP($U$1,A:B,2,))*100)+100</f>
        <v/>
      </c>
      <c r="I222" s="77">
        <f>(((Table134567891011121314151617343[[#This Row],[FRA]]-VLOOKUP($U$1,A:C,3,))/VLOOKUP($U$1,A:C,3,))*100)+100</f>
        <v/>
      </c>
      <c r="J222" s="77">
        <f>(((Table134567891011121314151617343[[#This Row],[DEU]]-VLOOKUP($U$1,A:D,4,))/VLOOKUP($U$1,A:D,4,))*100)+100</f>
        <v/>
      </c>
      <c r="K222" s="77">
        <f>(((Table134567891011121314151617343[[#This Row],[ESP]]-VLOOKUP($U$1,A:E,5,))/VLOOKUP($U$1,A:E,5,))*100)+100</f>
        <v/>
      </c>
      <c r="L222" s="77">
        <f>(((Table134567891011121314151617343[[#This Row],[EA19]]-VLOOKUP($U$1,A:F,6,))/VLOOKUP($U$1,A:F,6,))*100)+100</f>
        <v/>
      </c>
      <c r="M222" s="77">
        <f>(((Table134567891011121314151617343[[#This Row],[GBR]]-VLOOKUP($U$1,A:G,7,))/VLOOKUP($U$1,A:G,7,))*100)+100</f>
        <v/>
      </c>
      <c r="N222" s="77">
        <f>IF(VLOOKUP(A222,Database!$A:$AU,MATCH($N$1,Database!$A$1:$AU$1,0),FALSE)=0,#N/A,VLOOKUP(A222,Database!$A:$AU,MATCH($N$1,Database!$A$1:$AU$1,0),FALSE))</f>
        <v/>
      </c>
      <c r="O222" s="77">
        <f>(((Table134567891011121314151617343[[#This Row],[USA]]-VLOOKUP($U$1,A:N,14,))/VLOOKUP($U$1,A:N,14,))*100)+100</f>
        <v/>
      </c>
      <c r="P222" s="77">
        <f>IF(VLOOKUP(A222,Database!$A:$AS,MATCH($P$1,Database!$A$1:$AS$1,0),FALSE)=0,#N/A,VLOOKUP(A222,Database!$A:$AS,MATCH($P$1,Database!$A$1:$AS$1,0),FALSE))</f>
        <v/>
      </c>
      <c r="Q222" s="77">
        <f>(((Table134567891011121314151617343[[#This Row],[JPN]]-VLOOKUP($U$1,A:Q,16,))/VLOOKUP($U$1,A:Q,16,))*100)+100</f>
        <v/>
      </c>
    </row>
    <row r="223" customFormat="1" s="87">
      <c r="A223" s="21" t="n">
        <v>39600</v>
      </c>
      <c r="B223" s="77">
        <f>IF(VLOOKUP(A223,Database!$A:$AS,MATCH($B$1,Database!$A$1:$AS$1,0),FALSE)=0,#N/A,VLOOKUP(A223,Database!$A:$AS,MATCH($B$1,Database!$A$1:$AS$1,0),FALSE))</f>
        <v/>
      </c>
      <c r="C223" s="77">
        <f>IF(VLOOKUP(A223,Database!$A:$AS,MATCH($C$1,Database!$A$1:$AS$1,0),FALSE)=0,#N/A,VLOOKUP(A223,Database!$A:$AS,MATCH($C$1,Database!$A$1:$AS$1,0),FALSE))</f>
        <v/>
      </c>
      <c r="D223" s="77">
        <f>IF(VLOOKUP(A223,Database!$A:$AS,MATCH($D$1,Database!$A$1:$AS$1,0),FALSE)=0,#N/A,VLOOKUP(A223,Database!$A:$AS,MATCH($D$1,Database!$A$1:$AS$1,0),FALSE))</f>
        <v/>
      </c>
      <c r="E223" s="77">
        <f>IF(VLOOKUP(A223,Database!$A:$AS,MATCH($E$1,Database!$A$1:$AS$1,0),FALSE)=0,#N/A,VLOOKUP(A223,Database!$A:$AS,MATCH($E$1,Database!$A$1:$AS$1,0),FALSE))</f>
        <v/>
      </c>
      <c r="F223" s="77">
        <f>IF(VLOOKUP(A223,Database!$A:$AS,MATCH($F$1,Database!$A$1:$AS$1,0),FALSE)=0,#N/A,VLOOKUP(A223,Database!$A:$AS,MATCH($F$1,Database!$A$1:$AS$1,0),FALSE))</f>
        <v/>
      </c>
      <c r="G223" s="77">
        <f>IF(VLOOKUP(A223,Database!$A:$AS,MATCH($G$1,Database!$A$1:$AS$1,0),FALSE)=0,#N/A,VLOOKUP(A223,Database!$A:$AS,MATCH($G$1,Database!$A$1:$AS$1,0),FALSE))</f>
        <v/>
      </c>
      <c r="H223" s="77">
        <f>(((Table134567891011121314151617343[[#This Row],[ITA]]-VLOOKUP($U$1,A:B,2,))/VLOOKUP($U$1,A:B,2,))*100)+100</f>
        <v/>
      </c>
      <c r="I223" s="77">
        <f>(((Table134567891011121314151617343[[#This Row],[FRA]]-VLOOKUP($U$1,A:C,3,))/VLOOKUP($U$1,A:C,3,))*100)+100</f>
        <v/>
      </c>
      <c r="J223" s="77">
        <f>(((Table134567891011121314151617343[[#This Row],[DEU]]-VLOOKUP($U$1,A:D,4,))/VLOOKUP($U$1,A:D,4,))*100)+100</f>
        <v/>
      </c>
      <c r="K223" s="77">
        <f>(((Table134567891011121314151617343[[#This Row],[ESP]]-VLOOKUP($U$1,A:E,5,))/VLOOKUP($U$1,A:E,5,))*100)+100</f>
        <v/>
      </c>
      <c r="L223" s="77">
        <f>(((Table134567891011121314151617343[[#This Row],[EA19]]-VLOOKUP($U$1,A:F,6,))/VLOOKUP($U$1,A:F,6,))*100)+100</f>
        <v/>
      </c>
      <c r="M223" s="77">
        <f>(((Table134567891011121314151617343[[#This Row],[GBR]]-VLOOKUP($U$1,A:G,7,))/VLOOKUP($U$1,A:G,7,))*100)+100</f>
        <v/>
      </c>
      <c r="N223" s="77">
        <f>IF(VLOOKUP(A223,Database!$A:$AU,MATCH($N$1,Database!$A$1:$AU$1,0),FALSE)=0,#N/A,VLOOKUP(A223,Database!$A:$AU,MATCH($N$1,Database!$A$1:$AU$1,0),FALSE))</f>
        <v/>
      </c>
      <c r="O223" s="77">
        <f>(((Table134567891011121314151617343[[#This Row],[USA]]-VLOOKUP($U$1,A:N,14,))/VLOOKUP($U$1,A:N,14,))*100)+100</f>
        <v/>
      </c>
      <c r="P223" s="77">
        <f>IF(VLOOKUP(A223,Database!$A:$AS,MATCH($P$1,Database!$A$1:$AS$1,0),FALSE)=0,#N/A,VLOOKUP(A223,Database!$A:$AS,MATCH($P$1,Database!$A$1:$AS$1,0),FALSE))</f>
        <v/>
      </c>
      <c r="Q223" s="77">
        <f>(((Table134567891011121314151617343[[#This Row],[JPN]]-VLOOKUP($U$1,A:Q,16,))/VLOOKUP($U$1,A:Q,16,))*100)+100</f>
        <v/>
      </c>
    </row>
    <row r="224" customFormat="1" s="87">
      <c r="A224" s="21" t="n">
        <v>39630</v>
      </c>
      <c r="B224" s="77">
        <f>IF(VLOOKUP(A224,Database!$A:$AS,MATCH($B$1,Database!$A$1:$AS$1,0),FALSE)=0,#N/A,VLOOKUP(A224,Database!$A:$AS,MATCH($B$1,Database!$A$1:$AS$1,0),FALSE))</f>
        <v/>
      </c>
      <c r="C224" s="77">
        <f>IF(VLOOKUP(A224,Database!$A:$AS,MATCH($C$1,Database!$A$1:$AS$1,0),FALSE)=0,#N/A,VLOOKUP(A224,Database!$A:$AS,MATCH($C$1,Database!$A$1:$AS$1,0),FALSE))</f>
        <v/>
      </c>
      <c r="D224" s="77">
        <f>IF(VLOOKUP(A224,Database!$A:$AS,MATCH($D$1,Database!$A$1:$AS$1,0),FALSE)=0,#N/A,VLOOKUP(A224,Database!$A:$AS,MATCH($D$1,Database!$A$1:$AS$1,0),FALSE))</f>
        <v/>
      </c>
      <c r="E224" s="77">
        <f>IF(VLOOKUP(A224,Database!$A:$AS,MATCH($E$1,Database!$A$1:$AS$1,0),FALSE)=0,#N/A,VLOOKUP(A224,Database!$A:$AS,MATCH($E$1,Database!$A$1:$AS$1,0),FALSE))</f>
        <v/>
      </c>
      <c r="F224" s="77">
        <f>IF(VLOOKUP(A224,Database!$A:$AS,MATCH($F$1,Database!$A$1:$AS$1,0),FALSE)=0,#N/A,VLOOKUP(A224,Database!$A:$AS,MATCH($F$1,Database!$A$1:$AS$1,0),FALSE))</f>
        <v/>
      </c>
      <c r="G224" s="77">
        <f>IF(VLOOKUP(A224,Database!$A:$AS,MATCH($G$1,Database!$A$1:$AS$1,0),FALSE)=0,#N/A,VLOOKUP(A224,Database!$A:$AS,MATCH($G$1,Database!$A$1:$AS$1,0),FALSE))</f>
        <v/>
      </c>
      <c r="H224" s="77">
        <f>(((Table134567891011121314151617343[[#This Row],[ITA]]-VLOOKUP($U$1,A:B,2,))/VLOOKUP($U$1,A:B,2,))*100)+100</f>
        <v/>
      </c>
      <c r="I224" s="77">
        <f>(((Table134567891011121314151617343[[#This Row],[FRA]]-VLOOKUP($U$1,A:C,3,))/VLOOKUP($U$1,A:C,3,))*100)+100</f>
        <v/>
      </c>
      <c r="J224" s="77">
        <f>(((Table134567891011121314151617343[[#This Row],[DEU]]-VLOOKUP($U$1,A:D,4,))/VLOOKUP($U$1,A:D,4,))*100)+100</f>
        <v/>
      </c>
      <c r="K224" s="77">
        <f>(((Table134567891011121314151617343[[#This Row],[ESP]]-VLOOKUP($U$1,A:E,5,))/VLOOKUP($U$1,A:E,5,))*100)+100</f>
        <v/>
      </c>
      <c r="L224" s="77">
        <f>(((Table134567891011121314151617343[[#This Row],[EA19]]-VLOOKUP($U$1,A:F,6,))/VLOOKUP($U$1,A:F,6,))*100)+100</f>
        <v/>
      </c>
      <c r="M224" s="77">
        <f>(((Table134567891011121314151617343[[#This Row],[GBR]]-VLOOKUP($U$1,A:G,7,))/VLOOKUP($U$1,A:G,7,))*100)+100</f>
        <v/>
      </c>
      <c r="N224" s="77">
        <f>IF(VLOOKUP(A224,Database!$A:$AU,MATCH($N$1,Database!$A$1:$AU$1,0),FALSE)=0,#N/A,VLOOKUP(A224,Database!$A:$AU,MATCH($N$1,Database!$A$1:$AU$1,0),FALSE))</f>
        <v/>
      </c>
      <c r="O224" s="77">
        <f>(((Table134567891011121314151617343[[#This Row],[USA]]-VLOOKUP($U$1,A:N,14,))/VLOOKUP($U$1,A:N,14,))*100)+100</f>
        <v/>
      </c>
      <c r="P224" s="77">
        <f>IF(VLOOKUP(A224,Database!$A:$AS,MATCH($P$1,Database!$A$1:$AS$1,0),FALSE)=0,#N/A,VLOOKUP(A224,Database!$A:$AS,MATCH($P$1,Database!$A$1:$AS$1,0),FALSE))</f>
        <v/>
      </c>
      <c r="Q224" s="77">
        <f>(((Table134567891011121314151617343[[#This Row],[JPN]]-VLOOKUP($U$1,A:Q,16,))/VLOOKUP($U$1,A:Q,16,))*100)+100</f>
        <v/>
      </c>
    </row>
    <row r="225" customFormat="1" s="87">
      <c r="A225" s="21" t="n">
        <v>39661</v>
      </c>
      <c r="B225" s="77">
        <f>IF(VLOOKUP(A225,Database!$A:$AS,MATCH($B$1,Database!$A$1:$AS$1,0),FALSE)=0,#N/A,VLOOKUP(A225,Database!$A:$AS,MATCH($B$1,Database!$A$1:$AS$1,0),FALSE))</f>
        <v/>
      </c>
      <c r="C225" s="77">
        <f>IF(VLOOKUP(A225,Database!$A:$AS,MATCH($C$1,Database!$A$1:$AS$1,0),FALSE)=0,#N/A,VLOOKUP(A225,Database!$A:$AS,MATCH($C$1,Database!$A$1:$AS$1,0),FALSE))</f>
        <v/>
      </c>
      <c r="D225" s="77">
        <f>IF(VLOOKUP(A225,Database!$A:$AS,MATCH($D$1,Database!$A$1:$AS$1,0),FALSE)=0,#N/A,VLOOKUP(A225,Database!$A:$AS,MATCH($D$1,Database!$A$1:$AS$1,0),FALSE))</f>
        <v/>
      </c>
      <c r="E225" s="77">
        <f>IF(VLOOKUP(A225,Database!$A:$AS,MATCH($E$1,Database!$A$1:$AS$1,0),FALSE)=0,#N/A,VLOOKUP(A225,Database!$A:$AS,MATCH($E$1,Database!$A$1:$AS$1,0),FALSE))</f>
        <v/>
      </c>
      <c r="F225" s="77">
        <f>IF(VLOOKUP(A225,Database!$A:$AS,MATCH($F$1,Database!$A$1:$AS$1,0),FALSE)=0,#N/A,VLOOKUP(A225,Database!$A:$AS,MATCH($F$1,Database!$A$1:$AS$1,0),FALSE))</f>
        <v/>
      </c>
      <c r="G225" s="77">
        <f>IF(VLOOKUP(A225,Database!$A:$AS,MATCH($G$1,Database!$A$1:$AS$1,0),FALSE)=0,#N/A,VLOOKUP(A225,Database!$A:$AS,MATCH($G$1,Database!$A$1:$AS$1,0),FALSE))</f>
        <v/>
      </c>
      <c r="H225" s="77">
        <f>(((Table134567891011121314151617343[[#This Row],[ITA]]-VLOOKUP($U$1,A:B,2,))/VLOOKUP($U$1,A:B,2,))*100)+100</f>
        <v/>
      </c>
      <c r="I225" s="77">
        <f>(((Table134567891011121314151617343[[#This Row],[FRA]]-VLOOKUP($U$1,A:C,3,))/VLOOKUP($U$1,A:C,3,))*100)+100</f>
        <v/>
      </c>
      <c r="J225" s="77">
        <f>(((Table134567891011121314151617343[[#This Row],[DEU]]-VLOOKUP($U$1,A:D,4,))/VLOOKUP($U$1,A:D,4,))*100)+100</f>
        <v/>
      </c>
      <c r="K225" s="77">
        <f>(((Table134567891011121314151617343[[#This Row],[ESP]]-VLOOKUP($U$1,A:E,5,))/VLOOKUP($U$1,A:E,5,))*100)+100</f>
        <v/>
      </c>
      <c r="L225" s="77">
        <f>(((Table134567891011121314151617343[[#This Row],[EA19]]-VLOOKUP($U$1,A:F,6,))/VLOOKUP($U$1,A:F,6,))*100)+100</f>
        <v/>
      </c>
      <c r="M225" s="77">
        <f>(((Table134567891011121314151617343[[#This Row],[GBR]]-VLOOKUP($U$1,A:G,7,))/VLOOKUP($U$1,A:G,7,))*100)+100</f>
        <v/>
      </c>
      <c r="N225" s="77">
        <f>IF(VLOOKUP(A225,Database!$A:$AU,MATCH($N$1,Database!$A$1:$AU$1,0),FALSE)=0,#N/A,VLOOKUP(A225,Database!$A:$AU,MATCH($N$1,Database!$A$1:$AU$1,0),FALSE))</f>
        <v/>
      </c>
      <c r="O225" s="77">
        <f>(((Table134567891011121314151617343[[#This Row],[USA]]-VLOOKUP($U$1,A:N,14,))/VLOOKUP($U$1,A:N,14,))*100)+100</f>
        <v/>
      </c>
      <c r="P225" s="77">
        <f>IF(VLOOKUP(A225,Database!$A:$AS,MATCH($P$1,Database!$A$1:$AS$1,0),FALSE)=0,#N/A,VLOOKUP(A225,Database!$A:$AS,MATCH($P$1,Database!$A$1:$AS$1,0),FALSE))</f>
        <v/>
      </c>
      <c r="Q225" s="77">
        <f>(((Table134567891011121314151617343[[#This Row],[JPN]]-VLOOKUP($U$1,A:Q,16,))/VLOOKUP($U$1,A:Q,16,))*100)+100</f>
        <v/>
      </c>
    </row>
    <row r="226" customFormat="1" s="87">
      <c r="A226" s="21" t="n">
        <v>39692</v>
      </c>
      <c r="B226" s="77">
        <f>IF(VLOOKUP(A226,Database!$A:$AS,MATCH($B$1,Database!$A$1:$AS$1,0),FALSE)=0,#N/A,VLOOKUP(A226,Database!$A:$AS,MATCH($B$1,Database!$A$1:$AS$1,0),FALSE))</f>
        <v/>
      </c>
      <c r="C226" s="77">
        <f>IF(VLOOKUP(A226,Database!$A:$AS,MATCH($C$1,Database!$A$1:$AS$1,0),FALSE)=0,#N/A,VLOOKUP(A226,Database!$A:$AS,MATCH($C$1,Database!$A$1:$AS$1,0),FALSE))</f>
        <v/>
      </c>
      <c r="D226" s="77">
        <f>IF(VLOOKUP(A226,Database!$A:$AS,MATCH($D$1,Database!$A$1:$AS$1,0),FALSE)=0,#N/A,VLOOKUP(A226,Database!$A:$AS,MATCH($D$1,Database!$A$1:$AS$1,0),FALSE))</f>
        <v/>
      </c>
      <c r="E226" s="77">
        <f>IF(VLOOKUP(A226,Database!$A:$AS,MATCH($E$1,Database!$A$1:$AS$1,0),FALSE)=0,#N/A,VLOOKUP(A226,Database!$A:$AS,MATCH($E$1,Database!$A$1:$AS$1,0),FALSE))</f>
        <v/>
      </c>
      <c r="F226" s="77">
        <f>IF(VLOOKUP(A226,Database!$A:$AS,MATCH($F$1,Database!$A$1:$AS$1,0),FALSE)=0,#N/A,VLOOKUP(A226,Database!$A:$AS,MATCH($F$1,Database!$A$1:$AS$1,0),FALSE))</f>
        <v/>
      </c>
      <c r="G226" s="77">
        <f>IF(VLOOKUP(A226,Database!$A:$AS,MATCH($G$1,Database!$A$1:$AS$1,0),FALSE)=0,#N/A,VLOOKUP(A226,Database!$A:$AS,MATCH($G$1,Database!$A$1:$AS$1,0),FALSE))</f>
        <v/>
      </c>
      <c r="H226" s="77">
        <f>(((Table134567891011121314151617343[[#This Row],[ITA]]-VLOOKUP($U$1,A:B,2,))/VLOOKUP($U$1,A:B,2,))*100)+100</f>
        <v/>
      </c>
      <c r="I226" s="77">
        <f>(((Table134567891011121314151617343[[#This Row],[FRA]]-VLOOKUP($U$1,A:C,3,))/VLOOKUP($U$1,A:C,3,))*100)+100</f>
        <v/>
      </c>
      <c r="J226" s="77">
        <f>(((Table134567891011121314151617343[[#This Row],[DEU]]-VLOOKUP($U$1,A:D,4,))/VLOOKUP($U$1,A:D,4,))*100)+100</f>
        <v/>
      </c>
      <c r="K226" s="77">
        <f>(((Table134567891011121314151617343[[#This Row],[ESP]]-VLOOKUP($U$1,A:E,5,))/VLOOKUP($U$1,A:E,5,))*100)+100</f>
        <v/>
      </c>
      <c r="L226" s="77">
        <f>(((Table134567891011121314151617343[[#This Row],[EA19]]-VLOOKUP($U$1,A:F,6,))/VLOOKUP($U$1,A:F,6,))*100)+100</f>
        <v/>
      </c>
      <c r="M226" s="77">
        <f>(((Table134567891011121314151617343[[#This Row],[GBR]]-VLOOKUP($U$1,A:G,7,))/VLOOKUP($U$1,A:G,7,))*100)+100</f>
        <v/>
      </c>
      <c r="N226" s="77">
        <f>IF(VLOOKUP(A226,Database!$A:$AU,MATCH($N$1,Database!$A$1:$AU$1,0),FALSE)=0,#N/A,VLOOKUP(A226,Database!$A:$AU,MATCH($N$1,Database!$A$1:$AU$1,0),FALSE))</f>
        <v/>
      </c>
      <c r="O226" s="77">
        <f>(((Table134567891011121314151617343[[#This Row],[USA]]-VLOOKUP($U$1,A:N,14,))/VLOOKUP($U$1,A:N,14,))*100)+100</f>
        <v/>
      </c>
      <c r="P226" s="77">
        <f>IF(VLOOKUP(A226,Database!$A:$AS,MATCH($P$1,Database!$A$1:$AS$1,0),FALSE)=0,#N/A,VLOOKUP(A226,Database!$A:$AS,MATCH($P$1,Database!$A$1:$AS$1,0),FALSE))</f>
        <v/>
      </c>
      <c r="Q226" s="77">
        <f>(((Table134567891011121314151617343[[#This Row],[JPN]]-VLOOKUP($U$1,A:Q,16,))/VLOOKUP($U$1,A:Q,16,))*100)+100</f>
        <v/>
      </c>
    </row>
    <row r="227" customFormat="1" s="87">
      <c r="A227" s="21" t="n">
        <v>39722</v>
      </c>
      <c r="B227" s="77">
        <f>IF(VLOOKUP(A227,Database!$A:$AS,MATCH($B$1,Database!$A$1:$AS$1,0),FALSE)=0,#N/A,VLOOKUP(A227,Database!$A:$AS,MATCH($B$1,Database!$A$1:$AS$1,0),FALSE))</f>
        <v/>
      </c>
      <c r="C227" s="77">
        <f>IF(VLOOKUP(A227,Database!$A:$AS,MATCH($C$1,Database!$A$1:$AS$1,0),FALSE)=0,#N/A,VLOOKUP(A227,Database!$A:$AS,MATCH($C$1,Database!$A$1:$AS$1,0),FALSE))</f>
        <v/>
      </c>
      <c r="D227" s="77">
        <f>IF(VLOOKUP(A227,Database!$A:$AS,MATCH($D$1,Database!$A$1:$AS$1,0),FALSE)=0,#N/A,VLOOKUP(A227,Database!$A:$AS,MATCH($D$1,Database!$A$1:$AS$1,0),FALSE))</f>
        <v/>
      </c>
      <c r="E227" s="77">
        <f>IF(VLOOKUP(A227,Database!$A:$AS,MATCH($E$1,Database!$A$1:$AS$1,0),FALSE)=0,#N/A,VLOOKUP(A227,Database!$A:$AS,MATCH($E$1,Database!$A$1:$AS$1,0),FALSE))</f>
        <v/>
      </c>
      <c r="F227" s="77">
        <f>IF(VLOOKUP(A227,Database!$A:$AS,MATCH($F$1,Database!$A$1:$AS$1,0),FALSE)=0,#N/A,VLOOKUP(A227,Database!$A:$AS,MATCH($F$1,Database!$A$1:$AS$1,0),FALSE))</f>
        <v/>
      </c>
      <c r="G227" s="77">
        <f>IF(VLOOKUP(A227,Database!$A:$AS,MATCH($G$1,Database!$A$1:$AS$1,0),FALSE)=0,#N/A,VLOOKUP(A227,Database!$A:$AS,MATCH($G$1,Database!$A$1:$AS$1,0),FALSE))</f>
        <v/>
      </c>
      <c r="H227" s="77">
        <f>(((Table134567891011121314151617343[[#This Row],[ITA]]-VLOOKUP($U$1,A:B,2,))/VLOOKUP($U$1,A:B,2,))*100)+100</f>
        <v/>
      </c>
      <c r="I227" s="77">
        <f>(((Table134567891011121314151617343[[#This Row],[FRA]]-VLOOKUP($U$1,A:C,3,))/VLOOKUP($U$1,A:C,3,))*100)+100</f>
        <v/>
      </c>
      <c r="J227" s="77">
        <f>(((Table134567891011121314151617343[[#This Row],[DEU]]-VLOOKUP($U$1,A:D,4,))/VLOOKUP($U$1,A:D,4,))*100)+100</f>
        <v/>
      </c>
      <c r="K227" s="77">
        <f>(((Table134567891011121314151617343[[#This Row],[ESP]]-VLOOKUP($U$1,A:E,5,))/VLOOKUP($U$1,A:E,5,))*100)+100</f>
        <v/>
      </c>
      <c r="L227" s="77">
        <f>(((Table134567891011121314151617343[[#This Row],[EA19]]-VLOOKUP($U$1,A:F,6,))/VLOOKUP($U$1,A:F,6,))*100)+100</f>
        <v/>
      </c>
      <c r="M227" s="77">
        <f>(((Table134567891011121314151617343[[#This Row],[GBR]]-VLOOKUP($U$1,A:G,7,))/VLOOKUP($U$1,A:G,7,))*100)+100</f>
        <v/>
      </c>
      <c r="N227" s="77">
        <f>IF(VLOOKUP(A227,Database!$A:$AU,MATCH($N$1,Database!$A$1:$AU$1,0),FALSE)=0,#N/A,VLOOKUP(A227,Database!$A:$AU,MATCH($N$1,Database!$A$1:$AU$1,0),FALSE))</f>
        <v/>
      </c>
      <c r="O227" s="77">
        <f>(((Table134567891011121314151617343[[#This Row],[USA]]-VLOOKUP($U$1,A:N,14,))/VLOOKUP($U$1,A:N,14,))*100)+100</f>
        <v/>
      </c>
      <c r="P227" s="77">
        <f>IF(VLOOKUP(A227,Database!$A:$AS,MATCH($P$1,Database!$A$1:$AS$1,0),FALSE)=0,#N/A,VLOOKUP(A227,Database!$A:$AS,MATCH($P$1,Database!$A$1:$AS$1,0),FALSE))</f>
        <v/>
      </c>
      <c r="Q227" s="77">
        <f>(((Table134567891011121314151617343[[#This Row],[JPN]]-VLOOKUP($U$1,A:Q,16,))/VLOOKUP($U$1,A:Q,16,))*100)+100</f>
        <v/>
      </c>
    </row>
    <row r="228" customFormat="1" s="87">
      <c r="A228" s="21" t="n">
        <v>39753</v>
      </c>
      <c r="B228" s="77">
        <f>IF(VLOOKUP(A228,Database!$A:$AS,MATCH($B$1,Database!$A$1:$AS$1,0),FALSE)=0,#N/A,VLOOKUP(A228,Database!$A:$AS,MATCH($B$1,Database!$A$1:$AS$1,0),FALSE))</f>
        <v/>
      </c>
      <c r="C228" s="77">
        <f>IF(VLOOKUP(A228,Database!$A:$AS,MATCH($C$1,Database!$A$1:$AS$1,0),FALSE)=0,#N/A,VLOOKUP(A228,Database!$A:$AS,MATCH($C$1,Database!$A$1:$AS$1,0),FALSE))</f>
        <v/>
      </c>
      <c r="D228" s="77">
        <f>IF(VLOOKUP(A228,Database!$A:$AS,MATCH($D$1,Database!$A$1:$AS$1,0),FALSE)=0,#N/A,VLOOKUP(A228,Database!$A:$AS,MATCH($D$1,Database!$A$1:$AS$1,0),FALSE))</f>
        <v/>
      </c>
      <c r="E228" s="77">
        <f>IF(VLOOKUP(A228,Database!$A:$AS,MATCH($E$1,Database!$A$1:$AS$1,0),FALSE)=0,#N/A,VLOOKUP(A228,Database!$A:$AS,MATCH($E$1,Database!$A$1:$AS$1,0),FALSE))</f>
        <v/>
      </c>
      <c r="F228" s="77">
        <f>IF(VLOOKUP(A228,Database!$A:$AS,MATCH($F$1,Database!$A$1:$AS$1,0),FALSE)=0,#N/A,VLOOKUP(A228,Database!$A:$AS,MATCH($F$1,Database!$A$1:$AS$1,0),FALSE))</f>
        <v/>
      </c>
      <c r="G228" s="77">
        <f>IF(VLOOKUP(A228,Database!$A:$AS,MATCH($G$1,Database!$A$1:$AS$1,0),FALSE)=0,#N/A,VLOOKUP(A228,Database!$A:$AS,MATCH($G$1,Database!$A$1:$AS$1,0),FALSE))</f>
        <v/>
      </c>
      <c r="H228" s="77">
        <f>(((Table134567891011121314151617343[[#This Row],[ITA]]-VLOOKUP($U$1,A:B,2,))/VLOOKUP($U$1,A:B,2,))*100)+100</f>
        <v/>
      </c>
      <c r="I228" s="77">
        <f>(((Table134567891011121314151617343[[#This Row],[FRA]]-VLOOKUP($U$1,A:C,3,))/VLOOKUP($U$1,A:C,3,))*100)+100</f>
        <v/>
      </c>
      <c r="J228" s="77">
        <f>(((Table134567891011121314151617343[[#This Row],[DEU]]-VLOOKUP($U$1,A:D,4,))/VLOOKUP($U$1,A:D,4,))*100)+100</f>
        <v/>
      </c>
      <c r="K228" s="77">
        <f>(((Table134567891011121314151617343[[#This Row],[ESP]]-VLOOKUP($U$1,A:E,5,))/VLOOKUP($U$1,A:E,5,))*100)+100</f>
        <v/>
      </c>
      <c r="L228" s="77">
        <f>(((Table134567891011121314151617343[[#This Row],[EA19]]-VLOOKUP($U$1,A:F,6,))/VLOOKUP($U$1,A:F,6,))*100)+100</f>
        <v/>
      </c>
      <c r="M228" s="77">
        <f>(((Table134567891011121314151617343[[#This Row],[GBR]]-VLOOKUP($U$1,A:G,7,))/VLOOKUP($U$1,A:G,7,))*100)+100</f>
        <v/>
      </c>
      <c r="N228" s="77">
        <f>IF(VLOOKUP(A228,Database!$A:$AU,MATCH($N$1,Database!$A$1:$AU$1,0),FALSE)=0,#N/A,VLOOKUP(A228,Database!$A:$AU,MATCH($N$1,Database!$A$1:$AU$1,0),FALSE))</f>
        <v/>
      </c>
      <c r="O228" s="77">
        <f>(((Table134567891011121314151617343[[#This Row],[USA]]-VLOOKUP($U$1,A:N,14,))/VLOOKUP($U$1,A:N,14,))*100)+100</f>
        <v/>
      </c>
      <c r="P228" s="77">
        <f>IF(VLOOKUP(A228,Database!$A:$AS,MATCH($P$1,Database!$A$1:$AS$1,0),FALSE)=0,#N/A,VLOOKUP(A228,Database!$A:$AS,MATCH($P$1,Database!$A$1:$AS$1,0),FALSE))</f>
        <v/>
      </c>
      <c r="Q228" s="77">
        <f>(((Table134567891011121314151617343[[#This Row],[JPN]]-VLOOKUP($U$1,A:Q,16,))/VLOOKUP($U$1,A:Q,16,))*100)+100</f>
        <v/>
      </c>
    </row>
    <row r="229" customFormat="1" s="87">
      <c r="A229" s="21" t="n">
        <v>39783</v>
      </c>
      <c r="B229" s="77">
        <f>IF(VLOOKUP(A229,Database!$A:$AS,MATCH($B$1,Database!$A$1:$AS$1,0),FALSE)=0,#N/A,VLOOKUP(A229,Database!$A:$AS,MATCH($B$1,Database!$A$1:$AS$1,0),FALSE))</f>
        <v/>
      </c>
      <c r="C229" s="77">
        <f>IF(VLOOKUP(A229,Database!$A:$AS,MATCH($C$1,Database!$A$1:$AS$1,0),FALSE)=0,#N/A,VLOOKUP(A229,Database!$A:$AS,MATCH($C$1,Database!$A$1:$AS$1,0),FALSE))</f>
        <v/>
      </c>
      <c r="D229" s="77">
        <f>IF(VLOOKUP(A229,Database!$A:$AS,MATCH($D$1,Database!$A$1:$AS$1,0),FALSE)=0,#N/A,VLOOKUP(A229,Database!$A:$AS,MATCH($D$1,Database!$A$1:$AS$1,0),FALSE))</f>
        <v/>
      </c>
      <c r="E229" s="77">
        <f>IF(VLOOKUP(A229,Database!$A:$AS,MATCH($E$1,Database!$A$1:$AS$1,0),FALSE)=0,#N/A,VLOOKUP(A229,Database!$A:$AS,MATCH($E$1,Database!$A$1:$AS$1,0),FALSE))</f>
        <v/>
      </c>
      <c r="F229" s="77">
        <f>IF(VLOOKUP(A229,Database!$A:$AS,MATCH($F$1,Database!$A$1:$AS$1,0),FALSE)=0,#N/A,VLOOKUP(A229,Database!$A:$AS,MATCH($F$1,Database!$A$1:$AS$1,0),FALSE))</f>
        <v/>
      </c>
      <c r="G229" s="77">
        <f>IF(VLOOKUP(A229,Database!$A:$AS,MATCH($G$1,Database!$A$1:$AS$1,0),FALSE)=0,#N/A,VLOOKUP(A229,Database!$A:$AS,MATCH($G$1,Database!$A$1:$AS$1,0),FALSE))</f>
        <v/>
      </c>
      <c r="H229" s="77">
        <f>(((Table134567891011121314151617343[[#This Row],[ITA]]-VLOOKUP($U$1,A:B,2,))/VLOOKUP($U$1,A:B,2,))*100)+100</f>
        <v/>
      </c>
      <c r="I229" s="77">
        <f>(((Table134567891011121314151617343[[#This Row],[FRA]]-VLOOKUP($U$1,A:C,3,))/VLOOKUP($U$1,A:C,3,))*100)+100</f>
        <v/>
      </c>
      <c r="J229" s="77">
        <f>(((Table134567891011121314151617343[[#This Row],[DEU]]-VLOOKUP($U$1,A:D,4,))/VLOOKUP($U$1,A:D,4,))*100)+100</f>
        <v/>
      </c>
      <c r="K229" s="77">
        <f>(((Table134567891011121314151617343[[#This Row],[ESP]]-VLOOKUP($U$1,A:E,5,))/VLOOKUP($U$1,A:E,5,))*100)+100</f>
        <v/>
      </c>
      <c r="L229" s="77">
        <f>(((Table134567891011121314151617343[[#This Row],[EA19]]-VLOOKUP($U$1,A:F,6,))/VLOOKUP($U$1,A:F,6,))*100)+100</f>
        <v/>
      </c>
      <c r="M229" s="77">
        <f>(((Table134567891011121314151617343[[#This Row],[GBR]]-VLOOKUP($U$1,A:G,7,))/VLOOKUP($U$1,A:G,7,))*100)+100</f>
        <v/>
      </c>
      <c r="N229" s="77">
        <f>IF(VLOOKUP(A229,Database!$A:$AU,MATCH($N$1,Database!$A$1:$AU$1,0),FALSE)=0,#N/A,VLOOKUP(A229,Database!$A:$AU,MATCH($N$1,Database!$A$1:$AU$1,0),FALSE))</f>
        <v/>
      </c>
      <c r="O229" s="77">
        <f>(((Table134567891011121314151617343[[#This Row],[USA]]-VLOOKUP($U$1,A:N,14,))/VLOOKUP($U$1,A:N,14,))*100)+100</f>
        <v/>
      </c>
      <c r="P229" s="77">
        <f>IF(VLOOKUP(A229,Database!$A:$AS,MATCH($P$1,Database!$A$1:$AS$1,0),FALSE)=0,#N/A,VLOOKUP(A229,Database!$A:$AS,MATCH($P$1,Database!$A$1:$AS$1,0),FALSE))</f>
        <v/>
      </c>
      <c r="Q229" s="77">
        <f>(((Table134567891011121314151617343[[#This Row],[JPN]]-VLOOKUP($U$1,A:Q,16,))/VLOOKUP($U$1,A:Q,16,))*100)+100</f>
        <v/>
      </c>
    </row>
    <row r="230" customFormat="1" s="87">
      <c r="A230" s="21" t="n">
        <v>39814</v>
      </c>
      <c r="B230" s="77">
        <f>IF(VLOOKUP(A230,Database!$A:$AS,MATCH($B$1,Database!$A$1:$AS$1,0),FALSE)=0,#N/A,VLOOKUP(A230,Database!$A:$AS,MATCH($B$1,Database!$A$1:$AS$1,0),FALSE))</f>
        <v/>
      </c>
      <c r="C230" s="77">
        <f>IF(VLOOKUP(A230,Database!$A:$AS,MATCH($C$1,Database!$A$1:$AS$1,0),FALSE)=0,#N/A,VLOOKUP(A230,Database!$A:$AS,MATCH($C$1,Database!$A$1:$AS$1,0),FALSE))</f>
        <v/>
      </c>
      <c r="D230" s="77">
        <f>IF(VLOOKUP(A230,Database!$A:$AS,MATCH($D$1,Database!$A$1:$AS$1,0),FALSE)=0,#N/A,VLOOKUP(A230,Database!$A:$AS,MATCH($D$1,Database!$A$1:$AS$1,0),FALSE))</f>
        <v/>
      </c>
      <c r="E230" s="77">
        <f>IF(VLOOKUP(A230,Database!$A:$AS,MATCH($E$1,Database!$A$1:$AS$1,0),FALSE)=0,#N/A,VLOOKUP(A230,Database!$A:$AS,MATCH($E$1,Database!$A$1:$AS$1,0),FALSE))</f>
        <v/>
      </c>
      <c r="F230" s="77">
        <f>IF(VLOOKUP(A230,Database!$A:$AS,MATCH($F$1,Database!$A$1:$AS$1,0),FALSE)=0,#N/A,VLOOKUP(A230,Database!$A:$AS,MATCH($F$1,Database!$A$1:$AS$1,0),FALSE))</f>
        <v/>
      </c>
      <c r="G230" s="77">
        <f>IF(VLOOKUP(A230,Database!$A:$AS,MATCH($G$1,Database!$A$1:$AS$1,0),FALSE)=0,#N/A,VLOOKUP(A230,Database!$A:$AS,MATCH($G$1,Database!$A$1:$AS$1,0),FALSE))</f>
        <v/>
      </c>
      <c r="H230" s="77">
        <f>(((Table134567891011121314151617343[[#This Row],[ITA]]-VLOOKUP($U$1,A:B,2,))/VLOOKUP($U$1,A:B,2,))*100)+100</f>
        <v/>
      </c>
      <c r="I230" s="77">
        <f>(((Table134567891011121314151617343[[#This Row],[FRA]]-VLOOKUP($U$1,A:C,3,))/VLOOKUP($U$1,A:C,3,))*100)+100</f>
        <v/>
      </c>
      <c r="J230" s="77">
        <f>(((Table134567891011121314151617343[[#This Row],[DEU]]-VLOOKUP($U$1,A:D,4,))/VLOOKUP($U$1,A:D,4,))*100)+100</f>
        <v/>
      </c>
      <c r="K230" s="77">
        <f>(((Table134567891011121314151617343[[#This Row],[ESP]]-VLOOKUP($U$1,A:E,5,))/VLOOKUP($U$1,A:E,5,))*100)+100</f>
        <v/>
      </c>
      <c r="L230" s="77">
        <f>(((Table134567891011121314151617343[[#This Row],[EA19]]-VLOOKUP($U$1,A:F,6,))/VLOOKUP($U$1,A:F,6,))*100)+100</f>
        <v/>
      </c>
      <c r="M230" s="77">
        <f>(((Table134567891011121314151617343[[#This Row],[GBR]]-VLOOKUP($U$1,A:G,7,))/VLOOKUP($U$1,A:G,7,))*100)+100</f>
        <v/>
      </c>
      <c r="N230" s="77">
        <f>IF(VLOOKUP(A230,Database!$A:$AU,MATCH($N$1,Database!$A$1:$AU$1,0),FALSE)=0,#N/A,VLOOKUP(A230,Database!$A:$AU,MATCH($N$1,Database!$A$1:$AU$1,0),FALSE))</f>
        <v/>
      </c>
      <c r="O230" s="77">
        <f>(((Table134567891011121314151617343[[#This Row],[USA]]-VLOOKUP($U$1,A:N,14,))/VLOOKUP($U$1,A:N,14,))*100)+100</f>
        <v/>
      </c>
      <c r="P230" s="77">
        <f>IF(VLOOKUP(A230,Database!$A:$AS,MATCH($P$1,Database!$A$1:$AS$1,0),FALSE)=0,#N/A,VLOOKUP(A230,Database!$A:$AS,MATCH($P$1,Database!$A$1:$AS$1,0),FALSE))</f>
        <v/>
      </c>
      <c r="Q230" s="77">
        <f>(((Table134567891011121314151617343[[#This Row],[JPN]]-VLOOKUP($U$1,A:Q,16,))/VLOOKUP($U$1,A:Q,16,))*100)+100</f>
        <v/>
      </c>
    </row>
    <row r="231" customFormat="1" s="87">
      <c r="A231" s="21" t="n">
        <v>39845</v>
      </c>
      <c r="B231" s="77">
        <f>IF(VLOOKUP(A231,Database!$A:$AS,MATCH($B$1,Database!$A$1:$AS$1,0),FALSE)=0,#N/A,VLOOKUP(A231,Database!$A:$AS,MATCH($B$1,Database!$A$1:$AS$1,0),FALSE))</f>
        <v/>
      </c>
      <c r="C231" s="77">
        <f>IF(VLOOKUP(A231,Database!$A:$AS,MATCH($C$1,Database!$A$1:$AS$1,0),FALSE)=0,#N/A,VLOOKUP(A231,Database!$A:$AS,MATCH($C$1,Database!$A$1:$AS$1,0),FALSE))</f>
        <v/>
      </c>
      <c r="D231" s="77">
        <f>IF(VLOOKUP(A231,Database!$A:$AS,MATCH($D$1,Database!$A$1:$AS$1,0),FALSE)=0,#N/A,VLOOKUP(A231,Database!$A:$AS,MATCH($D$1,Database!$A$1:$AS$1,0),FALSE))</f>
        <v/>
      </c>
      <c r="E231" s="77">
        <f>IF(VLOOKUP(A231,Database!$A:$AS,MATCH($E$1,Database!$A$1:$AS$1,0),FALSE)=0,#N/A,VLOOKUP(A231,Database!$A:$AS,MATCH($E$1,Database!$A$1:$AS$1,0),FALSE))</f>
        <v/>
      </c>
      <c r="F231" s="77">
        <f>IF(VLOOKUP(A231,Database!$A:$AS,MATCH($F$1,Database!$A$1:$AS$1,0),FALSE)=0,#N/A,VLOOKUP(A231,Database!$A:$AS,MATCH($F$1,Database!$A$1:$AS$1,0),FALSE))</f>
        <v/>
      </c>
      <c r="G231" s="77">
        <f>IF(VLOOKUP(A231,Database!$A:$AS,MATCH($G$1,Database!$A$1:$AS$1,0),FALSE)=0,#N/A,VLOOKUP(A231,Database!$A:$AS,MATCH($G$1,Database!$A$1:$AS$1,0),FALSE))</f>
        <v/>
      </c>
      <c r="H231" s="77">
        <f>(((Table134567891011121314151617343[[#This Row],[ITA]]-VLOOKUP($U$1,A:B,2,))/VLOOKUP($U$1,A:B,2,))*100)+100</f>
        <v/>
      </c>
      <c r="I231" s="77">
        <f>(((Table134567891011121314151617343[[#This Row],[FRA]]-VLOOKUP($U$1,A:C,3,))/VLOOKUP($U$1,A:C,3,))*100)+100</f>
        <v/>
      </c>
      <c r="J231" s="77">
        <f>(((Table134567891011121314151617343[[#This Row],[DEU]]-VLOOKUP($U$1,A:D,4,))/VLOOKUP($U$1,A:D,4,))*100)+100</f>
        <v/>
      </c>
      <c r="K231" s="77">
        <f>(((Table134567891011121314151617343[[#This Row],[ESP]]-VLOOKUP($U$1,A:E,5,))/VLOOKUP($U$1,A:E,5,))*100)+100</f>
        <v/>
      </c>
      <c r="L231" s="77">
        <f>(((Table134567891011121314151617343[[#This Row],[EA19]]-VLOOKUP($U$1,A:F,6,))/VLOOKUP($U$1,A:F,6,))*100)+100</f>
        <v/>
      </c>
      <c r="M231" s="77">
        <f>(((Table134567891011121314151617343[[#This Row],[GBR]]-VLOOKUP($U$1,A:G,7,))/VLOOKUP($U$1,A:G,7,))*100)+100</f>
        <v/>
      </c>
      <c r="N231" s="77">
        <f>IF(VLOOKUP(A231,Database!$A:$AU,MATCH($N$1,Database!$A$1:$AU$1,0),FALSE)=0,#N/A,VLOOKUP(A231,Database!$A:$AU,MATCH($N$1,Database!$A$1:$AU$1,0),FALSE))</f>
        <v/>
      </c>
      <c r="O231" s="77">
        <f>(((Table134567891011121314151617343[[#This Row],[USA]]-VLOOKUP($U$1,A:N,14,))/VLOOKUP($U$1,A:N,14,))*100)+100</f>
        <v/>
      </c>
      <c r="P231" s="77">
        <f>IF(VLOOKUP(A231,Database!$A:$AS,MATCH($P$1,Database!$A$1:$AS$1,0),FALSE)=0,#N/A,VLOOKUP(A231,Database!$A:$AS,MATCH($P$1,Database!$A$1:$AS$1,0),FALSE))</f>
        <v/>
      </c>
      <c r="Q231" s="77">
        <f>(((Table134567891011121314151617343[[#This Row],[JPN]]-VLOOKUP($U$1,A:Q,16,))/VLOOKUP($U$1,A:Q,16,))*100)+100</f>
        <v/>
      </c>
    </row>
    <row r="232" customFormat="1" s="87">
      <c r="A232" s="21" t="n">
        <v>39873</v>
      </c>
      <c r="B232" s="77">
        <f>IF(VLOOKUP(A232,Database!$A:$AS,MATCH($B$1,Database!$A$1:$AS$1,0),FALSE)=0,#N/A,VLOOKUP(A232,Database!$A:$AS,MATCH($B$1,Database!$A$1:$AS$1,0),FALSE))</f>
        <v/>
      </c>
      <c r="C232" s="77">
        <f>IF(VLOOKUP(A232,Database!$A:$AS,MATCH($C$1,Database!$A$1:$AS$1,0),FALSE)=0,#N/A,VLOOKUP(A232,Database!$A:$AS,MATCH($C$1,Database!$A$1:$AS$1,0),FALSE))</f>
        <v/>
      </c>
      <c r="D232" s="77">
        <f>IF(VLOOKUP(A232,Database!$A:$AS,MATCH($D$1,Database!$A$1:$AS$1,0),FALSE)=0,#N/A,VLOOKUP(A232,Database!$A:$AS,MATCH($D$1,Database!$A$1:$AS$1,0),FALSE))</f>
        <v/>
      </c>
      <c r="E232" s="77">
        <f>IF(VLOOKUP(A232,Database!$A:$AS,MATCH($E$1,Database!$A$1:$AS$1,0),FALSE)=0,#N/A,VLOOKUP(A232,Database!$A:$AS,MATCH($E$1,Database!$A$1:$AS$1,0),FALSE))</f>
        <v/>
      </c>
      <c r="F232" s="77">
        <f>IF(VLOOKUP(A232,Database!$A:$AS,MATCH($F$1,Database!$A$1:$AS$1,0),FALSE)=0,#N/A,VLOOKUP(A232,Database!$A:$AS,MATCH($F$1,Database!$A$1:$AS$1,0),FALSE))</f>
        <v/>
      </c>
      <c r="G232" s="77">
        <f>IF(VLOOKUP(A232,Database!$A:$AS,MATCH($G$1,Database!$A$1:$AS$1,0),FALSE)=0,#N/A,VLOOKUP(A232,Database!$A:$AS,MATCH($G$1,Database!$A$1:$AS$1,0),FALSE))</f>
        <v/>
      </c>
      <c r="H232" s="77">
        <f>(((Table134567891011121314151617343[[#This Row],[ITA]]-VLOOKUP($U$1,A:B,2,))/VLOOKUP($U$1,A:B,2,))*100)+100</f>
        <v/>
      </c>
      <c r="I232" s="77">
        <f>(((Table134567891011121314151617343[[#This Row],[FRA]]-VLOOKUP($U$1,A:C,3,))/VLOOKUP($U$1,A:C,3,))*100)+100</f>
        <v/>
      </c>
      <c r="J232" s="77">
        <f>(((Table134567891011121314151617343[[#This Row],[DEU]]-VLOOKUP($U$1,A:D,4,))/VLOOKUP($U$1,A:D,4,))*100)+100</f>
        <v/>
      </c>
      <c r="K232" s="77">
        <f>(((Table134567891011121314151617343[[#This Row],[ESP]]-VLOOKUP($U$1,A:E,5,))/VLOOKUP($U$1,A:E,5,))*100)+100</f>
        <v/>
      </c>
      <c r="L232" s="77">
        <f>(((Table134567891011121314151617343[[#This Row],[EA19]]-VLOOKUP($U$1,A:F,6,))/VLOOKUP($U$1,A:F,6,))*100)+100</f>
        <v/>
      </c>
      <c r="M232" s="77">
        <f>(((Table134567891011121314151617343[[#This Row],[GBR]]-VLOOKUP($U$1,A:G,7,))/VLOOKUP($U$1,A:G,7,))*100)+100</f>
        <v/>
      </c>
      <c r="N232" s="77">
        <f>IF(VLOOKUP(A232,Database!$A:$AU,MATCH($N$1,Database!$A$1:$AU$1,0),FALSE)=0,#N/A,VLOOKUP(A232,Database!$A:$AU,MATCH($N$1,Database!$A$1:$AU$1,0),FALSE))</f>
        <v/>
      </c>
      <c r="O232" s="77">
        <f>(((Table134567891011121314151617343[[#This Row],[USA]]-VLOOKUP($U$1,A:N,14,))/VLOOKUP($U$1,A:N,14,))*100)+100</f>
        <v/>
      </c>
      <c r="P232" s="77">
        <f>IF(VLOOKUP(A232,Database!$A:$AS,MATCH($P$1,Database!$A$1:$AS$1,0),FALSE)=0,#N/A,VLOOKUP(A232,Database!$A:$AS,MATCH($P$1,Database!$A$1:$AS$1,0),FALSE))</f>
        <v/>
      </c>
      <c r="Q232" s="77">
        <f>(((Table134567891011121314151617343[[#This Row],[JPN]]-VLOOKUP($U$1,A:Q,16,))/VLOOKUP($U$1,A:Q,16,))*100)+100</f>
        <v/>
      </c>
    </row>
    <row r="233" customFormat="1" s="87">
      <c r="A233" s="21" t="n">
        <v>39904</v>
      </c>
      <c r="B233" s="77">
        <f>IF(VLOOKUP(A233,Database!$A:$AS,MATCH($B$1,Database!$A$1:$AS$1,0),FALSE)=0,#N/A,VLOOKUP(A233,Database!$A:$AS,MATCH($B$1,Database!$A$1:$AS$1,0),FALSE))</f>
        <v/>
      </c>
      <c r="C233" s="77">
        <f>IF(VLOOKUP(A233,Database!$A:$AS,MATCH($C$1,Database!$A$1:$AS$1,0),FALSE)=0,#N/A,VLOOKUP(A233,Database!$A:$AS,MATCH($C$1,Database!$A$1:$AS$1,0),FALSE))</f>
        <v/>
      </c>
      <c r="D233" s="77">
        <f>IF(VLOOKUP(A233,Database!$A:$AS,MATCH($D$1,Database!$A$1:$AS$1,0),FALSE)=0,#N/A,VLOOKUP(A233,Database!$A:$AS,MATCH($D$1,Database!$A$1:$AS$1,0),FALSE))</f>
        <v/>
      </c>
      <c r="E233" s="77">
        <f>IF(VLOOKUP(A233,Database!$A:$AS,MATCH($E$1,Database!$A$1:$AS$1,0),FALSE)=0,#N/A,VLOOKUP(A233,Database!$A:$AS,MATCH($E$1,Database!$A$1:$AS$1,0),FALSE))</f>
        <v/>
      </c>
      <c r="F233" s="77">
        <f>IF(VLOOKUP(A233,Database!$A:$AS,MATCH($F$1,Database!$A$1:$AS$1,0),FALSE)=0,#N/A,VLOOKUP(A233,Database!$A:$AS,MATCH($F$1,Database!$A$1:$AS$1,0),FALSE))</f>
        <v/>
      </c>
      <c r="G233" s="77">
        <f>IF(VLOOKUP(A233,Database!$A:$AS,MATCH($G$1,Database!$A$1:$AS$1,0),FALSE)=0,#N/A,VLOOKUP(A233,Database!$A:$AS,MATCH($G$1,Database!$A$1:$AS$1,0),FALSE))</f>
        <v/>
      </c>
      <c r="H233" s="77">
        <f>(((Table134567891011121314151617343[[#This Row],[ITA]]-VLOOKUP($U$1,A:B,2,))/VLOOKUP($U$1,A:B,2,))*100)+100</f>
        <v/>
      </c>
      <c r="I233" s="77">
        <f>(((Table134567891011121314151617343[[#This Row],[FRA]]-VLOOKUP($U$1,A:C,3,))/VLOOKUP($U$1,A:C,3,))*100)+100</f>
        <v/>
      </c>
      <c r="J233" s="77">
        <f>(((Table134567891011121314151617343[[#This Row],[DEU]]-VLOOKUP($U$1,A:D,4,))/VLOOKUP($U$1,A:D,4,))*100)+100</f>
        <v/>
      </c>
      <c r="K233" s="77">
        <f>(((Table134567891011121314151617343[[#This Row],[ESP]]-VLOOKUP($U$1,A:E,5,))/VLOOKUP($U$1,A:E,5,))*100)+100</f>
        <v/>
      </c>
      <c r="L233" s="77">
        <f>(((Table134567891011121314151617343[[#This Row],[EA19]]-VLOOKUP($U$1,A:F,6,))/VLOOKUP($U$1,A:F,6,))*100)+100</f>
        <v/>
      </c>
      <c r="M233" s="77">
        <f>(((Table134567891011121314151617343[[#This Row],[GBR]]-VLOOKUP($U$1,A:G,7,))/VLOOKUP($U$1,A:G,7,))*100)+100</f>
        <v/>
      </c>
      <c r="N233" s="77">
        <f>IF(VLOOKUP(A233,Database!$A:$AU,MATCH($N$1,Database!$A$1:$AU$1,0),FALSE)=0,#N/A,VLOOKUP(A233,Database!$A:$AU,MATCH($N$1,Database!$A$1:$AU$1,0),FALSE))</f>
        <v/>
      </c>
      <c r="O233" s="77">
        <f>(((Table134567891011121314151617343[[#This Row],[USA]]-VLOOKUP($U$1,A:N,14,))/VLOOKUP($U$1,A:N,14,))*100)+100</f>
        <v/>
      </c>
      <c r="P233" s="77">
        <f>IF(VLOOKUP(A233,Database!$A:$AS,MATCH($P$1,Database!$A$1:$AS$1,0),FALSE)=0,#N/A,VLOOKUP(A233,Database!$A:$AS,MATCH($P$1,Database!$A$1:$AS$1,0),FALSE))</f>
        <v/>
      </c>
      <c r="Q233" s="77">
        <f>(((Table134567891011121314151617343[[#This Row],[JPN]]-VLOOKUP($U$1,A:Q,16,))/VLOOKUP($U$1,A:Q,16,))*100)+100</f>
        <v/>
      </c>
    </row>
    <row r="234" customFormat="1" s="87">
      <c r="A234" s="21" t="n">
        <v>39934</v>
      </c>
      <c r="B234" s="77">
        <f>IF(VLOOKUP(A234,Database!$A:$AS,MATCH($B$1,Database!$A$1:$AS$1,0),FALSE)=0,#N/A,VLOOKUP(A234,Database!$A:$AS,MATCH($B$1,Database!$A$1:$AS$1,0),FALSE))</f>
        <v/>
      </c>
      <c r="C234" s="77">
        <f>IF(VLOOKUP(A234,Database!$A:$AS,MATCH($C$1,Database!$A$1:$AS$1,0),FALSE)=0,#N/A,VLOOKUP(A234,Database!$A:$AS,MATCH($C$1,Database!$A$1:$AS$1,0),FALSE))</f>
        <v/>
      </c>
      <c r="D234" s="77">
        <f>IF(VLOOKUP(A234,Database!$A:$AS,MATCH($D$1,Database!$A$1:$AS$1,0),FALSE)=0,#N/A,VLOOKUP(A234,Database!$A:$AS,MATCH($D$1,Database!$A$1:$AS$1,0),FALSE))</f>
        <v/>
      </c>
      <c r="E234" s="77">
        <f>IF(VLOOKUP(A234,Database!$A:$AS,MATCH($E$1,Database!$A$1:$AS$1,0),FALSE)=0,#N/A,VLOOKUP(A234,Database!$A:$AS,MATCH($E$1,Database!$A$1:$AS$1,0),FALSE))</f>
        <v/>
      </c>
      <c r="F234" s="77">
        <f>IF(VLOOKUP(A234,Database!$A:$AS,MATCH($F$1,Database!$A$1:$AS$1,0),FALSE)=0,#N/A,VLOOKUP(A234,Database!$A:$AS,MATCH($F$1,Database!$A$1:$AS$1,0),FALSE))</f>
        <v/>
      </c>
      <c r="G234" s="77">
        <f>IF(VLOOKUP(A234,Database!$A:$AS,MATCH($G$1,Database!$A$1:$AS$1,0),FALSE)=0,#N/A,VLOOKUP(A234,Database!$A:$AS,MATCH($G$1,Database!$A$1:$AS$1,0),FALSE))</f>
        <v/>
      </c>
      <c r="H234" s="77">
        <f>(((Table134567891011121314151617343[[#This Row],[ITA]]-VLOOKUP($U$1,A:B,2,))/VLOOKUP($U$1,A:B,2,))*100)+100</f>
        <v/>
      </c>
      <c r="I234" s="77">
        <f>(((Table134567891011121314151617343[[#This Row],[FRA]]-VLOOKUP($U$1,A:C,3,))/VLOOKUP($U$1,A:C,3,))*100)+100</f>
        <v/>
      </c>
      <c r="J234" s="77">
        <f>(((Table134567891011121314151617343[[#This Row],[DEU]]-VLOOKUP($U$1,A:D,4,))/VLOOKUP($U$1,A:D,4,))*100)+100</f>
        <v/>
      </c>
      <c r="K234" s="77">
        <f>(((Table134567891011121314151617343[[#This Row],[ESP]]-VLOOKUP($U$1,A:E,5,))/VLOOKUP($U$1,A:E,5,))*100)+100</f>
        <v/>
      </c>
      <c r="L234" s="77">
        <f>(((Table134567891011121314151617343[[#This Row],[EA19]]-VLOOKUP($U$1,A:F,6,))/VLOOKUP($U$1,A:F,6,))*100)+100</f>
        <v/>
      </c>
      <c r="M234" s="77">
        <f>(((Table134567891011121314151617343[[#This Row],[GBR]]-VLOOKUP($U$1,A:G,7,))/VLOOKUP($U$1,A:G,7,))*100)+100</f>
        <v/>
      </c>
      <c r="N234" s="77">
        <f>IF(VLOOKUP(A234,Database!$A:$AU,MATCH($N$1,Database!$A$1:$AU$1,0),FALSE)=0,#N/A,VLOOKUP(A234,Database!$A:$AU,MATCH($N$1,Database!$A$1:$AU$1,0),FALSE))</f>
        <v/>
      </c>
      <c r="O234" s="77">
        <f>(((Table134567891011121314151617343[[#This Row],[USA]]-VLOOKUP($U$1,A:N,14,))/VLOOKUP($U$1,A:N,14,))*100)+100</f>
        <v/>
      </c>
      <c r="P234" s="77">
        <f>IF(VLOOKUP(A234,Database!$A:$AS,MATCH($P$1,Database!$A$1:$AS$1,0),FALSE)=0,#N/A,VLOOKUP(A234,Database!$A:$AS,MATCH($P$1,Database!$A$1:$AS$1,0),FALSE))</f>
        <v/>
      </c>
      <c r="Q234" s="77">
        <f>(((Table134567891011121314151617343[[#This Row],[JPN]]-VLOOKUP($U$1,A:Q,16,))/VLOOKUP($U$1,A:Q,16,))*100)+100</f>
        <v/>
      </c>
    </row>
    <row r="235" customFormat="1" s="87">
      <c r="A235" s="21" t="n">
        <v>39965</v>
      </c>
      <c r="B235" s="77">
        <f>IF(VLOOKUP(A235,Database!$A:$AS,MATCH($B$1,Database!$A$1:$AS$1,0),FALSE)=0,#N/A,VLOOKUP(A235,Database!$A:$AS,MATCH($B$1,Database!$A$1:$AS$1,0),FALSE))</f>
        <v/>
      </c>
      <c r="C235" s="77">
        <f>IF(VLOOKUP(A235,Database!$A:$AS,MATCH($C$1,Database!$A$1:$AS$1,0),FALSE)=0,#N/A,VLOOKUP(A235,Database!$A:$AS,MATCH($C$1,Database!$A$1:$AS$1,0),FALSE))</f>
        <v/>
      </c>
      <c r="D235" s="77">
        <f>IF(VLOOKUP(A235,Database!$A:$AS,MATCH($D$1,Database!$A$1:$AS$1,0),FALSE)=0,#N/A,VLOOKUP(A235,Database!$A:$AS,MATCH($D$1,Database!$A$1:$AS$1,0),FALSE))</f>
        <v/>
      </c>
      <c r="E235" s="77">
        <f>IF(VLOOKUP(A235,Database!$A:$AS,MATCH($E$1,Database!$A$1:$AS$1,0),FALSE)=0,#N/A,VLOOKUP(A235,Database!$A:$AS,MATCH($E$1,Database!$A$1:$AS$1,0),FALSE))</f>
        <v/>
      </c>
      <c r="F235" s="77">
        <f>IF(VLOOKUP(A235,Database!$A:$AS,MATCH($F$1,Database!$A$1:$AS$1,0),FALSE)=0,#N/A,VLOOKUP(A235,Database!$A:$AS,MATCH($F$1,Database!$A$1:$AS$1,0),FALSE))</f>
        <v/>
      </c>
      <c r="G235" s="77">
        <f>IF(VLOOKUP(A235,Database!$A:$AS,MATCH($G$1,Database!$A$1:$AS$1,0),FALSE)=0,#N/A,VLOOKUP(A235,Database!$A:$AS,MATCH($G$1,Database!$A$1:$AS$1,0),FALSE))</f>
        <v/>
      </c>
      <c r="H235" s="77">
        <f>(((Table134567891011121314151617343[[#This Row],[ITA]]-VLOOKUP($U$1,A:B,2,))/VLOOKUP($U$1,A:B,2,))*100)+100</f>
        <v/>
      </c>
      <c r="I235" s="77">
        <f>(((Table134567891011121314151617343[[#This Row],[FRA]]-VLOOKUP($U$1,A:C,3,))/VLOOKUP($U$1,A:C,3,))*100)+100</f>
        <v/>
      </c>
      <c r="J235" s="77">
        <f>(((Table134567891011121314151617343[[#This Row],[DEU]]-VLOOKUP($U$1,A:D,4,))/VLOOKUP($U$1,A:D,4,))*100)+100</f>
        <v/>
      </c>
      <c r="K235" s="77">
        <f>(((Table134567891011121314151617343[[#This Row],[ESP]]-VLOOKUP($U$1,A:E,5,))/VLOOKUP($U$1,A:E,5,))*100)+100</f>
        <v/>
      </c>
      <c r="L235" s="77">
        <f>(((Table134567891011121314151617343[[#This Row],[EA19]]-VLOOKUP($U$1,A:F,6,))/VLOOKUP($U$1,A:F,6,))*100)+100</f>
        <v/>
      </c>
      <c r="M235" s="77">
        <f>(((Table134567891011121314151617343[[#This Row],[GBR]]-VLOOKUP($U$1,A:G,7,))/VLOOKUP($U$1,A:G,7,))*100)+100</f>
        <v/>
      </c>
      <c r="N235" s="77">
        <f>IF(VLOOKUP(A235,Database!$A:$AU,MATCH($N$1,Database!$A$1:$AU$1,0),FALSE)=0,#N/A,VLOOKUP(A235,Database!$A:$AU,MATCH($N$1,Database!$A$1:$AU$1,0),FALSE))</f>
        <v/>
      </c>
      <c r="O235" s="77">
        <f>(((Table134567891011121314151617343[[#This Row],[USA]]-VLOOKUP($U$1,A:N,14,))/VLOOKUP($U$1,A:N,14,))*100)+100</f>
        <v/>
      </c>
      <c r="P235" s="77">
        <f>IF(VLOOKUP(A235,Database!$A:$AS,MATCH($P$1,Database!$A$1:$AS$1,0),FALSE)=0,#N/A,VLOOKUP(A235,Database!$A:$AS,MATCH($P$1,Database!$A$1:$AS$1,0),FALSE))</f>
        <v/>
      </c>
      <c r="Q235" s="77">
        <f>(((Table134567891011121314151617343[[#This Row],[JPN]]-VLOOKUP($U$1,A:Q,16,))/VLOOKUP($U$1,A:Q,16,))*100)+100</f>
        <v/>
      </c>
    </row>
    <row r="236" customFormat="1" s="87">
      <c r="A236" s="21" t="n">
        <v>39995</v>
      </c>
      <c r="B236" s="77">
        <f>IF(VLOOKUP(A236,Database!$A:$AS,MATCH($B$1,Database!$A$1:$AS$1,0),FALSE)=0,#N/A,VLOOKUP(A236,Database!$A:$AS,MATCH($B$1,Database!$A$1:$AS$1,0),FALSE))</f>
        <v/>
      </c>
      <c r="C236" s="77">
        <f>IF(VLOOKUP(A236,Database!$A:$AS,MATCH($C$1,Database!$A$1:$AS$1,0),FALSE)=0,#N/A,VLOOKUP(A236,Database!$A:$AS,MATCH($C$1,Database!$A$1:$AS$1,0),FALSE))</f>
        <v/>
      </c>
      <c r="D236" s="77">
        <f>IF(VLOOKUP(A236,Database!$A:$AS,MATCH($D$1,Database!$A$1:$AS$1,0),FALSE)=0,#N/A,VLOOKUP(A236,Database!$A:$AS,MATCH($D$1,Database!$A$1:$AS$1,0),FALSE))</f>
        <v/>
      </c>
      <c r="E236" s="77">
        <f>IF(VLOOKUP(A236,Database!$A:$AS,MATCH($E$1,Database!$A$1:$AS$1,0),FALSE)=0,#N/A,VLOOKUP(A236,Database!$A:$AS,MATCH($E$1,Database!$A$1:$AS$1,0),FALSE))</f>
        <v/>
      </c>
      <c r="F236" s="77">
        <f>IF(VLOOKUP(A236,Database!$A:$AS,MATCH($F$1,Database!$A$1:$AS$1,0),FALSE)=0,#N/A,VLOOKUP(A236,Database!$A:$AS,MATCH($F$1,Database!$A$1:$AS$1,0),FALSE))</f>
        <v/>
      </c>
      <c r="G236" s="77">
        <f>IF(VLOOKUP(A236,Database!$A:$AS,MATCH($G$1,Database!$A$1:$AS$1,0),FALSE)=0,#N/A,VLOOKUP(A236,Database!$A:$AS,MATCH($G$1,Database!$A$1:$AS$1,0),FALSE))</f>
        <v/>
      </c>
      <c r="H236" s="77">
        <f>(((Table134567891011121314151617343[[#This Row],[ITA]]-VLOOKUP($U$1,A:B,2,))/VLOOKUP($U$1,A:B,2,))*100)+100</f>
        <v/>
      </c>
      <c r="I236" s="77">
        <f>(((Table134567891011121314151617343[[#This Row],[FRA]]-VLOOKUP($U$1,A:C,3,))/VLOOKUP($U$1,A:C,3,))*100)+100</f>
        <v/>
      </c>
      <c r="J236" s="77">
        <f>(((Table134567891011121314151617343[[#This Row],[DEU]]-VLOOKUP($U$1,A:D,4,))/VLOOKUP($U$1,A:D,4,))*100)+100</f>
        <v/>
      </c>
      <c r="K236" s="77">
        <f>(((Table134567891011121314151617343[[#This Row],[ESP]]-VLOOKUP($U$1,A:E,5,))/VLOOKUP($U$1,A:E,5,))*100)+100</f>
        <v/>
      </c>
      <c r="L236" s="77">
        <f>(((Table134567891011121314151617343[[#This Row],[EA19]]-VLOOKUP($U$1,A:F,6,))/VLOOKUP($U$1,A:F,6,))*100)+100</f>
        <v/>
      </c>
      <c r="M236" s="77">
        <f>(((Table134567891011121314151617343[[#This Row],[GBR]]-VLOOKUP($U$1,A:G,7,))/VLOOKUP($U$1,A:G,7,))*100)+100</f>
        <v/>
      </c>
      <c r="N236" s="77">
        <f>IF(VLOOKUP(A236,Database!$A:$AU,MATCH($N$1,Database!$A$1:$AU$1,0),FALSE)=0,#N/A,VLOOKUP(A236,Database!$A:$AU,MATCH($N$1,Database!$A$1:$AU$1,0),FALSE))</f>
        <v/>
      </c>
      <c r="O236" s="77">
        <f>(((Table134567891011121314151617343[[#This Row],[USA]]-VLOOKUP($U$1,A:N,14,))/VLOOKUP($U$1,A:N,14,))*100)+100</f>
        <v/>
      </c>
      <c r="P236" s="77">
        <f>IF(VLOOKUP(A236,Database!$A:$AS,MATCH($P$1,Database!$A$1:$AS$1,0),FALSE)=0,#N/A,VLOOKUP(A236,Database!$A:$AS,MATCH($P$1,Database!$A$1:$AS$1,0),FALSE))</f>
        <v/>
      </c>
      <c r="Q236" s="77">
        <f>(((Table134567891011121314151617343[[#This Row],[JPN]]-VLOOKUP($U$1,A:Q,16,))/VLOOKUP($U$1,A:Q,16,))*100)+100</f>
        <v/>
      </c>
    </row>
    <row r="237" customFormat="1" s="87">
      <c r="A237" s="21" t="n">
        <v>40026</v>
      </c>
      <c r="B237" s="77">
        <f>IF(VLOOKUP(A237,Database!$A:$AS,MATCH($B$1,Database!$A$1:$AS$1,0),FALSE)=0,#N/A,VLOOKUP(A237,Database!$A:$AS,MATCH($B$1,Database!$A$1:$AS$1,0),FALSE))</f>
        <v/>
      </c>
      <c r="C237" s="77">
        <f>IF(VLOOKUP(A237,Database!$A:$AS,MATCH($C$1,Database!$A$1:$AS$1,0),FALSE)=0,#N/A,VLOOKUP(A237,Database!$A:$AS,MATCH($C$1,Database!$A$1:$AS$1,0),FALSE))</f>
        <v/>
      </c>
      <c r="D237" s="77">
        <f>IF(VLOOKUP(A237,Database!$A:$AS,MATCH($D$1,Database!$A$1:$AS$1,0),FALSE)=0,#N/A,VLOOKUP(A237,Database!$A:$AS,MATCH($D$1,Database!$A$1:$AS$1,0),FALSE))</f>
        <v/>
      </c>
      <c r="E237" s="77">
        <f>IF(VLOOKUP(A237,Database!$A:$AS,MATCH($E$1,Database!$A$1:$AS$1,0),FALSE)=0,#N/A,VLOOKUP(A237,Database!$A:$AS,MATCH($E$1,Database!$A$1:$AS$1,0),FALSE))</f>
        <v/>
      </c>
      <c r="F237" s="77">
        <f>IF(VLOOKUP(A237,Database!$A:$AS,MATCH($F$1,Database!$A$1:$AS$1,0),FALSE)=0,#N/A,VLOOKUP(A237,Database!$A:$AS,MATCH($F$1,Database!$A$1:$AS$1,0),FALSE))</f>
        <v/>
      </c>
      <c r="G237" s="77">
        <f>IF(VLOOKUP(A237,Database!$A:$AS,MATCH($G$1,Database!$A$1:$AS$1,0),FALSE)=0,#N/A,VLOOKUP(A237,Database!$A:$AS,MATCH($G$1,Database!$A$1:$AS$1,0),FALSE))</f>
        <v/>
      </c>
      <c r="H237" s="77">
        <f>(((Table134567891011121314151617343[[#This Row],[ITA]]-VLOOKUP($U$1,A:B,2,))/VLOOKUP($U$1,A:B,2,))*100)+100</f>
        <v/>
      </c>
      <c r="I237" s="77">
        <f>(((Table134567891011121314151617343[[#This Row],[FRA]]-VLOOKUP($U$1,A:C,3,))/VLOOKUP($U$1,A:C,3,))*100)+100</f>
        <v/>
      </c>
      <c r="J237" s="77">
        <f>(((Table134567891011121314151617343[[#This Row],[DEU]]-VLOOKUP($U$1,A:D,4,))/VLOOKUP($U$1,A:D,4,))*100)+100</f>
        <v/>
      </c>
      <c r="K237" s="77">
        <f>(((Table134567891011121314151617343[[#This Row],[ESP]]-VLOOKUP($U$1,A:E,5,))/VLOOKUP($U$1,A:E,5,))*100)+100</f>
        <v/>
      </c>
      <c r="L237" s="77">
        <f>(((Table134567891011121314151617343[[#This Row],[EA19]]-VLOOKUP($U$1,A:F,6,))/VLOOKUP($U$1,A:F,6,))*100)+100</f>
        <v/>
      </c>
      <c r="M237" s="77">
        <f>(((Table134567891011121314151617343[[#This Row],[GBR]]-VLOOKUP($U$1,A:G,7,))/VLOOKUP($U$1,A:G,7,))*100)+100</f>
        <v/>
      </c>
      <c r="N237" s="77">
        <f>IF(VLOOKUP(A237,Database!$A:$AU,MATCH($N$1,Database!$A$1:$AU$1,0),FALSE)=0,#N/A,VLOOKUP(A237,Database!$A:$AU,MATCH($N$1,Database!$A$1:$AU$1,0),FALSE))</f>
        <v/>
      </c>
      <c r="O237" s="77">
        <f>(((Table134567891011121314151617343[[#This Row],[USA]]-VLOOKUP($U$1,A:N,14,))/VLOOKUP($U$1,A:N,14,))*100)+100</f>
        <v/>
      </c>
      <c r="P237" s="77">
        <f>IF(VLOOKUP(A237,Database!$A:$AS,MATCH($P$1,Database!$A$1:$AS$1,0),FALSE)=0,#N/A,VLOOKUP(A237,Database!$A:$AS,MATCH($P$1,Database!$A$1:$AS$1,0),FALSE))</f>
        <v/>
      </c>
      <c r="Q237" s="77">
        <f>(((Table134567891011121314151617343[[#This Row],[JPN]]-VLOOKUP($U$1,A:Q,16,))/VLOOKUP($U$1,A:Q,16,))*100)+100</f>
        <v/>
      </c>
    </row>
    <row r="238" customFormat="1" s="87">
      <c r="A238" s="21" t="n">
        <v>40057</v>
      </c>
      <c r="B238" s="77">
        <f>IF(VLOOKUP(A238,Database!$A:$AS,MATCH($B$1,Database!$A$1:$AS$1,0),FALSE)=0,#N/A,VLOOKUP(A238,Database!$A:$AS,MATCH($B$1,Database!$A$1:$AS$1,0),FALSE))</f>
        <v/>
      </c>
      <c r="C238" s="77">
        <f>IF(VLOOKUP(A238,Database!$A:$AS,MATCH($C$1,Database!$A$1:$AS$1,0),FALSE)=0,#N/A,VLOOKUP(A238,Database!$A:$AS,MATCH($C$1,Database!$A$1:$AS$1,0),FALSE))</f>
        <v/>
      </c>
      <c r="D238" s="77">
        <f>IF(VLOOKUP(A238,Database!$A:$AS,MATCH($D$1,Database!$A$1:$AS$1,0),FALSE)=0,#N/A,VLOOKUP(A238,Database!$A:$AS,MATCH($D$1,Database!$A$1:$AS$1,0),FALSE))</f>
        <v/>
      </c>
      <c r="E238" s="77">
        <f>IF(VLOOKUP(A238,Database!$A:$AS,MATCH($E$1,Database!$A$1:$AS$1,0),FALSE)=0,#N/A,VLOOKUP(A238,Database!$A:$AS,MATCH($E$1,Database!$A$1:$AS$1,0),FALSE))</f>
        <v/>
      </c>
      <c r="F238" s="77">
        <f>IF(VLOOKUP(A238,Database!$A:$AS,MATCH($F$1,Database!$A$1:$AS$1,0),FALSE)=0,#N/A,VLOOKUP(A238,Database!$A:$AS,MATCH($F$1,Database!$A$1:$AS$1,0),FALSE))</f>
        <v/>
      </c>
      <c r="G238" s="77">
        <f>IF(VLOOKUP(A238,Database!$A:$AS,MATCH($G$1,Database!$A$1:$AS$1,0),FALSE)=0,#N/A,VLOOKUP(A238,Database!$A:$AS,MATCH($G$1,Database!$A$1:$AS$1,0),FALSE))</f>
        <v/>
      </c>
      <c r="H238" s="77">
        <f>(((Table134567891011121314151617343[[#This Row],[ITA]]-VLOOKUP($U$1,A:B,2,))/VLOOKUP($U$1,A:B,2,))*100)+100</f>
        <v/>
      </c>
      <c r="I238" s="77">
        <f>(((Table134567891011121314151617343[[#This Row],[FRA]]-VLOOKUP($U$1,A:C,3,))/VLOOKUP($U$1,A:C,3,))*100)+100</f>
        <v/>
      </c>
      <c r="J238" s="77">
        <f>(((Table134567891011121314151617343[[#This Row],[DEU]]-VLOOKUP($U$1,A:D,4,))/VLOOKUP($U$1,A:D,4,))*100)+100</f>
        <v/>
      </c>
      <c r="K238" s="77">
        <f>(((Table134567891011121314151617343[[#This Row],[ESP]]-VLOOKUP($U$1,A:E,5,))/VLOOKUP($U$1,A:E,5,))*100)+100</f>
        <v/>
      </c>
      <c r="L238" s="77">
        <f>(((Table134567891011121314151617343[[#This Row],[EA19]]-VLOOKUP($U$1,A:F,6,))/VLOOKUP($U$1,A:F,6,))*100)+100</f>
        <v/>
      </c>
      <c r="M238" s="77">
        <f>(((Table134567891011121314151617343[[#This Row],[GBR]]-VLOOKUP($U$1,A:G,7,))/VLOOKUP($U$1,A:G,7,))*100)+100</f>
        <v/>
      </c>
      <c r="N238" s="77">
        <f>IF(VLOOKUP(A238,Database!$A:$AU,MATCH($N$1,Database!$A$1:$AU$1,0),FALSE)=0,#N/A,VLOOKUP(A238,Database!$A:$AU,MATCH($N$1,Database!$A$1:$AU$1,0),FALSE))</f>
        <v/>
      </c>
      <c r="O238" s="77">
        <f>(((Table134567891011121314151617343[[#This Row],[USA]]-VLOOKUP($U$1,A:N,14,))/VLOOKUP($U$1,A:N,14,))*100)+100</f>
        <v/>
      </c>
      <c r="P238" s="77">
        <f>IF(VLOOKUP(A238,Database!$A:$AS,MATCH($P$1,Database!$A$1:$AS$1,0),FALSE)=0,#N/A,VLOOKUP(A238,Database!$A:$AS,MATCH($P$1,Database!$A$1:$AS$1,0),FALSE))</f>
        <v/>
      </c>
      <c r="Q238" s="77">
        <f>(((Table134567891011121314151617343[[#This Row],[JPN]]-VLOOKUP($U$1,A:Q,16,))/VLOOKUP($U$1,A:Q,16,))*100)+100</f>
        <v/>
      </c>
    </row>
    <row r="239" customFormat="1" s="87">
      <c r="A239" s="21" t="n">
        <v>40087</v>
      </c>
      <c r="B239" s="77">
        <f>IF(VLOOKUP(A239,Database!$A:$AS,MATCH($B$1,Database!$A$1:$AS$1,0),FALSE)=0,#N/A,VLOOKUP(A239,Database!$A:$AS,MATCH($B$1,Database!$A$1:$AS$1,0),FALSE))</f>
        <v/>
      </c>
      <c r="C239" s="77">
        <f>IF(VLOOKUP(A239,Database!$A:$AS,MATCH($C$1,Database!$A$1:$AS$1,0),FALSE)=0,#N/A,VLOOKUP(A239,Database!$A:$AS,MATCH($C$1,Database!$A$1:$AS$1,0),FALSE))</f>
        <v/>
      </c>
      <c r="D239" s="77">
        <f>IF(VLOOKUP(A239,Database!$A:$AS,MATCH($D$1,Database!$A$1:$AS$1,0),FALSE)=0,#N/A,VLOOKUP(A239,Database!$A:$AS,MATCH($D$1,Database!$A$1:$AS$1,0),FALSE))</f>
        <v/>
      </c>
      <c r="E239" s="77">
        <f>IF(VLOOKUP(A239,Database!$A:$AS,MATCH($E$1,Database!$A$1:$AS$1,0),FALSE)=0,#N/A,VLOOKUP(A239,Database!$A:$AS,MATCH($E$1,Database!$A$1:$AS$1,0),FALSE))</f>
        <v/>
      </c>
      <c r="F239" s="77">
        <f>IF(VLOOKUP(A239,Database!$A:$AS,MATCH($F$1,Database!$A$1:$AS$1,0),FALSE)=0,#N/A,VLOOKUP(A239,Database!$A:$AS,MATCH($F$1,Database!$A$1:$AS$1,0),FALSE))</f>
        <v/>
      </c>
      <c r="G239" s="77">
        <f>IF(VLOOKUP(A239,Database!$A:$AS,MATCH($G$1,Database!$A$1:$AS$1,0),FALSE)=0,#N/A,VLOOKUP(A239,Database!$A:$AS,MATCH($G$1,Database!$A$1:$AS$1,0),FALSE))</f>
        <v/>
      </c>
      <c r="H239" s="77">
        <f>(((Table134567891011121314151617343[[#This Row],[ITA]]-VLOOKUP($U$1,A:B,2,))/VLOOKUP($U$1,A:B,2,))*100)+100</f>
        <v/>
      </c>
      <c r="I239" s="77">
        <f>(((Table134567891011121314151617343[[#This Row],[FRA]]-VLOOKUP($U$1,A:C,3,))/VLOOKUP($U$1,A:C,3,))*100)+100</f>
        <v/>
      </c>
      <c r="J239" s="77">
        <f>(((Table134567891011121314151617343[[#This Row],[DEU]]-VLOOKUP($U$1,A:D,4,))/VLOOKUP($U$1,A:D,4,))*100)+100</f>
        <v/>
      </c>
      <c r="K239" s="77">
        <f>(((Table134567891011121314151617343[[#This Row],[ESP]]-VLOOKUP($U$1,A:E,5,))/VLOOKUP($U$1,A:E,5,))*100)+100</f>
        <v/>
      </c>
      <c r="L239" s="77">
        <f>(((Table134567891011121314151617343[[#This Row],[EA19]]-VLOOKUP($U$1,A:F,6,))/VLOOKUP($U$1,A:F,6,))*100)+100</f>
        <v/>
      </c>
      <c r="M239" s="77">
        <f>(((Table134567891011121314151617343[[#This Row],[GBR]]-VLOOKUP($U$1,A:G,7,))/VLOOKUP($U$1,A:G,7,))*100)+100</f>
        <v/>
      </c>
      <c r="N239" s="77">
        <f>IF(VLOOKUP(A239,Database!$A:$AU,MATCH($N$1,Database!$A$1:$AU$1,0),FALSE)=0,#N/A,VLOOKUP(A239,Database!$A:$AU,MATCH($N$1,Database!$A$1:$AU$1,0),FALSE))</f>
        <v/>
      </c>
      <c r="O239" s="77">
        <f>(((Table134567891011121314151617343[[#This Row],[USA]]-VLOOKUP($U$1,A:N,14,))/VLOOKUP($U$1,A:N,14,))*100)+100</f>
        <v/>
      </c>
      <c r="P239" s="77">
        <f>IF(VLOOKUP(A239,Database!$A:$AS,MATCH($P$1,Database!$A$1:$AS$1,0),FALSE)=0,#N/A,VLOOKUP(A239,Database!$A:$AS,MATCH($P$1,Database!$A$1:$AS$1,0),FALSE))</f>
        <v/>
      </c>
      <c r="Q239" s="77">
        <f>(((Table134567891011121314151617343[[#This Row],[JPN]]-VLOOKUP($U$1,A:Q,16,))/VLOOKUP($U$1,A:Q,16,))*100)+100</f>
        <v/>
      </c>
    </row>
    <row r="240" customFormat="1" s="87">
      <c r="A240" s="21" t="n">
        <v>40118</v>
      </c>
      <c r="B240" s="77">
        <f>IF(VLOOKUP(A240,Database!$A:$AS,MATCH($B$1,Database!$A$1:$AS$1,0),FALSE)=0,#N/A,VLOOKUP(A240,Database!$A:$AS,MATCH($B$1,Database!$A$1:$AS$1,0),FALSE))</f>
        <v/>
      </c>
      <c r="C240" s="77">
        <f>IF(VLOOKUP(A240,Database!$A:$AS,MATCH($C$1,Database!$A$1:$AS$1,0),FALSE)=0,#N/A,VLOOKUP(A240,Database!$A:$AS,MATCH($C$1,Database!$A$1:$AS$1,0),FALSE))</f>
        <v/>
      </c>
      <c r="D240" s="77">
        <f>IF(VLOOKUP(A240,Database!$A:$AS,MATCH($D$1,Database!$A$1:$AS$1,0),FALSE)=0,#N/A,VLOOKUP(A240,Database!$A:$AS,MATCH($D$1,Database!$A$1:$AS$1,0),FALSE))</f>
        <v/>
      </c>
      <c r="E240" s="77">
        <f>IF(VLOOKUP(A240,Database!$A:$AS,MATCH($E$1,Database!$A$1:$AS$1,0),FALSE)=0,#N/A,VLOOKUP(A240,Database!$A:$AS,MATCH($E$1,Database!$A$1:$AS$1,0),FALSE))</f>
        <v/>
      </c>
      <c r="F240" s="77">
        <f>IF(VLOOKUP(A240,Database!$A:$AS,MATCH($F$1,Database!$A$1:$AS$1,0),FALSE)=0,#N/A,VLOOKUP(A240,Database!$A:$AS,MATCH($F$1,Database!$A$1:$AS$1,0),FALSE))</f>
        <v/>
      </c>
      <c r="G240" s="77">
        <f>IF(VLOOKUP(A240,Database!$A:$AS,MATCH($G$1,Database!$A$1:$AS$1,0),FALSE)=0,#N/A,VLOOKUP(A240,Database!$A:$AS,MATCH($G$1,Database!$A$1:$AS$1,0),FALSE))</f>
        <v/>
      </c>
      <c r="H240" s="77">
        <f>(((Table134567891011121314151617343[[#This Row],[ITA]]-VLOOKUP($U$1,A:B,2,))/VLOOKUP($U$1,A:B,2,))*100)+100</f>
        <v/>
      </c>
      <c r="I240" s="77">
        <f>(((Table134567891011121314151617343[[#This Row],[FRA]]-VLOOKUP($U$1,A:C,3,))/VLOOKUP($U$1,A:C,3,))*100)+100</f>
        <v/>
      </c>
      <c r="J240" s="77">
        <f>(((Table134567891011121314151617343[[#This Row],[DEU]]-VLOOKUP($U$1,A:D,4,))/VLOOKUP($U$1,A:D,4,))*100)+100</f>
        <v/>
      </c>
      <c r="K240" s="77">
        <f>(((Table134567891011121314151617343[[#This Row],[ESP]]-VLOOKUP($U$1,A:E,5,))/VLOOKUP($U$1,A:E,5,))*100)+100</f>
        <v/>
      </c>
      <c r="L240" s="77">
        <f>(((Table134567891011121314151617343[[#This Row],[EA19]]-VLOOKUP($U$1,A:F,6,))/VLOOKUP($U$1,A:F,6,))*100)+100</f>
        <v/>
      </c>
      <c r="M240" s="77">
        <f>(((Table134567891011121314151617343[[#This Row],[GBR]]-VLOOKUP($U$1,A:G,7,))/VLOOKUP($U$1,A:G,7,))*100)+100</f>
        <v/>
      </c>
      <c r="N240" s="77">
        <f>IF(VLOOKUP(A240,Database!$A:$AU,MATCH($N$1,Database!$A$1:$AU$1,0),FALSE)=0,#N/A,VLOOKUP(A240,Database!$A:$AU,MATCH($N$1,Database!$A$1:$AU$1,0),FALSE))</f>
        <v/>
      </c>
      <c r="O240" s="77">
        <f>(((Table134567891011121314151617343[[#This Row],[USA]]-VLOOKUP($U$1,A:N,14,))/VLOOKUP($U$1,A:N,14,))*100)+100</f>
        <v/>
      </c>
      <c r="P240" s="77">
        <f>IF(VLOOKUP(A240,Database!$A:$AS,MATCH($P$1,Database!$A$1:$AS$1,0),FALSE)=0,#N/A,VLOOKUP(A240,Database!$A:$AS,MATCH($P$1,Database!$A$1:$AS$1,0),FALSE))</f>
        <v/>
      </c>
      <c r="Q240" s="77">
        <f>(((Table134567891011121314151617343[[#This Row],[JPN]]-VLOOKUP($U$1,A:Q,16,))/VLOOKUP($U$1,A:Q,16,))*100)+100</f>
        <v/>
      </c>
    </row>
    <row r="241" customFormat="1" s="87">
      <c r="A241" s="21" t="n">
        <v>40148</v>
      </c>
      <c r="B241" s="77">
        <f>IF(VLOOKUP(A241,Database!$A:$AS,MATCH($B$1,Database!$A$1:$AS$1,0),FALSE)=0,#N/A,VLOOKUP(A241,Database!$A:$AS,MATCH($B$1,Database!$A$1:$AS$1,0),FALSE))</f>
        <v/>
      </c>
      <c r="C241" s="77">
        <f>IF(VLOOKUP(A241,Database!$A:$AS,MATCH($C$1,Database!$A$1:$AS$1,0),FALSE)=0,#N/A,VLOOKUP(A241,Database!$A:$AS,MATCH($C$1,Database!$A$1:$AS$1,0),FALSE))</f>
        <v/>
      </c>
      <c r="D241" s="77">
        <f>IF(VLOOKUP(A241,Database!$A:$AS,MATCH($D$1,Database!$A$1:$AS$1,0),FALSE)=0,#N/A,VLOOKUP(A241,Database!$A:$AS,MATCH($D$1,Database!$A$1:$AS$1,0),FALSE))</f>
        <v/>
      </c>
      <c r="E241" s="77">
        <f>IF(VLOOKUP(A241,Database!$A:$AS,MATCH($E$1,Database!$A$1:$AS$1,0),FALSE)=0,#N/A,VLOOKUP(A241,Database!$A:$AS,MATCH($E$1,Database!$A$1:$AS$1,0),FALSE))</f>
        <v/>
      </c>
      <c r="F241" s="77">
        <f>IF(VLOOKUP(A241,Database!$A:$AS,MATCH($F$1,Database!$A$1:$AS$1,0),FALSE)=0,#N/A,VLOOKUP(A241,Database!$A:$AS,MATCH($F$1,Database!$A$1:$AS$1,0),FALSE))</f>
        <v/>
      </c>
      <c r="G241" s="77">
        <f>IF(VLOOKUP(A241,Database!$A:$AS,MATCH($G$1,Database!$A$1:$AS$1,0),FALSE)=0,#N/A,VLOOKUP(A241,Database!$A:$AS,MATCH($G$1,Database!$A$1:$AS$1,0),FALSE))</f>
        <v/>
      </c>
      <c r="H241" s="77">
        <f>(((Table134567891011121314151617343[[#This Row],[ITA]]-VLOOKUP($U$1,A:B,2,))/VLOOKUP($U$1,A:B,2,))*100)+100</f>
        <v/>
      </c>
      <c r="I241" s="77">
        <f>(((Table134567891011121314151617343[[#This Row],[FRA]]-VLOOKUP($U$1,A:C,3,))/VLOOKUP($U$1,A:C,3,))*100)+100</f>
        <v/>
      </c>
      <c r="J241" s="77">
        <f>(((Table134567891011121314151617343[[#This Row],[DEU]]-VLOOKUP($U$1,A:D,4,))/VLOOKUP($U$1,A:D,4,))*100)+100</f>
        <v/>
      </c>
      <c r="K241" s="77">
        <f>(((Table134567891011121314151617343[[#This Row],[ESP]]-VLOOKUP($U$1,A:E,5,))/VLOOKUP($U$1,A:E,5,))*100)+100</f>
        <v/>
      </c>
      <c r="L241" s="77">
        <f>(((Table134567891011121314151617343[[#This Row],[EA19]]-VLOOKUP($U$1,A:F,6,))/VLOOKUP($U$1,A:F,6,))*100)+100</f>
        <v/>
      </c>
      <c r="M241" s="77">
        <f>(((Table134567891011121314151617343[[#This Row],[GBR]]-VLOOKUP($U$1,A:G,7,))/VLOOKUP($U$1,A:G,7,))*100)+100</f>
        <v/>
      </c>
      <c r="N241" s="77">
        <f>IF(VLOOKUP(A241,Database!$A:$AU,MATCH($N$1,Database!$A$1:$AU$1,0),FALSE)=0,#N/A,VLOOKUP(A241,Database!$A:$AU,MATCH($N$1,Database!$A$1:$AU$1,0),FALSE))</f>
        <v/>
      </c>
      <c r="O241" s="77">
        <f>(((Table134567891011121314151617343[[#This Row],[USA]]-VLOOKUP($U$1,A:N,14,))/VLOOKUP($U$1,A:N,14,))*100)+100</f>
        <v/>
      </c>
      <c r="P241" s="77">
        <f>IF(VLOOKUP(A241,Database!$A:$AS,MATCH($P$1,Database!$A$1:$AS$1,0),FALSE)=0,#N/A,VLOOKUP(A241,Database!$A:$AS,MATCH($P$1,Database!$A$1:$AS$1,0),FALSE))</f>
        <v/>
      </c>
      <c r="Q241" s="77">
        <f>(((Table134567891011121314151617343[[#This Row],[JPN]]-VLOOKUP($U$1,A:Q,16,))/VLOOKUP($U$1,A:Q,16,))*100)+100</f>
        <v/>
      </c>
    </row>
    <row r="242" customFormat="1" s="87">
      <c r="A242" s="21" t="n">
        <v>40179</v>
      </c>
      <c r="B242" s="77">
        <f>IF(VLOOKUP(A242,Database!$A:$AS,MATCH($B$1,Database!$A$1:$AS$1,0),FALSE)=0,#N/A,VLOOKUP(A242,Database!$A:$AS,MATCH($B$1,Database!$A$1:$AS$1,0),FALSE))</f>
        <v/>
      </c>
      <c r="C242" s="77">
        <f>IF(VLOOKUP(A242,Database!$A:$AS,MATCH($C$1,Database!$A$1:$AS$1,0),FALSE)=0,#N/A,VLOOKUP(A242,Database!$A:$AS,MATCH($C$1,Database!$A$1:$AS$1,0),FALSE))</f>
        <v/>
      </c>
      <c r="D242" s="77">
        <f>IF(VLOOKUP(A242,Database!$A:$AS,MATCH($D$1,Database!$A$1:$AS$1,0),FALSE)=0,#N/A,VLOOKUP(A242,Database!$A:$AS,MATCH($D$1,Database!$A$1:$AS$1,0),FALSE))</f>
        <v/>
      </c>
      <c r="E242" s="77">
        <f>IF(VLOOKUP(A242,Database!$A:$AS,MATCH($E$1,Database!$A$1:$AS$1,0),FALSE)=0,#N/A,VLOOKUP(A242,Database!$A:$AS,MATCH($E$1,Database!$A$1:$AS$1,0),FALSE))</f>
        <v/>
      </c>
      <c r="F242" s="77">
        <f>IF(VLOOKUP(A242,Database!$A:$AS,MATCH($F$1,Database!$A$1:$AS$1,0),FALSE)=0,#N/A,VLOOKUP(A242,Database!$A:$AS,MATCH($F$1,Database!$A$1:$AS$1,0),FALSE))</f>
        <v/>
      </c>
      <c r="G242" s="77">
        <f>IF(VLOOKUP(A242,Database!$A:$AS,MATCH($G$1,Database!$A$1:$AS$1,0),FALSE)=0,#N/A,VLOOKUP(A242,Database!$A:$AS,MATCH($G$1,Database!$A$1:$AS$1,0),FALSE))</f>
        <v/>
      </c>
      <c r="H242" s="77">
        <f>(((Table134567891011121314151617343[[#This Row],[ITA]]-VLOOKUP($U$1,A:B,2,))/VLOOKUP($U$1,A:B,2,))*100)+100</f>
        <v/>
      </c>
      <c r="I242" s="77">
        <f>(((Table134567891011121314151617343[[#This Row],[FRA]]-VLOOKUP($U$1,A:C,3,))/VLOOKUP($U$1,A:C,3,))*100)+100</f>
        <v/>
      </c>
      <c r="J242" s="77">
        <f>(((Table134567891011121314151617343[[#This Row],[DEU]]-VLOOKUP($U$1,A:D,4,))/VLOOKUP($U$1,A:D,4,))*100)+100</f>
        <v/>
      </c>
      <c r="K242" s="77">
        <f>(((Table134567891011121314151617343[[#This Row],[ESP]]-VLOOKUP($U$1,A:E,5,))/VLOOKUP($U$1,A:E,5,))*100)+100</f>
        <v/>
      </c>
      <c r="L242" s="77">
        <f>(((Table134567891011121314151617343[[#This Row],[EA19]]-VLOOKUP($U$1,A:F,6,))/VLOOKUP($U$1,A:F,6,))*100)+100</f>
        <v/>
      </c>
      <c r="M242" s="77">
        <f>(((Table134567891011121314151617343[[#This Row],[GBR]]-VLOOKUP($U$1,A:G,7,))/VLOOKUP($U$1,A:G,7,))*100)+100</f>
        <v/>
      </c>
      <c r="N242" s="77">
        <f>IF(VLOOKUP(A242,Database!$A:$AU,MATCH($N$1,Database!$A$1:$AU$1,0),FALSE)=0,#N/A,VLOOKUP(A242,Database!$A:$AU,MATCH($N$1,Database!$A$1:$AU$1,0),FALSE))</f>
        <v/>
      </c>
      <c r="O242" s="77">
        <f>(((Table134567891011121314151617343[[#This Row],[USA]]-VLOOKUP($U$1,A:N,14,))/VLOOKUP($U$1,A:N,14,))*100)+100</f>
        <v/>
      </c>
      <c r="P242" s="77">
        <f>IF(VLOOKUP(A242,Database!$A:$AS,MATCH($P$1,Database!$A$1:$AS$1,0),FALSE)=0,#N/A,VLOOKUP(A242,Database!$A:$AS,MATCH($P$1,Database!$A$1:$AS$1,0),FALSE))</f>
        <v/>
      </c>
      <c r="Q242" s="77">
        <f>(((Table134567891011121314151617343[[#This Row],[JPN]]-VLOOKUP($U$1,A:Q,16,))/VLOOKUP($U$1,A:Q,16,))*100)+100</f>
        <v/>
      </c>
    </row>
    <row r="243" customFormat="1" s="87">
      <c r="A243" s="21" t="n">
        <v>40210</v>
      </c>
      <c r="B243" s="77">
        <f>IF(VLOOKUP(A243,Database!$A:$AS,MATCH($B$1,Database!$A$1:$AS$1,0),FALSE)=0,#N/A,VLOOKUP(A243,Database!$A:$AS,MATCH($B$1,Database!$A$1:$AS$1,0),FALSE))</f>
        <v/>
      </c>
      <c r="C243" s="77">
        <f>IF(VLOOKUP(A243,Database!$A:$AS,MATCH($C$1,Database!$A$1:$AS$1,0),FALSE)=0,#N/A,VLOOKUP(A243,Database!$A:$AS,MATCH($C$1,Database!$A$1:$AS$1,0),FALSE))</f>
        <v/>
      </c>
      <c r="D243" s="77">
        <f>IF(VLOOKUP(A243,Database!$A:$AS,MATCH($D$1,Database!$A$1:$AS$1,0),FALSE)=0,#N/A,VLOOKUP(A243,Database!$A:$AS,MATCH($D$1,Database!$A$1:$AS$1,0),FALSE))</f>
        <v/>
      </c>
      <c r="E243" s="77">
        <f>IF(VLOOKUP(A243,Database!$A:$AS,MATCH($E$1,Database!$A$1:$AS$1,0),FALSE)=0,#N/A,VLOOKUP(A243,Database!$A:$AS,MATCH($E$1,Database!$A$1:$AS$1,0),FALSE))</f>
        <v/>
      </c>
      <c r="F243" s="77">
        <f>IF(VLOOKUP(A243,Database!$A:$AS,MATCH($F$1,Database!$A$1:$AS$1,0),FALSE)=0,#N/A,VLOOKUP(A243,Database!$A:$AS,MATCH($F$1,Database!$A$1:$AS$1,0),FALSE))</f>
        <v/>
      </c>
      <c r="G243" s="77">
        <f>IF(VLOOKUP(A243,Database!$A:$AS,MATCH($G$1,Database!$A$1:$AS$1,0),FALSE)=0,#N/A,VLOOKUP(A243,Database!$A:$AS,MATCH($G$1,Database!$A$1:$AS$1,0),FALSE))</f>
        <v/>
      </c>
      <c r="H243" s="77">
        <f>(((Table134567891011121314151617343[[#This Row],[ITA]]-VLOOKUP($U$1,A:B,2,))/VLOOKUP($U$1,A:B,2,))*100)+100</f>
        <v/>
      </c>
      <c r="I243" s="77">
        <f>(((Table134567891011121314151617343[[#This Row],[FRA]]-VLOOKUP($U$1,A:C,3,))/VLOOKUP($U$1,A:C,3,))*100)+100</f>
        <v/>
      </c>
      <c r="J243" s="77">
        <f>(((Table134567891011121314151617343[[#This Row],[DEU]]-VLOOKUP($U$1,A:D,4,))/VLOOKUP($U$1,A:D,4,))*100)+100</f>
        <v/>
      </c>
      <c r="K243" s="77">
        <f>(((Table134567891011121314151617343[[#This Row],[ESP]]-VLOOKUP($U$1,A:E,5,))/VLOOKUP($U$1,A:E,5,))*100)+100</f>
        <v/>
      </c>
      <c r="L243" s="77">
        <f>(((Table134567891011121314151617343[[#This Row],[EA19]]-VLOOKUP($U$1,A:F,6,))/VLOOKUP($U$1,A:F,6,))*100)+100</f>
        <v/>
      </c>
      <c r="M243" s="77">
        <f>(((Table134567891011121314151617343[[#This Row],[GBR]]-VLOOKUP($U$1,A:G,7,))/VLOOKUP($U$1,A:G,7,))*100)+100</f>
        <v/>
      </c>
      <c r="N243" s="77">
        <f>IF(VLOOKUP(A243,Database!$A:$AU,MATCH($N$1,Database!$A$1:$AU$1,0),FALSE)=0,#N/A,VLOOKUP(A243,Database!$A:$AU,MATCH($N$1,Database!$A$1:$AU$1,0),FALSE))</f>
        <v/>
      </c>
      <c r="O243" s="77">
        <f>(((Table134567891011121314151617343[[#This Row],[USA]]-VLOOKUP($U$1,A:N,14,))/VLOOKUP($U$1,A:N,14,))*100)+100</f>
        <v/>
      </c>
      <c r="P243" s="77">
        <f>IF(VLOOKUP(A243,Database!$A:$AS,MATCH($P$1,Database!$A$1:$AS$1,0),FALSE)=0,#N/A,VLOOKUP(A243,Database!$A:$AS,MATCH($P$1,Database!$A$1:$AS$1,0),FALSE))</f>
        <v/>
      </c>
      <c r="Q243" s="77">
        <f>(((Table134567891011121314151617343[[#This Row],[JPN]]-VLOOKUP($U$1,A:Q,16,))/VLOOKUP($U$1,A:Q,16,))*100)+100</f>
        <v/>
      </c>
    </row>
    <row r="244" customFormat="1" s="87">
      <c r="A244" s="21" t="n">
        <v>40238</v>
      </c>
      <c r="B244" s="77">
        <f>IF(VLOOKUP(A244,Database!$A:$AS,MATCH($B$1,Database!$A$1:$AS$1,0),FALSE)=0,#N/A,VLOOKUP(A244,Database!$A:$AS,MATCH($B$1,Database!$A$1:$AS$1,0),FALSE))</f>
        <v/>
      </c>
      <c r="C244" s="77">
        <f>IF(VLOOKUP(A244,Database!$A:$AS,MATCH($C$1,Database!$A$1:$AS$1,0),FALSE)=0,#N/A,VLOOKUP(A244,Database!$A:$AS,MATCH($C$1,Database!$A$1:$AS$1,0),FALSE))</f>
        <v/>
      </c>
      <c r="D244" s="77">
        <f>IF(VLOOKUP(A244,Database!$A:$AS,MATCH($D$1,Database!$A$1:$AS$1,0),FALSE)=0,#N/A,VLOOKUP(A244,Database!$A:$AS,MATCH($D$1,Database!$A$1:$AS$1,0),FALSE))</f>
        <v/>
      </c>
      <c r="E244" s="77">
        <f>IF(VLOOKUP(A244,Database!$A:$AS,MATCH($E$1,Database!$A$1:$AS$1,0),FALSE)=0,#N/A,VLOOKUP(A244,Database!$A:$AS,MATCH($E$1,Database!$A$1:$AS$1,0),FALSE))</f>
        <v/>
      </c>
      <c r="F244" s="77">
        <f>IF(VLOOKUP(A244,Database!$A:$AS,MATCH($F$1,Database!$A$1:$AS$1,0),FALSE)=0,#N/A,VLOOKUP(A244,Database!$A:$AS,MATCH($F$1,Database!$A$1:$AS$1,0),FALSE))</f>
        <v/>
      </c>
      <c r="G244" s="77">
        <f>IF(VLOOKUP(A244,Database!$A:$AS,MATCH($G$1,Database!$A$1:$AS$1,0),FALSE)=0,#N/A,VLOOKUP(A244,Database!$A:$AS,MATCH($G$1,Database!$A$1:$AS$1,0),FALSE))</f>
        <v/>
      </c>
      <c r="H244" s="77">
        <f>(((Table134567891011121314151617343[[#This Row],[ITA]]-VLOOKUP($U$1,A:B,2,))/VLOOKUP($U$1,A:B,2,))*100)+100</f>
        <v/>
      </c>
      <c r="I244" s="77">
        <f>(((Table134567891011121314151617343[[#This Row],[FRA]]-VLOOKUP($U$1,A:C,3,))/VLOOKUP($U$1,A:C,3,))*100)+100</f>
        <v/>
      </c>
      <c r="J244" s="77">
        <f>(((Table134567891011121314151617343[[#This Row],[DEU]]-VLOOKUP($U$1,A:D,4,))/VLOOKUP($U$1,A:D,4,))*100)+100</f>
        <v/>
      </c>
      <c r="K244" s="77">
        <f>(((Table134567891011121314151617343[[#This Row],[ESP]]-VLOOKUP($U$1,A:E,5,))/VLOOKUP($U$1,A:E,5,))*100)+100</f>
        <v/>
      </c>
      <c r="L244" s="77">
        <f>(((Table134567891011121314151617343[[#This Row],[EA19]]-VLOOKUP($U$1,A:F,6,))/VLOOKUP($U$1,A:F,6,))*100)+100</f>
        <v/>
      </c>
      <c r="M244" s="77">
        <f>(((Table134567891011121314151617343[[#This Row],[GBR]]-VLOOKUP($U$1,A:G,7,))/VLOOKUP($U$1,A:G,7,))*100)+100</f>
        <v/>
      </c>
      <c r="N244" s="77">
        <f>IF(VLOOKUP(A244,Database!$A:$AU,MATCH($N$1,Database!$A$1:$AU$1,0),FALSE)=0,#N/A,VLOOKUP(A244,Database!$A:$AU,MATCH($N$1,Database!$A$1:$AU$1,0),FALSE))</f>
        <v/>
      </c>
      <c r="O244" s="77">
        <f>(((Table134567891011121314151617343[[#This Row],[USA]]-VLOOKUP($U$1,A:N,14,))/VLOOKUP($U$1,A:N,14,))*100)+100</f>
        <v/>
      </c>
      <c r="P244" s="77">
        <f>IF(VLOOKUP(A244,Database!$A:$AS,MATCH($P$1,Database!$A$1:$AS$1,0),FALSE)=0,#N/A,VLOOKUP(A244,Database!$A:$AS,MATCH($P$1,Database!$A$1:$AS$1,0),FALSE))</f>
        <v/>
      </c>
      <c r="Q244" s="77">
        <f>(((Table134567891011121314151617343[[#This Row],[JPN]]-VLOOKUP($U$1,A:Q,16,))/VLOOKUP($U$1,A:Q,16,))*100)+100</f>
        <v/>
      </c>
    </row>
    <row r="245" customFormat="1" s="87">
      <c r="A245" s="21" t="n">
        <v>40269</v>
      </c>
      <c r="B245" s="77">
        <f>IF(VLOOKUP(A245,Database!$A:$AS,MATCH($B$1,Database!$A$1:$AS$1,0),FALSE)=0,#N/A,VLOOKUP(A245,Database!$A:$AS,MATCH($B$1,Database!$A$1:$AS$1,0),FALSE))</f>
        <v/>
      </c>
      <c r="C245" s="77">
        <f>IF(VLOOKUP(A245,Database!$A:$AS,MATCH($C$1,Database!$A$1:$AS$1,0),FALSE)=0,#N/A,VLOOKUP(A245,Database!$A:$AS,MATCH($C$1,Database!$A$1:$AS$1,0),FALSE))</f>
        <v/>
      </c>
      <c r="D245" s="77">
        <f>IF(VLOOKUP(A245,Database!$A:$AS,MATCH($D$1,Database!$A$1:$AS$1,0),FALSE)=0,#N/A,VLOOKUP(A245,Database!$A:$AS,MATCH($D$1,Database!$A$1:$AS$1,0),FALSE))</f>
        <v/>
      </c>
      <c r="E245" s="77">
        <f>IF(VLOOKUP(A245,Database!$A:$AS,MATCH($E$1,Database!$A$1:$AS$1,0),FALSE)=0,#N/A,VLOOKUP(A245,Database!$A:$AS,MATCH($E$1,Database!$A$1:$AS$1,0),FALSE))</f>
        <v/>
      </c>
      <c r="F245" s="77">
        <f>IF(VLOOKUP(A245,Database!$A:$AS,MATCH($F$1,Database!$A$1:$AS$1,0),FALSE)=0,#N/A,VLOOKUP(A245,Database!$A:$AS,MATCH($F$1,Database!$A$1:$AS$1,0),FALSE))</f>
        <v/>
      </c>
      <c r="G245" s="77">
        <f>IF(VLOOKUP(A245,Database!$A:$AS,MATCH($G$1,Database!$A$1:$AS$1,0),FALSE)=0,#N/A,VLOOKUP(A245,Database!$A:$AS,MATCH($G$1,Database!$A$1:$AS$1,0),FALSE))</f>
        <v/>
      </c>
      <c r="H245" s="77">
        <f>(((Table134567891011121314151617343[[#This Row],[ITA]]-VLOOKUP($U$1,A:B,2,))/VLOOKUP($U$1,A:B,2,))*100)+100</f>
        <v/>
      </c>
      <c r="I245" s="77">
        <f>(((Table134567891011121314151617343[[#This Row],[FRA]]-VLOOKUP($U$1,A:C,3,))/VLOOKUP($U$1,A:C,3,))*100)+100</f>
        <v/>
      </c>
      <c r="J245" s="77">
        <f>(((Table134567891011121314151617343[[#This Row],[DEU]]-VLOOKUP($U$1,A:D,4,))/VLOOKUP($U$1,A:D,4,))*100)+100</f>
        <v/>
      </c>
      <c r="K245" s="77">
        <f>(((Table134567891011121314151617343[[#This Row],[ESP]]-VLOOKUP($U$1,A:E,5,))/VLOOKUP($U$1,A:E,5,))*100)+100</f>
        <v/>
      </c>
      <c r="L245" s="77">
        <f>(((Table134567891011121314151617343[[#This Row],[EA19]]-VLOOKUP($U$1,A:F,6,))/VLOOKUP($U$1,A:F,6,))*100)+100</f>
        <v/>
      </c>
      <c r="M245" s="77">
        <f>(((Table134567891011121314151617343[[#This Row],[GBR]]-VLOOKUP($U$1,A:G,7,))/VLOOKUP($U$1,A:G,7,))*100)+100</f>
        <v/>
      </c>
      <c r="N245" s="77">
        <f>IF(VLOOKUP(A245,Database!$A:$AU,MATCH($N$1,Database!$A$1:$AU$1,0),FALSE)=0,#N/A,VLOOKUP(A245,Database!$A:$AU,MATCH($N$1,Database!$A$1:$AU$1,0),FALSE))</f>
        <v/>
      </c>
      <c r="O245" s="77">
        <f>(((Table134567891011121314151617343[[#This Row],[USA]]-VLOOKUP($U$1,A:N,14,))/VLOOKUP($U$1,A:N,14,))*100)+100</f>
        <v/>
      </c>
      <c r="P245" s="77">
        <f>IF(VLOOKUP(A245,Database!$A:$AS,MATCH($P$1,Database!$A$1:$AS$1,0),FALSE)=0,#N/A,VLOOKUP(A245,Database!$A:$AS,MATCH($P$1,Database!$A$1:$AS$1,0),FALSE))</f>
        <v/>
      </c>
      <c r="Q245" s="77">
        <f>(((Table134567891011121314151617343[[#This Row],[JPN]]-VLOOKUP($U$1,A:Q,16,))/VLOOKUP($U$1,A:Q,16,))*100)+100</f>
        <v/>
      </c>
    </row>
    <row r="246" customFormat="1" s="87">
      <c r="A246" s="21" t="n">
        <v>40299</v>
      </c>
      <c r="B246" s="77">
        <f>IF(VLOOKUP(A246,Database!$A:$AS,MATCH($B$1,Database!$A$1:$AS$1,0),FALSE)=0,#N/A,VLOOKUP(A246,Database!$A:$AS,MATCH($B$1,Database!$A$1:$AS$1,0),FALSE))</f>
        <v/>
      </c>
      <c r="C246" s="77">
        <f>IF(VLOOKUP(A246,Database!$A:$AS,MATCH($C$1,Database!$A$1:$AS$1,0),FALSE)=0,#N/A,VLOOKUP(A246,Database!$A:$AS,MATCH($C$1,Database!$A$1:$AS$1,0),FALSE))</f>
        <v/>
      </c>
      <c r="D246" s="77">
        <f>IF(VLOOKUP(A246,Database!$A:$AS,MATCH($D$1,Database!$A$1:$AS$1,0),FALSE)=0,#N/A,VLOOKUP(A246,Database!$A:$AS,MATCH($D$1,Database!$A$1:$AS$1,0),FALSE))</f>
        <v/>
      </c>
      <c r="E246" s="77">
        <f>IF(VLOOKUP(A246,Database!$A:$AS,MATCH($E$1,Database!$A$1:$AS$1,0),FALSE)=0,#N/A,VLOOKUP(A246,Database!$A:$AS,MATCH($E$1,Database!$A$1:$AS$1,0),FALSE))</f>
        <v/>
      </c>
      <c r="F246" s="77">
        <f>IF(VLOOKUP(A246,Database!$A:$AS,MATCH($F$1,Database!$A$1:$AS$1,0),FALSE)=0,#N/A,VLOOKUP(A246,Database!$A:$AS,MATCH($F$1,Database!$A$1:$AS$1,0),FALSE))</f>
        <v/>
      </c>
      <c r="G246" s="77">
        <f>IF(VLOOKUP(A246,Database!$A:$AS,MATCH($G$1,Database!$A$1:$AS$1,0),FALSE)=0,#N/A,VLOOKUP(A246,Database!$A:$AS,MATCH($G$1,Database!$A$1:$AS$1,0),FALSE))</f>
        <v/>
      </c>
      <c r="H246" s="77">
        <f>(((Table134567891011121314151617343[[#This Row],[ITA]]-VLOOKUP($U$1,A:B,2,))/VLOOKUP($U$1,A:B,2,))*100)+100</f>
        <v/>
      </c>
      <c r="I246" s="77">
        <f>(((Table134567891011121314151617343[[#This Row],[FRA]]-VLOOKUP($U$1,A:C,3,))/VLOOKUP($U$1,A:C,3,))*100)+100</f>
        <v/>
      </c>
      <c r="J246" s="77">
        <f>(((Table134567891011121314151617343[[#This Row],[DEU]]-VLOOKUP($U$1,A:D,4,))/VLOOKUP($U$1,A:D,4,))*100)+100</f>
        <v/>
      </c>
      <c r="K246" s="77">
        <f>(((Table134567891011121314151617343[[#This Row],[ESP]]-VLOOKUP($U$1,A:E,5,))/VLOOKUP($U$1,A:E,5,))*100)+100</f>
        <v/>
      </c>
      <c r="L246" s="77">
        <f>(((Table134567891011121314151617343[[#This Row],[EA19]]-VLOOKUP($U$1,A:F,6,))/VLOOKUP($U$1,A:F,6,))*100)+100</f>
        <v/>
      </c>
      <c r="M246" s="77">
        <f>(((Table134567891011121314151617343[[#This Row],[GBR]]-VLOOKUP($U$1,A:G,7,))/VLOOKUP($U$1,A:G,7,))*100)+100</f>
        <v/>
      </c>
      <c r="N246" s="77">
        <f>IF(VLOOKUP(A246,Database!$A:$AU,MATCH($N$1,Database!$A$1:$AU$1,0),FALSE)=0,#N/A,VLOOKUP(A246,Database!$A:$AU,MATCH($N$1,Database!$A$1:$AU$1,0),FALSE))</f>
        <v/>
      </c>
      <c r="O246" s="77">
        <f>(((Table134567891011121314151617343[[#This Row],[USA]]-VLOOKUP($U$1,A:N,14,))/VLOOKUP($U$1,A:N,14,))*100)+100</f>
        <v/>
      </c>
      <c r="P246" s="77">
        <f>IF(VLOOKUP(A246,Database!$A:$AS,MATCH($P$1,Database!$A$1:$AS$1,0),FALSE)=0,#N/A,VLOOKUP(A246,Database!$A:$AS,MATCH($P$1,Database!$A$1:$AS$1,0),FALSE))</f>
        <v/>
      </c>
      <c r="Q246" s="77">
        <f>(((Table134567891011121314151617343[[#This Row],[JPN]]-VLOOKUP($U$1,A:Q,16,))/VLOOKUP($U$1,A:Q,16,))*100)+100</f>
        <v/>
      </c>
    </row>
    <row r="247" customFormat="1" s="87">
      <c r="A247" s="21" t="n">
        <v>40330</v>
      </c>
      <c r="B247" s="77">
        <f>IF(VLOOKUP(A247,Database!$A:$AS,MATCH($B$1,Database!$A$1:$AS$1,0),FALSE)=0,#N/A,VLOOKUP(A247,Database!$A:$AS,MATCH($B$1,Database!$A$1:$AS$1,0),FALSE))</f>
        <v/>
      </c>
      <c r="C247" s="77">
        <f>IF(VLOOKUP(A247,Database!$A:$AS,MATCH($C$1,Database!$A$1:$AS$1,0),FALSE)=0,#N/A,VLOOKUP(A247,Database!$A:$AS,MATCH($C$1,Database!$A$1:$AS$1,0),FALSE))</f>
        <v/>
      </c>
      <c r="D247" s="77">
        <f>IF(VLOOKUP(A247,Database!$A:$AS,MATCH($D$1,Database!$A$1:$AS$1,0),FALSE)=0,#N/A,VLOOKUP(A247,Database!$A:$AS,MATCH($D$1,Database!$A$1:$AS$1,0),FALSE))</f>
        <v/>
      </c>
      <c r="E247" s="77">
        <f>IF(VLOOKUP(A247,Database!$A:$AS,MATCH($E$1,Database!$A$1:$AS$1,0),FALSE)=0,#N/A,VLOOKUP(A247,Database!$A:$AS,MATCH($E$1,Database!$A$1:$AS$1,0),FALSE))</f>
        <v/>
      </c>
      <c r="F247" s="77">
        <f>IF(VLOOKUP(A247,Database!$A:$AS,MATCH($F$1,Database!$A$1:$AS$1,0),FALSE)=0,#N/A,VLOOKUP(A247,Database!$A:$AS,MATCH($F$1,Database!$A$1:$AS$1,0),FALSE))</f>
        <v/>
      </c>
      <c r="G247" s="77">
        <f>IF(VLOOKUP(A247,Database!$A:$AS,MATCH($G$1,Database!$A$1:$AS$1,0),FALSE)=0,#N/A,VLOOKUP(A247,Database!$A:$AS,MATCH($G$1,Database!$A$1:$AS$1,0),FALSE))</f>
        <v/>
      </c>
      <c r="H247" s="77">
        <f>(((Table134567891011121314151617343[[#This Row],[ITA]]-VLOOKUP($U$1,A:B,2,))/VLOOKUP($U$1,A:B,2,))*100)+100</f>
        <v/>
      </c>
      <c r="I247" s="77">
        <f>(((Table134567891011121314151617343[[#This Row],[FRA]]-VLOOKUP($U$1,A:C,3,))/VLOOKUP($U$1,A:C,3,))*100)+100</f>
        <v/>
      </c>
      <c r="J247" s="77">
        <f>(((Table134567891011121314151617343[[#This Row],[DEU]]-VLOOKUP($U$1,A:D,4,))/VLOOKUP($U$1,A:D,4,))*100)+100</f>
        <v/>
      </c>
      <c r="K247" s="77">
        <f>(((Table134567891011121314151617343[[#This Row],[ESP]]-VLOOKUP($U$1,A:E,5,))/VLOOKUP($U$1,A:E,5,))*100)+100</f>
        <v/>
      </c>
      <c r="L247" s="77">
        <f>(((Table134567891011121314151617343[[#This Row],[EA19]]-VLOOKUP($U$1,A:F,6,))/VLOOKUP($U$1,A:F,6,))*100)+100</f>
        <v/>
      </c>
      <c r="M247" s="77">
        <f>(((Table134567891011121314151617343[[#This Row],[GBR]]-VLOOKUP($U$1,A:G,7,))/VLOOKUP($U$1,A:G,7,))*100)+100</f>
        <v/>
      </c>
      <c r="N247" s="77">
        <f>IF(VLOOKUP(A247,Database!$A:$AU,MATCH($N$1,Database!$A$1:$AU$1,0),FALSE)=0,#N/A,VLOOKUP(A247,Database!$A:$AU,MATCH($N$1,Database!$A$1:$AU$1,0),FALSE))</f>
        <v/>
      </c>
      <c r="O247" s="77">
        <f>(((Table134567891011121314151617343[[#This Row],[USA]]-VLOOKUP($U$1,A:N,14,))/VLOOKUP($U$1,A:N,14,))*100)+100</f>
        <v/>
      </c>
      <c r="P247" s="77">
        <f>IF(VLOOKUP(A247,Database!$A:$AS,MATCH($P$1,Database!$A$1:$AS$1,0),FALSE)=0,#N/A,VLOOKUP(A247,Database!$A:$AS,MATCH($P$1,Database!$A$1:$AS$1,0),FALSE))</f>
        <v/>
      </c>
      <c r="Q247" s="77">
        <f>(((Table134567891011121314151617343[[#This Row],[JPN]]-VLOOKUP($U$1,A:Q,16,))/VLOOKUP($U$1,A:Q,16,))*100)+100</f>
        <v/>
      </c>
    </row>
    <row r="248" customFormat="1" s="87">
      <c r="A248" s="21" t="n">
        <v>40360</v>
      </c>
      <c r="B248" s="77">
        <f>IF(VLOOKUP(A248,Database!$A:$AS,MATCH($B$1,Database!$A$1:$AS$1,0),FALSE)=0,#N/A,VLOOKUP(A248,Database!$A:$AS,MATCH($B$1,Database!$A$1:$AS$1,0),FALSE))</f>
        <v/>
      </c>
      <c r="C248" s="77">
        <f>IF(VLOOKUP(A248,Database!$A:$AS,MATCH($C$1,Database!$A$1:$AS$1,0),FALSE)=0,#N/A,VLOOKUP(A248,Database!$A:$AS,MATCH($C$1,Database!$A$1:$AS$1,0),FALSE))</f>
        <v/>
      </c>
      <c r="D248" s="77">
        <f>IF(VLOOKUP(A248,Database!$A:$AS,MATCH($D$1,Database!$A$1:$AS$1,0),FALSE)=0,#N/A,VLOOKUP(A248,Database!$A:$AS,MATCH($D$1,Database!$A$1:$AS$1,0),FALSE))</f>
        <v/>
      </c>
      <c r="E248" s="77">
        <f>IF(VLOOKUP(A248,Database!$A:$AS,MATCH($E$1,Database!$A$1:$AS$1,0),FALSE)=0,#N/A,VLOOKUP(A248,Database!$A:$AS,MATCH($E$1,Database!$A$1:$AS$1,0),FALSE))</f>
        <v/>
      </c>
      <c r="F248" s="77">
        <f>IF(VLOOKUP(A248,Database!$A:$AS,MATCH($F$1,Database!$A$1:$AS$1,0),FALSE)=0,#N/A,VLOOKUP(A248,Database!$A:$AS,MATCH($F$1,Database!$A$1:$AS$1,0),FALSE))</f>
        <v/>
      </c>
      <c r="G248" s="77">
        <f>IF(VLOOKUP(A248,Database!$A:$AS,MATCH($G$1,Database!$A$1:$AS$1,0),FALSE)=0,#N/A,VLOOKUP(A248,Database!$A:$AS,MATCH($G$1,Database!$A$1:$AS$1,0),FALSE))</f>
        <v/>
      </c>
      <c r="H248" s="77">
        <f>(((Table134567891011121314151617343[[#This Row],[ITA]]-VLOOKUP($U$1,A:B,2,))/VLOOKUP($U$1,A:B,2,))*100)+100</f>
        <v/>
      </c>
      <c r="I248" s="77">
        <f>(((Table134567891011121314151617343[[#This Row],[FRA]]-VLOOKUP($U$1,A:C,3,))/VLOOKUP($U$1,A:C,3,))*100)+100</f>
        <v/>
      </c>
      <c r="J248" s="77">
        <f>(((Table134567891011121314151617343[[#This Row],[DEU]]-VLOOKUP($U$1,A:D,4,))/VLOOKUP($U$1,A:D,4,))*100)+100</f>
        <v/>
      </c>
      <c r="K248" s="77">
        <f>(((Table134567891011121314151617343[[#This Row],[ESP]]-VLOOKUP($U$1,A:E,5,))/VLOOKUP($U$1,A:E,5,))*100)+100</f>
        <v/>
      </c>
      <c r="L248" s="77">
        <f>(((Table134567891011121314151617343[[#This Row],[EA19]]-VLOOKUP($U$1,A:F,6,))/VLOOKUP($U$1,A:F,6,))*100)+100</f>
        <v/>
      </c>
      <c r="M248" s="77">
        <f>(((Table134567891011121314151617343[[#This Row],[GBR]]-VLOOKUP($U$1,A:G,7,))/VLOOKUP($U$1,A:G,7,))*100)+100</f>
        <v/>
      </c>
      <c r="N248" s="77">
        <f>IF(VLOOKUP(A248,Database!$A:$AU,MATCH($N$1,Database!$A$1:$AU$1,0),FALSE)=0,#N/A,VLOOKUP(A248,Database!$A:$AU,MATCH($N$1,Database!$A$1:$AU$1,0),FALSE))</f>
        <v/>
      </c>
      <c r="O248" s="77">
        <f>(((Table134567891011121314151617343[[#This Row],[USA]]-VLOOKUP($U$1,A:N,14,))/VLOOKUP($U$1,A:N,14,))*100)+100</f>
        <v/>
      </c>
      <c r="P248" s="77">
        <f>IF(VLOOKUP(A248,Database!$A:$AS,MATCH($P$1,Database!$A$1:$AS$1,0),FALSE)=0,#N/A,VLOOKUP(A248,Database!$A:$AS,MATCH($P$1,Database!$A$1:$AS$1,0),FALSE))</f>
        <v/>
      </c>
      <c r="Q248" s="77">
        <f>(((Table134567891011121314151617343[[#This Row],[JPN]]-VLOOKUP($U$1,A:Q,16,))/VLOOKUP($U$1,A:Q,16,))*100)+100</f>
        <v/>
      </c>
    </row>
    <row r="249" customFormat="1" s="87">
      <c r="A249" s="21" t="n">
        <v>40391</v>
      </c>
      <c r="B249" s="77">
        <f>IF(VLOOKUP(A249,Database!$A:$AS,MATCH($B$1,Database!$A$1:$AS$1,0),FALSE)=0,#N/A,VLOOKUP(A249,Database!$A:$AS,MATCH($B$1,Database!$A$1:$AS$1,0),FALSE))</f>
        <v/>
      </c>
      <c r="C249" s="77">
        <f>IF(VLOOKUP(A249,Database!$A:$AS,MATCH($C$1,Database!$A$1:$AS$1,0),FALSE)=0,#N/A,VLOOKUP(A249,Database!$A:$AS,MATCH($C$1,Database!$A$1:$AS$1,0),FALSE))</f>
        <v/>
      </c>
      <c r="D249" s="77">
        <f>IF(VLOOKUP(A249,Database!$A:$AS,MATCH($D$1,Database!$A$1:$AS$1,0),FALSE)=0,#N/A,VLOOKUP(A249,Database!$A:$AS,MATCH($D$1,Database!$A$1:$AS$1,0),FALSE))</f>
        <v/>
      </c>
      <c r="E249" s="77">
        <f>IF(VLOOKUP(A249,Database!$A:$AS,MATCH($E$1,Database!$A$1:$AS$1,0),FALSE)=0,#N/A,VLOOKUP(A249,Database!$A:$AS,MATCH($E$1,Database!$A$1:$AS$1,0),FALSE))</f>
        <v/>
      </c>
      <c r="F249" s="77">
        <f>IF(VLOOKUP(A249,Database!$A:$AS,MATCH($F$1,Database!$A$1:$AS$1,0),FALSE)=0,#N/A,VLOOKUP(A249,Database!$A:$AS,MATCH($F$1,Database!$A$1:$AS$1,0),FALSE))</f>
        <v/>
      </c>
      <c r="G249" s="77">
        <f>IF(VLOOKUP(A249,Database!$A:$AS,MATCH($G$1,Database!$A$1:$AS$1,0),FALSE)=0,#N/A,VLOOKUP(A249,Database!$A:$AS,MATCH($G$1,Database!$A$1:$AS$1,0),FALSE))</f>
        <v/>
      </c>
      <c r="H249" s="77">
        <f>(((Table134567891011121314151617343[[#This Row],[ITA]]-VLOOKUP($U$1,A:B,2,))/VLOOKUP($U$1,A:B,2,))*100)+100</f>
        <v/>
      </c>
      <c r="I249" s="77">
        <f>(((Table134567891011121314151617343[[#This Row],[FRA]]-VLOOKUP($U$1,A:C,3,))/VLOOKUP($U$1,A:C,3,))*100)+100</f>
        <v/>
      </c>
      <c r="J249" s="77">
        <f>(((Table134567891011121314151617343[[#This Row],[DEU]]-VLOOKUP($U$1,A:D,4,))/VLOOKUP($U$1,A:D,4,))*100)+100</f>
        <v/>
      </c>
      <c r="K249" s="77">
        <f>(((Table134567891011121314151617343[[#This Row],[ESP]]-VLOOKUP($U$1,A:E,5,))/VLOOKUP($U$1,A:E,5,))*100)+100</f>
        <v/>
      </c>
      <c r="L249" s="77">
        <f>(((Table134567891011121314151617343[[#This Row],[EA19]]-VLOOKUP($U$1,A:F,6,))/VLOOKUP($U$1,A:F,6,))*100)+100</f>
        <v/>
      </c>
      <c r="M249" s="77">
        <f>(((Table134567891011121314151617343[[#This Row],[GBR]]-VLOOKUP($U$1,A:G,7,))/VLOOKUP($U$1,A:G,7,))*100)+100</f>
        <v/>
      </c>
      <c r="N249" s="77">
        <f>IF(VLOOKUP(A249,Database!$A:$AU,MATCH($N$1,Database!$A$1:$AU$1,0),FALSE)=0,#N/A,VLOOKUP(A249,Database!$A:$AU,MATCH($N$1,Database!$A$1:$AU$1,0),FALSE))</f>
        <v/>
      </c>
      <c r="O249" s="77">
        <f>(((Table134567891011121314151617343[[#This Row],[USA]]-VLOOKUP($U$1,A:N,14,))/VLOOKUP($U$1,A:N,14,))*100)+100</f>
        <v/>
      </c>
      <c r="P249" s="77">
        <f>IF(VLOOKUP(A249,Database!$A:$AS,MATCH($P$1,Database!$A$1:$AS$1,0),FALSE)=0,#N/A,VLOOKUP(A249,Database!$A:$AS,MATCH($P$1,Database!$A$1:$AS$1,0),FALSE))</f>
        <v/>
      </c>
      <c r="Q249" s="77">
        <f>(((Table134567891011121314151617343[[#This Row],[JPN]]-VLOOKUP($U$1,A:Q,16,))/VLOOKUP($U$1,A:Q,16,))*100)+100</f>
        <v/>
      </c>
    </row>
    <row r="250" customFormat="1" s="87">
      <c r="A250" s="21" t="n">
        <v>40422</v>
      </c>
      <c r="B250" s="77">
        <f>IF(VLOOKUP(A250,Database!$A:$AS,MATCH($B$1,Database!$A$1:$AS$1,0),FALSE)=0,#N/A,VLOOKUP(A250,Database!$A:$AS,MATCH($B$1,Database!$A$1:$AS$1,0),FALSE))</f>
        <v/>
      </c>
      <c r="C250" s="77">
        <f>IF(VLOOKUP(A250,Database!$A:$AS,MATCH($C$1,Database!$A$1:$AS$1,0),FALSE)=0,#N/A,VLOOKUP(A250,Database!$A:$AS,MATCH($C$1,Database!$A$1:$AS$1,0),FALSE))</f>
        <v/>
      </c>
      <c r="D250" s="77">
        <f>IF(VLOOKUP(A250,Database!$A:$AS,MATCH($D$1,Database!$A$1:$AS$1,0),FALSE)=0,#N/A,VLOOKUP(A250,Database!$A:$AS,MATCH($D$1,Database!$A$1:$AS$1,0),FALSE))</f>
        <v/>
      </c>
      <c r="E250" s="77">
        <f>IF(VLOOKUP(A250,Database!$A:$AS,MATCH($E$1,Database!$A$1:$AS$1,0),FALSE)=0,#N/A,VLOOKUP(A250,Database!$A:$AS,MATCH($E$1,Database!$A$1:$AS$1,0),FALSE))</f>
        <v/>
      </c>
      <c r="F250" s="77">
        <f>IF(VLOOKUP(A250,Database!$A:$AS,MATCH($F$1,Database!$A$1:$AS$1,0),FALSE)=0,#N/A,VLOOKUP(A250,Database!$A:$AS,MATCH($F$1,Database!$A$1:$AS$1,0),FALSE))</f>
        <v/>
      </c>
      <c r="G250" s="77">
        <f>IF(VLOOKUP(A250,Database!$A:$AS,MATCH($G$1,Database!$A$1:$AS$1,0),FALSE)=0,#N/A,VLOOKUP(A250,Database!$A:$AS,MATCH($G$1,Database!$A$1:$AS$1,0),FALSE))</f>
        <v/>
      </c>
      <c r="H250" s="77">
        <f>(((Table134567891011121314151617343[[#This Row],[ITA]]-VLOOKUP($U$1,A:B,2,))/VLOOKUP($U$1,A:B,2,))*100)+100</f>
        <v/>
      </c>
      <c r="I250" s="77">
        <f>(((Table134567891011121314151617343[[#This Row],[FRA]]-VLOOKUP($U$1,A:C,3,))/VLOOKUP($U$1,A:C,3,))*100)+100</f>
        <v/>
      </c>
      <c r="J250" s="77">
        <f>(((Table134567891011121314151617343[[#This Row],[DEU]]-VLOOKUP($U$1,A:D,4,))/VLOOKUP($U$1,A:D,4,))*100)+100</f>
        <v/>
      </c>
      <c r="K250" s="77">
        <f>(((Table134567891011121314151617343[[#This Row],[ESP]]-VLOOKUP($U$1,A:E,5,))/VLOOKUP($U$1,A:E,5,))*100)+100</f>
        <v/>
      </c>
      <c r="L250" s="77">
        <f>(((Table134567891011121314151617343[[#This Row],[EA19]]-VLOOKUP($U$1,A:F,6,))/VLOOKUP($U$1,A:F,6,))*100)+100</f>
        <v/>
      </c>
      <c r="M250" s="77">
        <f>(((Table134567891011121314151617343[[#This Row],[GBR]]-VLOOKUP($U$1,A:G,7,))/VLOOKUP($U$1,A:G,7,))*100)+100</f>
        <v/>
      </c>
      <c r="N250" s="77">
        <f>IF(VLOOKUP(A250,Database!$A:$AU,MATCH($N$1,Database!$A$1:$AU$1,0),FALSE)=0,#N/A,VLOOKUP(A250,Database!$A:$AU,MATCH($N$1,Database!$A$1:$AU$1,0),FALSE))</f>
        <v/>
      </c>
      <c r="O250" s="77">
        <f>(((Table134567891011121314151617343[[#This Row],[USA]]-VLOOKUP($U$1,A:N,14,))/VLOOKUP($U$1,A:N,14,))*100)+100</f>
        <v/>
      </c>
      <c r="P250" s="77">
        <f>IF(VLOOKUP(A250,Database!$A:$AS,MATCH($P$1,Database!$A$1:$AS$1,0),FALSE)=0,#N/A,VLOOKUP(A250,Database!$A:$AS,MATCH($P$1,Database!$A$1:$AS$1,0),FALSE))</f>
        <v/>
      </c>
      <c r="Q250" s="77">
        <f>(((Table134567891011121314151617343[[#This Row],[JPN]]-VLOOKUP($U$1,A:Q,16,))/VLOOKUP($U$1,A:Q,16,))*100)+100</f>
        <v/>
      </c>
    </row>
    <row r="251" customFormat="1" s="87">
      <c r="A251" s="21" t="n">
        <v>40452</v>
      </c>
      <c r="B251" s="77">
        <f>IF(VLOOKUP(A251,Database!$A:$AS,MATCH($B$1,Database!$A$1:$AS$1,0),FALSE)=0,#N/A,VLOOKUP(A251,Database!$A:$AS,MATCH($B$1,Database!$A$1:$AS$1,0),FALSE))</f>
        <v/>
      </c>
      <c r="C251" s="77">
        <f>IF(VLOOKUP(A251,Database!$A:$AS,MATCH($C$1,Database!$A$1:$AS$1,0),FALSE)=0,#N/A,VLOOKUP(A251,Database!$A:$AS,MATCH($C$1,Database!$A$1:$AS$1,0),FALSE))</f>
        <v/>
      </c>
      <c r="D251" s="77">
        <f>IF(VLOOKUP(A251,Database!$A:$AS,MATCH($D$1,Database!$A$1:$AS$1,0),FALSE)=0,#N/A,VLOOKUP(A251,Database!$A:$AS,MATCH($D$1,Database!$A$1:$AS$1,0),FALSE))</f>
        <v/>
      </c>
      <c r="E251" s="77">
        <f>IF(VLOOKUP(A251,Database!$A:$AS,MATCH($E$1,Database!$A$1:$AS$1,0),FALSE)=0,#N/A,VLOOKUP(A251,Database!$A:$AS,MATCH($E$1,Database!$A$1:$AS$1,0),FALSE))</f>
        <v/>
      </c>
      <c r="F251" s="77">
        <f>IF(VLOOKUP(A251,Database!$A:$AS,MATCH($F$1,Database!$A$1:$AS$1,0),FALSE)=0,#N/A,VLOOKUP(A251,Database!$A:$AS,MATCH($F$1,Database!$A$1:$AS$1,0),FALSE))</f>
        <v/>
      </c>
      <c r="G251" s="77">
        <f>IF(VLOOKUP(A251,Database!$A:$AS,MATCH($G$1,Database!$A$1:$AS$1,0),FALSE)=0,#N/A,VLOOKUP(A251,Database!$A:$AS,MATCH($G$1,Database!$A$1:$AS$1,0),FALSE))</f>
        <v/>
      </c>
      <c r="H251" s="77">
        <f>(((Table134567891011121314151617343[[#This Row],[ITA]]-VLOOKUP($U$1,A:B,2,))/VLOOKUP($U$1,A:B,2,))*100)+100</f>
        <v/>
      </c>
      <c r="I251" s="77">
        <f>(((Table134567891011121314151617343[[#This Row],[FRA]]-VLOOKUP($U$1,A:C,3,))/VLOOKUP($U$1,A:C,3,))*100)+100</f>
        <v/>
      </c>
      <c r="J251" s="77">
        <f>(((Table134567891011121314151617343[[#This Row],[DEU]]-VLOOKUP($U$1,A:D,4,))/VLOOKUP($U$1,A:D,4,))*100)+100</f>
        <v/>
      </c>
      <c r="K251" s="77">
        <f>(((Table134567891011121314151617343[[#This Row],[ESP]]-VLOOKUP($U$1,A:E,5,))/VLOOKUP($U$1,A:E,5,))*100)+100</f>
        <v/>
      </c>
      <c r="L251" s="77">
        <f>(((Table134567891011121314151617343[[#This Row],[EA19]]-VLOOKUP($U$1,A:F,6,))/VLOOKUP($U$1,A:F,6,))*100)+100</f>
        <v/>
      </c>
      <c r="M251" s="77">
        <f>(((Table134567891011121314151617343[[#This Row],[GBR]]-VLOOKUP($U$1,A:G,7,))/VLOOKUP($U$1,A:G,7,))*100)+100</f>
        <v/>
      </c>
      <c r="N251" s="77">
        <f>IF(VLOOKUP(A251,Database!$A:$AU,MATCH($N$1,Database!$A$1:$AU$1,0),FALSE)=0,#N/A,VLOOKUP(A251,Database!$A:$AU,MATCH($N$1,Database!$A$1:$AU$1,0),FALSE))</f>
        <v/>
      </c>
      <c r="O251" s="77">
        <f>(((Table134567891011121314151617343[[#This Row],[USA]]-VLOOKUP($U$1,A:N,14,))/VLOOKUP($U$1,A:N,14,))*100)+100</f>
        <v/>
      </c>
      <c r="P251" s="77">
        <f>IF(VLOOKUP(A251,Database!$A:$AS,MATCH($P$1,Database!$A$1:$AS$1,0),FALSE)=0,#N/A,VLOOKUP(A251,Database!$A:$AS,MATCH($P$1,Database!$A$1:$AS$1,0),FALSE))</f>
        <v/>
      </c>
      <c r="Q251" s="77">
        <f>(((Table134567891011121314151617343[[#This Row],[JPN]]-VLOOKUP($U$1,A:Q,16,))/VLOOKUP($U$1,A:Q,16,))*100)+100</f>
        <v/>
      </c>
    </row>
    <row r="252" customFormat="1" s="87">
      <c r="A252" s="21" t="n">
        <v>40483</v>
      </c>
      <c r="B252" s="77">
        <f>IF(VLOOKUP(A252,Database!$A:$AS,MATCH($B$1,Database!$A$1:$AS$1,0),FALSE)=0,#N/A,VLOOKUP(A252,Database!$A:$AS,MATCH($B$1,Database!$A$1:$AS$1,0),FALSE))</f>
        <v/>
      </c>
      <c r="C252" s="77">
        <f>IF(VLOOKUP(A252,Database!$A:$AS,MATCH($C$1,Database!$A$1:$AS$1,0),FALSE)=0,#N/A,VLOOKUP(A252,Database!$A:$AS,MATCH($C$1,Database!$A$1:$AS$1,0),FALSE))</f>
        <v/>
      </c>
      <c r="D252" s="77">
        <f>IF(VLOOKUP(A252,Database!$A:$AS,MATCH($D$1,Database!$A$1:$AS$1,0),FALSE)=0,#N/A,VLOOKUP(A252,Database!$A:$AS,MATCH($D$1,Database!$A$1:$AS$1,0),FALSE))</f>
        <v/>
      </c>
      <c r="E252" s="77">
        <f>IF(VLOOKUP(A252,Database!$A:$AS,MATCH($E$1,Database!$A$1:$AS$1,0),FALSE)=0,#N/A,VLOOKUP(A252,Database!$A:$AS,MATCH($E$1,Database!$A$1:$AS$1,0),FALSE))</f>
        <v/>
      </c>
      <c r="F252" s="77">
        <f>IF(VLOOKUP(A252,Database!$A:$AS,MATCH($F$1,Database!$A$1:$AS$1,0),FALSE)=0,#N/A,VLOOKUP(A252,Database!$A:$AS,MATCH($F$1,Database!$A$1:$AS$1,0),FALSE))</f>
        <v/>
      </c>
      <c r="G252" s="77">
        <f>IF(VLOOKUP(A252,Database!$A:$AS,MATCH($G$1,Database!$A$1:$AS$1,0),FALSE)=0,#N/A,VLOOKUP(A252,Database!$A:$AS,MATCH($G$1,Database!$A$1:$AS$1,0),FALSE))</f>
        <v/>
      </c>
      <c r="H252" s="77">
        <f>(((Table134567891011121314151617343[[#This Row],[ITA]]-VLOOKUP($U$1,A:B,2,))/VLOOKUP($U$1,A:B,2,))*100)+100</f>
        <v/>
      </c>
      <c r="I252" s="77">
        <f>(((Table134567891011121314151617343[[#This Row],[FRA]]-VLOOKUP($U$1,A:C,3,))/VLOOKUP($U$1,A:C,3,))*100)+100</f>
        <v/>
      </c>
      <c r="J252" s="77">
        <f>(((Table134567891011121314151617343[[#This Row],[DEU]]-VLOOKUP($U$1,A:D,4,))/VLOOKUP($U$1,A:D,4,))*100)+100</f>
        <v/>
      </c>
      <c r="K252" s="77">
        <f>(((Table134567891011121314151617343[[#This Row],[ESP]]-VLOOKUP($U$1,A:E,5,))/VLOOKUP($U$1,A:E,5,))*100)+100</f>
        <v/>
      </c>
      <c r="L252" s="77">
        <f>(((Table134567891011121314151617343[[#This Row],[EA19]]-VLOOKUP($U$1,A:F,6,))/VLOOKUP($U$1,A:F,6,))*100)+100</f>
        <v/>
      </c>
      <c r="M252" s="77">
        <f>(((Table134567891011121314151617343[[#This Row],[GBR]]-VLOOKUP($U$1,A:G,7,))/VLOOKUP($U$1,A:G,7,))*100)+100</f>
        <v/>
      </c>
      <c r="N252" s="77">
        <f>IF(VLOOKUP(A252,Database!$A:$AU,MATCH($N$1,Database!$A$1:$AU$1,0),FALSE)=0,#N/A,VLOOKUP(A252,Database!$A:$AU,MATCH($N$1,Database!$A$1:$AU$1,0),FALSE))</f>
        <v/>
      </c>
      <c r="O252" s="77">
        <f>(((Table134567891011121314151617343[[#This Row],[USA]]-VLOOKUP($U$1,A:N,14,))/VLOOKUP($U$1,A:N,14,))*100)+100</f>
        <v/>
      </c>
      <c r="P252" s="77">
        <f>IF(VLOOKUP(A252,Database!$A:$AS,MATCH($P$1,Database!$A$1:$AS$1,0),FALSE)=0,#N/A,VLOOKUP(A252,Database!$A:$AS,MATCH($P$1,Database!$A$1:$AS$1,0),FALSE))</f>
        <v/>
      </c>
      <c r="Q252" s="77">
        <f>(((Table134567891011121314151617343[[#This Row],[JPN]]-VLOOKUP($U$1,A:Q,16,))/VLOOKUP($U$1,A:Q,16,))*100)+100</f>
        <v/>
      </c>
    </row>
    <row r="253" customFormat="1" s="87">
      <c r="A253" s="21" t="n">
        <v>40513</v>
      </c>
      <c r="B253" s="77">
        <f>IF(VLOOKUP(A253,Database!$A:$AS,MATCH($B$1,Database!$A$1:$AS$1,0),FALSE)=0,#N/A,VLOOKUP(A253,Database!$A:$AS,MATCH($B$1,Database!$A$1:$AS$1,0),FALSE))</f>
        <v/>
      </c>
      <c r="C253" s="77">
        <f>IF(VLOOKUP(A253,Database!$A:$AS,MATCH($C$1,Database!$A$1:$AS$1,0),FALSE)=0,#N/A,VLOOKUP(A253,Database!$A:$AS,MATCH($C$1,Database!$A$1:$AS$1,0),FALSE))</f>
        <v/>
      </c>
      <c r="D253" s="77">
        <f>IF(VLOOKUP(A253,Database!$A:$AS,MATCH($D$1,Database!$A$1:$AS$1,0),FALSE)=0,#N/A,VLOOKUP(A253,Database!$A:$AS,MATCH($D$1,Database!$A$1:$AS$1,0),FALSE))</f>
        <v/>
      </c>
      <c r="E253" s="77">
        <f>IF(VLOOKUP(A253,Database!$A:$AS,MATCH($E$1,Database!$A$1:$AS$1,0),FALSE)=0,#N/A,VLOOKUP(A253,Database!$A:$AS,MATCH($E$1,Database!$A$1:$AS$1,0),FALSE))</f>
        <v/>
      </c>
      <c r="F253" s="77">
        <f>IF(VLOOKUP(A253,Database!$A:$AS,MATCH($F$1,Database!$A$1:$AS$1,0),FALSE)=0,#N/A,VLOOKUP(A253,Database!$A:$AS,MATCH($F$1,Database!$A$1:$AS$1,0),FALSE))</f>
        <v/>
      </c>
      <c r="G253" s="77">
        <f>IF(VLOOKUP(A253,Database!$A:$AS,MATCH($G$1,Database!$A$1:$AS$1,0),FALSE)=0,#N/A,VLOOKUP(A253,Database!$A:$AS,MATCH($G$1,Database!$A$1:$AS$1,0),FALSE))</f>
        <v/>
      </c>
      <c r="H253" s="77">
        <f>(((Table134567891011121314151617343[[#This Row],[ITA]]-VLOOKUP($U$1,A:B,2,))/VLOOKUP($U$1,A:B,2,))*100)+100</f>
        <v/>
      </c>
      <c r="I253" s="77">
        <f>(((Table134567891011121314151617343[[#This Row],[FRA]]-VLOOKUP($U$1,A:C,3,))/VLOOKUP($U$1,A:C,3,))*100)+100</f>
        <v/>
      </c>
      <c r="J253" s="77">
        <f>(((Table134567891011121314151617343[[#This Row],[DEU]]-VLOOKUP($U$1,A:D,4,))/VLOOKUP($U$1,A:D,4,))*100)+100</f>
        <v/>
      </c>
      <c r="K253" s="77">
        <f>(((Table134567891011121314151617343[[#This Row],[ESP]]-VLOOKUP($U$1,A:E,5,))/VLOOKUP($U$1,A:E,5,))*100)+100</f>
        <v/>
      </c>
      <c r="L253" s="77">
        <f>(((Table134567891011121314151617343[[#This Row],[EA19]]-VLOOKUP($U$1,A:F,6,))/VLOOKUP($U$1,A:F,6,))*100)+100</f>
        <v/>
      </c>
      <c r="M253" s="77">
        <f>(((Table134567891011121314151617343[[#This Row],[GBR]]-VLOOKUP($U$1,A:G,7,))/VLOOKUP($U$1,A:G,7,))*100)+100</f>
        <v/>
      </c>
      <c r="N253" s="77">
        <f>IF(VLOOKUP(A253,Database!$A:$AU,MATCH($N$1,Database!$A$1:$AU$1,0),FALSE)=0,#N/A,VLOOKUP(A253,Database!$A:$AU,MATCH($N$1,Database!$A$1:$AU$1,0),FALSE))</f>
        <v/>
      </c>
      <c r="O253" s="77">
        <f>(((Table134567891011121314151617343[[#This Row],[USA]]-VLOOKUP($U$1,A:N,14,))/VLOOKUP($U$1,A:N,14,))*100)+100</f>
        <v/>
      </c>
      <c r="P253" s="77">
        <f>IF(VLOOKUP(A253,Database!$A:$AS,MATCH($P$1,Database!$A$1:$AS$1,0),FALSE)=0,#N/A,VLOOKUP(A253,Database!$A:$AS,MATCH($P$1,Database!$A$1:$AS$1,0),FALSE))</f>
        <v/>
      </c>
      <c r="Q253" s="77">
        <f>(((Table134567891011121314151617343[[#This Row],[JPN]]-VLOOKUP($U$1,A:Q,16,))/VLOOKUP($U$1,A:Q,16,))*100)+100</f>
        <v/>
      </c>
    </row>
    <row r="254" customFormat="1" s="87">
      <c r="A254" s="21" t="n">
        <v>40544</v>
      </c>
      <c r="B254" s="77">
        <f>IF(VLOOKUP(A254,Database!$A:$AS,MATCH($B$1,Database!$A$1:$AS$1,0),FALSE)=0,#N/A,VLOOKUP(A254,Database!$A:$AS,MATCH($B$1,Database!$A$1:$AS$1,0),FALSE))</f>
        <v/>
      </c>
      <c r="C254" s="77">
        <f>IF(VLOOKUP(A254,Database!$A:$AS,MATCH($C$1,Database!$A$1:$AS$1,0),FALSE)=0,#N/A,VLOOKUP(A254,Database!$A:$AS,MATCH($C$1,Database!$A$1:$AS$1,0),FALSE))</f>
        <v/>
      </c>
      <c r="D254" s="77">
        <f>IF(VLOOKUP(A254,Database!$A:$AS,MATCH($D$1,Database!$A$1:$AS$1,0),FALSE)=0,#N/A,VLOOKUP(A254,Database!$A:$AS,MATCH($D$1,Database!$A$1:$AS$1,0),FALSE))</f>
        <v/>
      </c>
      <c r="E254" s="77">
        <f>IF(VLOOKUP(A254,Database!$A:$AS,MATCH($E$1,Database!$A$1:$AS$1,0),FALSE)=0,#N/A,VLOOKUP(A254,Database!$A:$AS,MATCH($E$1,Database!$A$1:$AS$1,0),FALSE))</f>
        <v/>
      </c>
      <c r="F254" s="77">
        <f>IF(VLOOKUP(A254,Database!$A:$AS,MATCH($F$1,Database!$A$1:$AS$1,0),FALSE)=0,#N/A,VLOOKUP(A254,Database!$A:$AS,MATCH($F$1,Database!$A$1:$AS$1,0),FALSE))</f>
        <v/>
      </c>
      <c r="G254" s="77">
        <f>IF(VLOOKUP(A254,Database!$A:$AS,MATCH($G$1,Database!$A$1:$AS$1,0),FALSE)=0,#N/A,VLOOKUP(A254,Database!$A:$AS,MATCH($G$1,Database!$A$1:$AS$1,0),FALSE))</f>
        <v/>
      </c>
      <c r="H254" s="77">
        <f>(((Table134567891011121314151617343[[#This Row],[ITA]]-VLOOKUP($U$1,A:B,2,))/VLOOKUP($U$1,A:B,2,))*100)+100</f>
        <v/>
      </c>
      <c r="I254" s="77">
        <f>(((Table134567891011121314151617343[[#This Row],[FRA]]-VLOOKUP($U$1,A:C,3,))/VLOOKUP($U$1,A:C,3,))*100)+100</f>
        <v/>
      </c>
      <c r="J254" s="77">
        <f>(((Table134567891011121314151617343[[#This Row],[DEU]]-VLOOKUP($U$1,A:D,4,))/VLOOKUP($U$1,A:D,4,))*100)+100</f>
        <v/>
      </c>
      <c r="K254" s="77">
        <f>(((Table134567891011121314151617343[[#This Row],[ESP]]-VLOOKUP($U$1,A:E,5,))/VLOOKUP($U$1,A:E,5,))*100)+100</f>
        <v/>
      </c>
      <c r="L254" s="77">
        <f>(((Table134567891011121314151617343[[#This Row],[EA19]]-VLOOKUP($U$1,A:F,6,))/VLOOKUP($U$1,A:F,6,))*100)+100</f>
        <v/>
      </c>
      <c r="M254" s="77">
        <f>(((Table134567891011121314151617343[[#This Row],[GBR]]-VLOOKUP($U$1,A:G,7,))/VLOOKUP($U$1,A:G,7,))*100)+100</f>
        <v/>
      </c>
      <c r="N254" s="77">
        <f>IF(VLOOKUP(A254,Database!$A:$AU,MATCH($N$1,Database!$A$1:$AU$1,0),FALSE)=0,#N/A,VLOOKUP(A254,Database!$A:$AU,MATCH($N$1,Database!$A$1:$AU$1,0),FALSE))</f>
        <v/>
      </c>
      <c r="O254" s="77">
        <f>(((Table134567891011121314151617343[[#This Row],[USA]]-VLOOKUP($U$1,A:N,14,))/VLOOKUP($U$1,A:N,14,))*100)+100</f>
        <v/>
      </c>
      <c r="P254" s="77">
        <f>IF(VLOOKUP(A254,Database!$A:$AS,MATCH($P$1,Database!$A$1:$AS$1,0),FALSE)=0,#N/A,VLOOKUP(A254,Database!$A:$AS,MATCH($P$1,Database!$A$1:$AS$1,0),FALSE))</f>
        <v/>
      </c>
      <c r="Q254" s="77">
        <f>(((Table134567891011121314151617343[[#This Row],[JPN]]-VLOOKUP($U$1,A:Q,16,))/VLOOKUP($U$1,A:Q,16,))*100)+100</f>
        <v/>
      </c>
    </row>
    <row r="255" customFormat="1" s="87">
      <c r="A255" s="21" t="n">
        <v>40575</v>
      </c>
      <c r="B255" s="77">
        <f>IF(VLOOKUP(A255,Database!$A:$AS,MATCH($B$1,Database!$A$1:$AS$1,0),FALSE)=0,#N/A,VLOOKUP(A255,Database!$A:$AS,MATCH($B$1,Database!$A$1:$AS$1,0),FALSE))</f>
        <v/>
      </c>
      <c r="C255" s="77">
        <f>IF(VLOOKUP(A255,Database!$A:$AS,MATCH($C$1,Database!$A$1:$AS$1,0),FALSE)=0,#N/A,VLOOKUP(A255,Database!$A:$AS,MATCH($C$1,Database!$A$1:$AS$1,0),FALSE))</f>
        <v/>
      </c>
      <c r="D255" s="77">
        <f>IF(VLOOKUP(A255,Database!$A:$AS,MATCH($D$1,Database!$A$1:$AS$1,0),FALSE)=0,#N/A,VLOOKUP(A255,Database!$A:$AS,MATCH($D$1,Database!$A$1:$AS$1,0),FALSE))</f>
        <v/>
      </c>
      <c r="E255" s="77">
        <f>IF(VLOOKUP(A255,Database!$A:$AS,MATCH($E$1,Database!$A$1:$AS$1,0),FALSE)=0,#N/A,VLOOKUP(A255,Database!$A:$AS,MATCH($E$1,Database!$A$1:$AS$1,0),FALSE))</f>
        <v/>
      </c>
      <c r="F255" s="77">
        <f>IF(VLOOKUP(A255,Database!$A:$AS,MATCH($F$1,Database!$A$1:$AS$1,0),FALSE)=0,#N/A,VLOOKUP(A255,Database!$A:$AS,MATCH($F$1,Database!$A$1:$AS$1,0),FALSE))</f>
        <v/>
      </c>
      <c r="G255" s="77">
        <f>IF(VLOOKUP(A255,Database!$A:$AS,MATCH($G$1,Database!$A$1:$AS$1,0),FALSE)=0,#N/A,VLOOKUP(A255,Database!$A:$AS,MATCH($G$1,Database!$A$1:$AS$1,0),FALSE))</f>
        <v/>
      </c>
      <c r="H255" s="77">
        <f>(((Table134567891011121314151617343[[#This Row],[ITA]]-VLOOKUP($U$1,A:B,2,))/VLOOKUP($U$1,A:B,2,))*100)+100</f>
        <v/>
      </c>
      <c r="I255" s="77">
        <f>(((Table134567891011121314151617343[[#This Row],[FRA]]-VLOOKUP($U$1,A:C,3,))/VLOOKUP($U$1,A:C,3,))*100)+100</f>
        <v/>
      </c>
      <c r="J255" s="77">
        <f>(((Table134567891011121314151617343[[#This Row],[DEU]]-VLOOKUP($U$1,A:D,4,))/VLOOKUP($U$1,A:D,4,))*100)+100</f>
        <v/>
      </c>
      <c r="K255" s="77">
        <f>(((Table134567891011121314151617343[[#This Row],[ESP]]-VLOOKUP($U$1,A:E,5,))/VLOOKUP($U$1,A:E,5,))*100)+100</f>
        <v/>
      </c>
      <c r="L255" s="77">
        <f>(((Table134567891011121314151617343[[#This Row],[EA19]]-VLOOKUP($U$1,A:F,6,))/VLOOKUP($U$1,A:F,6,))*100)+100</f>
        <v/>
      </c>
      <c r="M255" s="77">
        <f>(((Table134567891011121314151617343[[#This Row],[GBR]]-VLOOKUP($U$1,A:G,7,))/VLOOKUP($U$1,A:G,7,))*100)+100</f>
        <v/>
      </c>
      <c r="N255" s="77">
        <f>IF(VLOOKUP(A255,Database!$A:$AU,MATCH($N$1,Database!$A$1:$AU$1,0),FALSE)=0,#N/A,VLOOKUP(A255,Database!$A:$AU,MATCH($N$1,Database!$A$1:$AU$1,0),FALSE))</f>
        <v/>
      </c>
      <c r="O255" s="77">
        <f>(((Table134567891011121314151617343[[#This Row],[USA]]-VLOOKUP($U$1,A:N,14,))/VLOOKUP($U$1,A:N,14,))*100)+100</f>
        <v/>
      </c>
      <c r="P255" s="77">
        <f>IF(VLOOKUP(A255,Database!$A:$AS,MATCH($P$1,Database!$A$1:$AS$1,0),FALSE)=0,#N/A,VLOOKUP(A255,Database!$A:$AS,MATCH($P$1,Database!$A$1:$AS$1,0),FALSE))</f>
        <v/>
      </c>
      <c r="Q255" s="77">
        <f>(((Table134567891011121314151617343[[#This Row],[JPN]]-VLOOKUP($U$1,A:Q,16,))/VLOOKUP($U$1,A:Q,16,))*100)+100</f>
        <v/>
      </c>
    </row>
    <row r="256" customFormat="1" s="87">
      <c r="A256" s="21" t="n">
        <v>40603</v>
      </c>
      <c r="B256" s="77">
        <f>IF(VLOOKUP(A256,Database!$A:$AS,MATCH($B$1,Database!$A$1:$AS$1,0),FALSE)=0,#N/A,VLOOKUP(A256,Database!$A:$AS,MATCH($B$1,Database!$A$1:$AS$1,0),FALSE))</f>
        <v/>
      </c>
      <c r="C256" s="77">
        <f>IF(VLOOKUP(A256,Database!$A:$AS,MATCH($C$1,Database!$A$1:$AS$1,0),FALSE)=0,#N/A,VLOOKUP(A256,Database!$A:$AS,MATCH($C$1,Database!$A$1:$AS$1,0),FALSE))</f>
        <v/>
      </c>
      <c r="D256" s="77">
        <f>IF(VLOOKUP(A256,Database!$A:$AS,MATCH($D$1,Database!$A$1:$AS$1,0),FALSE)=0,#N/A,VLOOKUP(A256,Database!$A:$AS,MATCH($D$1,Database!$A$1:$AS$1,0),FALSE))</f>
        <v/>
      </c>
      <c r="E256" s="77">
        <f>IF(VLOOKUP(A256,Database!$A:$AS,MATCH($E$1,Database!$A$1:$AS$1,0),FALSE)=0,#N/A,VLOOKUP(A256,Database!$A:$AS,MATCH($E$1,Database!$A$1:$AS$1,0),FALSE))</f>
        <v/>
      </c>
      <c r="F256" s="77">
        <f>IF(VLOOKUP(A256,Database!$A:$AS,MATCH($F$1,Database!$A$1:$AS$1,0),FALSE)=0,#N/A,VLOOKUP(A256,Database!$A:$AS,MATCH($F$1,Database!$A$1:$AS$1,0),FALSE))</f>
        <v/>
      </c>
      <c r="G256" s="77">
        <f>IF(VLOOKUP(A256,Database!$A:$AS,MATCH($G$1,Database!$A$1:$AS$1,0),FALSE)=0,#N/A,VLOOKUP(A256,Database!$A:$AS,MATCH($G$1,Database!$A$1:$AS$1,0),FALSE))</f>
        <v/>
      </c>
      <c r="H256" s="77">
        <f>(((Table134567891011121314151617343[[#This Row],[ITA]]-VLOOKUP($U$1,A:B,2,))/VLOOKUP($U$1,A:B,2,))*100)+100</f>
        <v/>
      </c>
      <c r="I256" s="77">
        <f>(((Table134567891011121314151617343[[#This Row],[FRA]]-VLOOKUP($U$1,A:C,3,))/VLOOKUP($U$1,A:C,3,))*100)+100</f>
        <v/>
      </c>
      <c r="J256" s="77">
        <f>(((Table134567891011121314151617343[[#This Row],[DEU]]-VLOOKUP($U$1,A:D,4,))/VLOOKUP($U$1,A:D,4,))*100)+100</f>
        <v/>
      </c>
      <c r="K256" s="77">
        <f>(((Table134567891011121314151617343[[#This Row],[ESP]]-VLOOKUP($U$1,A:E,5,))/VLOOKUP($U$1,A:E,5,))*100)+100</f>
        <v/>
      </c>
      <c r="L256" s="77">
        <f>(((Table134567891011121314151617343[[#This Row],[EA19]]-VLOOKUP($U$1,A:F,6,))/VLOOKUP($U$1,A:F,6,))*100)+100</f>
        <v/>
      </c>
      <c r="M256" s="77">
        <f>(((Table134567891011121314151617343[[#This Row],[GBR]]-VLOOKUP($U$1,A:G,7,))/VLOOKUP($U$1,A:G,7,))*100)+100</f>
        <v/>
      </c>
      <c r="N256" s="77">
        <f>IF(VLOOKUP(A256,Database!$A:$AU,MATCH($N$1,Database!$A$1:$AU$1,0),FALSE)=0,#N/A,VLOOKUP(A256,Database!$A:$AU,MATCH($N$1,Database!$A$1:$AU$1,0),FALSE))</f>
        <v/>
      </c>
      <c r="O256" s="77">
        <f>(((Table134567891011121314151617343[[#This Row],[USA]]-VLOOKUP($U$1,A:N,14,))/VLOOKUP($U$1,A:N,14,))*100)+100</f>
        <v/>
      </c>
      <c r="P256" s="77">
        <f>IF(VLOOKUP(A256,Database!$A:$AS,MATCH($P$1,Database!$A$1:$AS$1,0),FALSE)=0,#N/A,VLOOKUP(A256,Database!$A:$AS,MATCH($P$1,Database!$A$1:$AS$1,0),FALSE))</f>
        <v/>
      </c>
      <c r="Q256" s="77">
        <f>(((Table134567891011121314151617343[[#This Row],[JPN]]-VLOOKUP($U$1,A:Q,16,))/VLOOKUP($U$1,A:Q,16,))*100)+100</f>
        <v/>
      </c>
    </row>
    <row r="257" customFormat="1" s="87">
      <c r="A257" s="21" t="n">
        <v>40634</v>
      </c>
      <c r="B257" s="77">
        <f>IF(VLOOKUP(A257,Database!$A:$AS,MATCH($B$1,Database!$A$1:$AS$1,0),FALSE)=0,#N/A,VLOOKUP(A257,Database!$A:$AS,MATCH($B$1,Database!$A$1:$AS$1,0),FALSE))</f>
        <v/>
      </c>
      <c r="C257" s="77">
        <f>IF(VLOOKUP(A257,Database!$A:$AS,MATCH($C$1,Database!$A$1:$AS$1,0),FALSE)=0,#N/A,VLOOKUP(A257,Database!$A:$AS,MATCH($C$1,Database!$A$1:$AS$1,0),FALSE))</f>
        <v/>
      </c>
      <c r="D257" s="77">
        <f>IF(VLOOKUP(A257,Database!$A:$AS,MATCH($D$1,Database!$A$1:$AS$1,0),FALSE)=0,#N/A,VLOOKUP(A257,Database!$A:$AS,MATCH($D$1,Database!$A$1:$AS$1,0),FALSE))</f>
        <v/>
      </c>
      <c r="E257" s="77">
        <f>IF(VLOOKUP(A257,Database!$A:$AS,MATCH($E$1,Database!$A$1:$AS$1,0),FALSE)=0,#N/A,VLOOKUP(A257,Database!$A:$AS,MATCH($E$1,Database!$A$1:$AS$1,0),FALSE))</f>
        <v/>
      </c>
      <c r="F257" s="77">
        <f>IF(VLOOKUP(A257,Database!$A:$AS,MATCH($F$1,Database!$A$1:$AS$1,0),FALSE)=0,#N/A,VLOOKUP(A257,Database!$A:$AS,MATCH($F$1,Database!$A$1:$AS$1,0),FALSE))</f>
        <v/>
      </c>
      <c r="G257" s="77">
        <f>IF(VLOOKUP(A257,Database!$A:$AS,MATCH($G$1,Database!$A$1:$AS$1,0),FALSE)=0,#N/A,VLOOKUP(A257,Database!$A:$AS,MATCH($G$1,Database!$A$1:$AS$1,0),FALSE))</f>
        <v/>
      </c>
      <c r="H257" s="77">
        <f>(((Table134567891011121314151617343[[#This Row],[ITA]]-VLOOKUP($U$1,A:B,2,))/VLOOKUP($U$1,A:B,2,))*100)+100</f>
        <v/>
      </c>
      <c r="I257" s="77">
        <f>(((Table134567891011121314151617343[[#This Row],[FRA]]-VLOOKUP($U$1,A:C,3,))/VLOOKUP($U$1,A:C,3,))*100)+100</f>
        <v/>
      </c>
      <c r="J257" s="77">
        <f>(((Table134567891011121314151617343[[#This Row],[DEU]]-VLOOKUP($U$1,A:D,4,))/VLOOKUP($U$1,A:D,4,))*100)+100</f>
        <v/>
      </c>
      <c r="K257" s="77">
        <f>(((Table134567891011121314151617343[[#This Row],[ESP]]-VLOOKUP($U$1,A:E,5,))/VLOOKUP($U$1,A:E,5,))*100)+100</f>
        <v/>
      </c>
      <c r="L257" s="77">
        <f>(((Table134567891011121314151617343[[#This Row],[EA19]]-VLOOKUP($U$1,A:F,6,))/VLOOKUP($U$1,A:F,6,))*100)+100</f>
        <v/>
      </c>
      <c r="M257" s="77">
        <f>(((Table134567891011121314151617343[[#This Row],[GBR]]-VLOOKUP($U$1,A:G,7,))/VLOOKUP($U$1,A:G,7,))*100)+100</f>
        <v/>
      </c>
      <c r="N257" s="77">
        <f>IF(VLOOKUP(A257,Database!$A:$AU,MATCH($N$1,Database!$A$1:$AU$1,0),FALSE)=0,#N/A,VLOOKUP(A257,Database!$A:$AU,MATCH($N$1,Database!$A$1:$AU$1,0),FALSE))</f>
        <v/>
      </c>
      <c r="O257" s="77">
        <f>(((Table134567891011121314151617343[[#This Row],[USA]]-VLOOKUP($U$1,A:N,14,))/VLOOKUP($U$1,A:N,14,))*100)+100</f>
        <v/>
      </c>
      <c r="P257" s="77">
        <f>IF(VLOOKUP(A257,Database!$A:$AS,MATCH($P$1,Database!$A$1:$AS$1,0),FALSE)=0,#N/A,VLOOKUP(A257,Database!$A:$AS,MATCH($P$1,Database!$A$1:$AS$1,0),FALSE))</f>
        <v/>
      </c>
      <c r="Q257" s="77">
        <f>(((Table134567891011121314151617343[[#This Row],[JPN]]-VLOOKUP($U$1,A:Q,16,))/VLOOKUP($U$1,A:Q,16,))*100)+100</f>
        <v/>
      </c>
    </row>
    <row r="258" customFormat="1" s="87">
      <c r="A258" s="21" t="n">
        <v>40664</v>
      </c>
      <c r="B258" s="77">
        <f>IF(VLOOKUP(A258,Database!$A:$AS,MATCH($B$1,Database!$A$1:$AS$1,0),FALSE)=0,#N/A,VLOOKUP(A258,Database!$A:$AS,MATCH($B$1,Database!$A$1:$AS$1,0),FALSE))</f>
        <v/>
      </c>
      <c r="C258" s="77">
        <f>IF(VLOOKUP(A258,Database!$A:$AS,MATCH($C$1,Database!$A$1:$AS$1,0),FALSE)=0,#N/A,VLOOKUP(A258,Database!$A:$AS,MATCH($C$1,Database!$A$1:$AS$1,0),FALSE))</f>
        <v/>
      </c>
      <c r="D258" s="77">
        <f>IF(VLOOKUP(A258,Database!$A:$AS,MATCH($D$1,Database!$A$1:$AS$1,0),FALSE)=0,#N/A,VLOOKUP(A258,Database!$A:$AS,MATCH($D$1,Database!$A$1:$AS$1,0),FALSE))</f>
        <v/>
      </c>
      <c r="E258" s="77">
        <f>IF(VLOOKUP(A258,Database!$A:$AS,MATCH($E$1,Database!$A$1:$AS$1,0),FALSE)=0,#N/A,VLOOKUP(A258,Database!$A:$AS,MATCH($E$1,Database!$A$1:$AS$1,0),FALSE))</f>
        <v/>
      </c>
      <c r="F258" s="77">
        <f>IF(VLOOKUP(A258,Database!$A:$AS,MATCH($F$1,Database!$A$1:$AS$1,0),FALSE)=0,#N/A,VLOOKUP(A258,Database!$A:$AS,MATCH($F$1,Database!$A$1:$AS$1,0),FALSE))</f>
        <v/>
      </c>
      <c r="G258" s="77">
        <f>IF(VLOOKUP(A258,Database!$A:$AS,MATCH($G$1,Database!$A$1:$AS$1,0),FALSE)=0,#N/A,VLOOKUP(A258,Database!$A:$AS,MATCH($G$1,Database!$A$1:$AS$1,0),FALSE))</f>
        <v/>
      </c>
      <c r="H258" s="77">
        <f>(((Table134567891011121314151617343[[#This Row],[ITA]]-VLOOKUP($U$1,A:B,2,))/VLOOKUP($U$1,A:B,2,))*100)+100</f>
        <v/>
      </c>
      <c r="I258" s="77">
        <f>(((Table134567891011121314151617343[[#This Row],[FRA]]-VLOOKUP($U$1,A:C,3,))/VLOOKUP($U$1,A:C,3,))*100)+100</f>
        <v/>
      </c>
      <c r="J258" s="77">
        <f>(((Table134567891011121314151617343[[#This Row],[DEU]]-VLOOKUP($U$1,A:D,4,))/VLOOKUP($U$1,A:D,4,))*100)+100</f>
        <v/>
      </c>
      <c r="K258" s="77">
        <f>(((Table134567891011121314151617343[[#This Row],[ESP]]-VLOOKUP($U$1,A:E,5,))/VLOOKUP($U$1,A:E,5,))*100)+100</f>
        <v/>
      </c>
      <c r="L258" s="77">
        <f>(((Table134567891011121314151617343[[#This Row],[EA19]]-VLOOKUP($U$1,A:F,6,))/VLOOKUP($U$1,A:F,6,))*100)+100</f>
        <v/>
      </c>
      <c r="M258" s="77">
        <f>(((Table134567891011121314151617343[[#This Row],[GBR]]-VLOOKUP($U$1,A:G,7,))/VLOOKUP($U$1,A:G,7,))*100)+100</f>
        <v/>
      </c>
      <c r="N258" s="77">
        <f>IF(VLOOKUP(A258,Database!$A:$AU,MATCH($N$1,Database!$A$1:$AU$1,0),FALSE)=0,#N/A,VLOOKUP(A258,Database!$A:$AU,MATCH($N$1,Database!$A$1:$AU$1,0),FALSE))</f>
        <v/>
      </c>
      <c r="O258" s="77">
        <f>(((Table134567891011121314151617343[[#This Row],[USA]]-VLOOKUP($U$1,A:N,14,))/VLOOKUP($U$1,A:N,14,))*100)+100</f>
        <v/>
      </c>
      <c r="P258" s="77">
        <f>IF(VLOOKUP(A258,Database!$A:$AS,MATCH($P$1,Database!$A$1:$AS$1,0),FALSE)=0,#N/A,VLOOKUP(A258,Database!$A:$AS,MATCH($P$1,Database!$A$1:$AS$1,0),FALSE))</f>
        <v/>
      </c>
      <c r="Q258" s="77">
        <f>(((Table134567891011121314151617343[[#This Row],[JPN]]-VLOOKUP($U$1,A:Q,16,))/VLOOKUP($U$1,A:Q,16,))*100)+100</f>
        <v/>
      </c>
    </row>
    <row r="259" customFormat="1" s="87">
      <c r="A259" s="21" t="n">
        <v>40695</v>
      </c>
      <c r="B259" s="77">
        <f>IF(VLOOKUP(A259,Database!$A:$AS,MATCH($B$1,Database!$A$1:$AS$1,0),FALSE)=0,#N/A,VLOOKUP(A259,Database!$A:$AS,MATCH($B$1,Database!$A$1:$AS$1,0),FALSE))</f>
        <v/>
      </c>
      <c r="C259" s="77">
        <f>IF(VLOOKUP(A259,Database!$A:$AS,MATCH($C$1,Database!$A$1:$AS$1,0),FALSE)=0,#N/A,VLOOKUP(A259,Database!$A:$AS,MATCH($C$1,Database!$A$1:$AS$1,0),FALSE))</f>
        <v/>
      </c>
      <c r="D259" s="77">
        <f>IF(VLOOKUP(A259,Database!$A:$AS,MATCH($D$1,Database!$A$1:$AS$1,0),FALSE)=0,#N/A,VLOOKUP(A259,Database!$A:$AS,MATCH($D$1,Database!$A$1:$AS$1,0),FALSE))</f>
        <v/>
      </c>
      <c r="E259" s="77">
        <f>IF(VLOOKUP(A259,Database!$A:$AS,MATCH($E$1,Database!$A$1:$AS$1,0),FALSE)=0,#N/A,VLOOKUP(A259,Database!$A:$AS,MATCH($E$1,Database!$A$1:$AS$1,0),FALSE))</f>
        <v/>
      </c>
      <c r="F259" s="77">
        <f>IF(VLOOKUP(A259,Database!$A:$AS,MATCH($F$1,Database!$A$1:$AS$1,0),FALSE)=0,#N/A,VLOOKUP(A259,Database!$A:$AS,MATCH($F$1,Database!$A$1:$AS$1,0),FALSE))</f>
        <v/>
      </c>
      <c r="G259" s="77">
        <f>IF(VLOOKUP(A259,Database!$A:$AS,MATCH($G$1,Database!$A$1:$AS$1,0),FALSE)=0,#N/A,VLOOKUP(A259,Database!$A:$AS,MATCH($G$1,Database!$A$1:$AS$1,0),FALSE))</f>
        <v/>
      </c>
      <c r="H259" s="77">
        <f>(((Table134567891011121314151617343[[#This Row],[ITA]]-VLOOKUP($U$1,A:B,2,))/VLOOKUP($U$1,A:B,2,))*100)+100</f>
        <v/>
      </c>
      <c r="I259" s="77">
        <f>(((Table134567891011121314151617343[[#This Row],[FRA]]-VLOOKUP($U$1,A:C,3,))/VLOOKUP($U$1,A:C,3,))*100)+100</f>
        <v/>
      </c>
      <c r="J259" s="77">
        <f>(((Table134567891011121314151617343[[#This Row],[DEU]]-VLOOKUP($U$1,A:D,4,))/VLOOKUP($U$1,A:D,4,))*100)+100</f>
        <v/>
      </c>
      <c r="K259" s="77">
        <f>(((Table134567891011121314151617343[[#This Row],[ESP]]-VLOOKUP($U$1,A:E,5,))/VLOOKUP($U$1,A:E,5,))*100)+100</f>
        <v/>
      </c>
      <c r="L259" s="77">
        <f>(((Table134567891011121314151617343[[#This Row],[EA19]]-VLOOKUP($U$1,A:F,6,))/VLOOKUP($U$1,A:F,6,))*100)+100</f>
        <v/>
      </c>
      <c r="M259" s="77">
        <f>(((Table134567891011121314151617343[[#This Row],[GBR]]-VLOOKUP($U$1,A:G,7,))/VLOOKUP($U$1,A:G,7,))*100)+100</f>
        <v/>
      </c>
      <c r="N259" s="77">
        <f>IF(VLOOKUP(A259,Database!$A:$AU,MATCH($N$1,Database!$A$1:$AU$1,0),FALSE)=0,#N/A,VLOOKUP(A259,Database!$A:$AU,MATCH($N$1,Database!$A$1:$AU$1,0),FALSE))</f>
        <v/>
      </c>
      <c r="O259" s="77">
        <f>(((Table134567891011121314151617343[[#This Row],[USA]]-VLOOKUP($U$1,A:N,14,))/VLOOKUP($U$1,A:N,14,))*100)+100</f>
        <v/>
      </c>
      <c r="P259" s="77">
        <f>IF(VLOOKUP(A259,Database!$A:$AS,MATCH($P$1,Database!$A$1:$AS$1,0),FALSE)=0,#N/A,VLOOKUP(A259,Database!$A:$AS,MATCH($P$1,Database!$A$1:$AS$1,0),FALSE))</f>
        <v/>
      </c>
      <c r="Q259" s="77">
        <f>(((Table134567891011121314151617343[[#This Row],[JPN]]-VLOOKUP($U$1,A:Q,16,))/VLOOKUP($U$1,A:Q,16,))*100)+100</f>
        <v/>
      </c>
    </row>
    <row r="260" customFormat="1" s="87">
      <c r="A260" s="21" t="n">
        <v>40725</v>
      </c>
      <c r="B260" s="77">
        <f>IF(VLOOKUP(A260,Database!$A:$AS,MATCH($B$1,Database!$A$1:$AS$1,0),FALSE)=0,#N/A,VLOOKUP(A260,Database!$A:$AS,MATCH($B$1,Database!$A$1:$AS$1,0),FALSE))</f>
        <v/>
      </c>
      <c r="C260" s="77">
        <f>IF(VLOOKUP(A260,Database!$A:$AS,MATCH($C$1,Database!$A$1:$AS$1,0),FALSE)=0,#N/A,VLOOKUP(A260,Database!$A:$AS,MATCH($C$1,Database!$A$1:$AS$1,0),FALSE))</f>
        <v/>
      </c>
      <c r="D260" s="77">
        <f>IF(VLOOKUP(A260,Database!$A:$AS,MATCH($D$1,Database!$A$1:$AS$1,0),FALSE)=0,#N/A,VLOOKUP(A260,Database!$A:$AS,MATCH($D$1,Database!$A$1:$AS$1,0),FALSE))</f>
        <v/>
      </c>
      <c r="E260" s="77">
        <f>IF(VLOOKUP(A260,Database!$A:$AS,MATCH($E$1,Database!$A$1:$AS$1,0),FALSE)=0,#N/A,VLOOKUP(A260,Database!$A:$AS,MATCH($E$1,Database!$A$1:$AS$1,0),FALSE))</f>
        <v/>
      </c>
      <c r="F260" s="77">
        <f>IF(VLOOKUP(A260,Database!$A:$AS,MATCH($F$1,Database!$A$1:$AS$1,0),FALSE)=0,#N/A,VLOOKUP(A260,Database!$A:$AS,MATCH($F$1,Database!$A$1:$AS$1,0),FALSE))</f>
        <v/>
      </c>
      <c r="G260" s="77">
        <f>IF(VLOOKUP(A260,Database!$A:$AS,MATCH($G$1,Database!$A$1:$AS$1,0),FALSE)=0,#N/A,VLOOKUP(A260,Database!$A:$AS,MATCH($G$1,Database!$A$1:$AS$1,0),FALSE))</f>
        <v/>
      </c>
      <c r="H260" s="77">
        <f>(((Table134567891011121314151617343[[#This Row],[ITA]]-VLOOKUP($U$1,A:B,2,))/VLOOKUP($U$1,A:B,2,))*100)+100</f>
        <v/>
      </c>
      <c r="I260" s="77">
        <f>(((Table134567891011121314151617343[[#This Row],[FRA]]-VLOOKUP($U$1,A:C,3,))/VLOOKUP($U$1,A:C,3,))*100)+100</f>
        <v/>
      </c>
      <c r="J260" s="77">
        <f>(((Table134567891011121314151617343[[#This Row],[DEU]]-VLOOKUP($U$1,A:D,4,))/VLOOKUP($U$1,A:D,4,))*100)+100</f>
        <v/>
      </c>
      <c r="K260" s="77">
        <f>(((Table134567891011121314151617343[[#This Row],[ESP]]-VLOOKUP($U$1,A:E,5,))/VLOOKUP($U$1,A:E,5,))*100)+100</f>
        <v/>
      </c>
      <c r="L260" s="77">
        <f>(((Table134567891011121314151617343[[#This Row],[EA19]]-VLOOKUP($U$1,A:F,6,))/VLOOKUP($U$1,A:F,6,))*100)+100</f>
        <v/>
      </c>
      <c r="M260" s="77">
        <f>(((Table134567891011121314151617343[[#This Row],[GBR]]-VLOOKUP($U$1,A:G,7,))/VLOOKUP($U$1,A:G,7,))*100)+100</f>
        <v/>
      </c>
      <c r="N260" s="77">
        <f>IF(VLOOKUP(A260,Database!$A:$AU,MATCH($N$1,Database!$A$1:$AU$1,0),FALSE)=0,#N/A,VLOOKUP(A260,Database!$A:$AU,MATCH($N$1,Database!$A$1:$AU$1,0),FALSE))</f>
        <v/>
      </c>
      <c r="O260" s="77">
        <f>(((Table134567891011121314151617343[[#This Row],[USA]]-VLOOKUP($U$1,A:N,14,))/VLOOKUP($U$1,A:N,14,))*100)+100</f>
        <v/>
      </c>
      <c r="P260" s="77">
        <f>IF(VLOOKUP(A260,Database!$A:$AS,MATCH($P$1,Database!$A$1:$AS$1,0),FALSE)=0,#N/A,VLOOKUP(A260,Database!$A:$AS,MATCH($P$1,Database!$A$1:$AS$1,0),FALSE))</f>
        <v/>
      </c>
      <c r="Q260" s="77">
        <f>(((Table134567891011121314151617343[[#This Row],[JPN]]-VLOOKUP($U$1,A:Q,16,))/VLOOKUP($U$1,A:Q,16,))*100)+100</f>
        <v/>
      </c>
    </row>
    <row r="261" customFormat="1" s="87">
      <c r="A261" s="21" t="n">
        <v>40756</v>
      </c>
      <c r="B261" s="77">
        <f>IF(VLOOKUP(A261,Database!$A:$AS,MATCH($B$1,Database!$A$1:$AS$1,0),FALSE)=0,#N/A,VLOOKUP(A261,Database!$A:$AS,MATCH($B$1,Database!$A$1:$AS$1,0),FALSE))</f>
        <v/>
      </c>
      <c r="C261" s="77">
        <f>IF(VLOOKUP(A261,Database!$A:$AS,MATCH($C$1,Database!$A$1:$AS$1,0),FALSE)=0,#N/A,VLOOKUP(A261,Database!$A:$AS,MATCH($C$1,Database!$A$1:$AS$1,0),FALSE))</f>
        <v/>
      </c>
      <c r="D261" s="77">
        <f>IF(VLOOKUP(A261,Database!$A:$AS,MATCH($D$1,Database!$A$1:$AS$1,0),FALSE)=0,#N/A,VLOOKUP(A261,Database!$A:$AS,MATCH($D$1,Database!$A$1:$AS$1,0),FALSE))</f>
        <v/>
      </c>
      <c r="E261" s="77">
        <f>IF(VLOOKUP(A261,Database!$A:$AS,MATCH($E$1,Database!$A$1:$AS$1,0),FALSE)=0,#N/A,VLOOKUP(A261,Database!$A:$AS,MATCH($E$1,Database!$A$1:$AS$1,0),FALSE))</f>
        <v/>
      </c>
      <c r="F261" s="77">
        <f>IF(VLOOKUP(A261,Database!$A:$AS,MATCH($F$1,Database!$A$1:$AS$1,0),FALSE)=0,#N/A,VLOOKUP(A261,Database!$A:$AS,MATCH($F$1,Database!$A$1:$AS$1,0),FALSE))</f>
        <v/>
      </c>
      <c r="G261" s="77">
        <f>IF(VLOOKUP(A261,Database!$A:$AS,MATCH($G$1,Database!$A$1:$AS$1,0),FALSE)=0,#N/A,VLOOKUP(A261,Database!$A:$AS,MATCH($G$1,Database!$A$1:$AS$1,0),FALSE))</f>
        <v/>
      </c>
      <c r="H261" s="77">
        <f>(((Table134567891011121314151617343[[#This Row],[ITA]]-VLOOKUP($U$1,A:B,2,))/VLOOKUP($U$1,A:B,2,))*100)+100</f>
        <v/>
      </c>
      <c r="I261" s="77">
        <f>(((Table134567891011121314151617343[[#This Row],[FRA]]-VLOOKUP($U$1,A:C,3,))/VLOOKUP($U$1,A:C,3,))*100)+100</f>
        <v/>
      </c>
      <c r="J261" s="77">
        <f>(((Table134567891011121314151617343[[#This Row],[DEU]]-VLOOKUP($U$1,A:D,4,))/VLOOKUP($U$1,A:D,4,))*100)+100</f>
        <v/>
      </c>
      <c r="K261" s="77">
        <f>(((Table134567891011121314151617343[[#This Row],[ESP]]-VLOOKUP($U$1,A:E,5,))/VLOOKUP($U$1,A:E,5,))*100)+100</f>
        <v/>
      </c>
      <c r="L261" s="77">
        <f>(((Table134567891011121314151617343[[#This Row],[EA19]]-VLOOKUP($U$1,A:F,6,))/VLOOKUP($U$1,A:F,6,))*100)+100</f>
        <v/>
      </c>
      <c r="M261" s="77">
        <f>(((Table134567891011121314151617343[[#This Row],[GBR]]-VLOOKUP($U$1,A:G,7,))/VLOOKUP($U$1,A:G,7,))*100)+100</f>
        <v/>
      </c>
      <c r="N261" s="77">
        <f>IF(VLOOKUP(A261,Database!$A:$AU,MATCH($N$1,Database!$A$1:$AU$1,0),FALSE)=0,#N/A,VLOOKUP(A261,Database!$A:$AU,MATCH($N$1,Database!$A$1:$AU$1,0),FALSE))</f>
        <v/>
      </c>
      <c r="O261" s="77">
        <f>(((Table134567891011121314151617343[[#This Row],[USA]]-VLOOKUP($U$1,A:N,14,))/VLOOKUP($U$1,A:N,14,))*100)+100</f>
        <v/>
      </c>
      <c r="P261" s="77">
        <f>IF(VLOOKUP(A261,Database!$A:$AS,MATCH($P$1,Database!$A$1:$AS$1,0),FALSE)=0,#N/A,VLOOKUP(A261,Database!$A:$AS,MATCH($P$1,Database!$A$1:$AS$1,0),FALSE))</f>
        <v/>
      </c>
      <c r="Q261" s="77">
        <f>(((Table134567891011121314151617343[[#This Row],[JPN]]-VLOOKUP($U$1,A:Q,16,))/VLOOKUP($U$1,A:Q,16,))*100)+100</f>
        <v/>
      </c>
    </row>
    <row r="262" customFormat="1" s="87">
      <c r="A262" s="21" t="n">
        <v>40787</v>
      </c>
      <c r="B262" s="77">
        <f>IF(VLOOKUP(A262,Database!$A:$AS,MATCH($B$1,Database!$A$1:$AS$1,0),FALSE)=0,#N/A,VLOOKUP(A262,Database!$A:$AS,MATCH($B$1,Database!$A$1:$AS$1,0),FALSE))</f>
        <v/>
      </c>
      <c r="C262" s="77">
        <f>IF(VLOOKUP(A262,Database!$A:$AS,MATCH($C$1,Database!$A$1:$AS$1,0),FALSE)=0,#N/A,VLOOKUP(A262,Database!$A:$AS,MATCH($C$1,Database!$A$1:$AS$1,0),FALSE))</f>
        <v/>
      </c>
      <c r="D262" s="77">
        <f>IF(VLOOKUP(A262,Database!$A:$AS,MATCH($D$1,Database!$A$1:$AS$1,0),FALSE)=0,#N/A,VLOOKUP(A262,Database!$A:$AS,MATCH($D$1,Database!$A$1:$AS$1,0),FALSE))</f>
        <v/>
      </c>
      <c r="E262" s="77">
        <f>IF(VLOOKUP(A262,Database!$A:$AS,MATCH($E$1,Database!$A$1:$AS$1,0),FALSE)=0,#N/A,VLOOKUP(A262,Database!$A:$AS,MATCH($E$1,Database!$A$1:$AS$1,0),FALSE))</f>
        <v/>
      </c>
      <c r="F262" s="77">
        <f>IF(VLOOKUP(A262,Database!$A:$AS,MATCH($F$1,Database!$A$1:$AS$1,0),FALSE)=0,#N/A,VLOOKUP(A262,Database!$A:$AS,MATCH($F$1,Database!$A$1:$AS$1,0),FALSE))</f>
        <v/>
      </c>
      <c r="G262" s="77">
        <f>IF(VLOOKUP(A262,Database!$A:$AS,MATCH($G$1,Database!$A$1:$AS$1,0),FALSE)=0,#N/A,VLOOKUP(A262,Database!$A:$AS,MATCH($G$1,Database!$A$1:$AS$1,0),FALSE))</f>
        <v/>
      </c>
      <c r="H262" s="77">
        <f>(((Table134567891011121314151617343[[#This Row],[ITA]]-VLOOKUP($U$1,A:B,2,))/VLOOKUP($U$1,A:B,2,))*100)+100</f>
        <v/>
      </c>
      <c r="I262" s="77">
        <f>(((Table134567891011121314151617343[[#This Row],[FRA]]-VLOOKUP($U$1,A:C,3,))/VLOOKUP($U$1,A:C,3,))*100)+100</f>
        <v/>
      </c>
      <c r="J262" s="77">
        <f>(((Table134567891011121314151617343[[#This Row],[DEU]]-VLOOKUP($U$1,A:D,4,))/VLOOKUP($U$1,A:D,4,))*100)+100</f>
        <v/>
      </c>
      <c r="K262" s="77">
        <f>(((Table134567891011121314151617343[[#This Row],[ESP]]-VLOOKUP($U$1,A:E,5,))/VLOOKUP($U$1,A:E,5,))*100)+100</f>
        <v/>
      </c>
      <c r="L262" s="77">
        <f>(((Table134567891011121314151617343[[#This Row],[EA19]]-VLOOKUP($U$1,A:F,6,))/VLOOKUP($U$1,A:F,6,))*100)+100</f>
        <v/>
      </c>
      <c r="M262" s="77">
        <f>(((Table134567891011121314151617343[[#This Row],[GBR]]-VLOOKUP($U$1,A:G,7,))/VLOOKUP($U$1,A:G,7,))*100)+100</f>
        <v/>
      </c>
      <c r="N262" s="77">
        <f>IF(VLOOKUP(A262,Database!$A:$AU,MATCH($N$1,Database!$A$1:$AU$1,0),FALSE)=0,#N/A,VLOOKUP(A262,Database!$A:$AU,MATCH($N$1,Database!$A$1:$AU$1,0),FALSE))</f>
        <v/>
      </c>
      <c r="O262" s="77">
        <f>(((Table134567891011121314151617343[[#This Row],[USA]]-VLOOKUP($U$1,A:N,14,))/VLOOKUP($U$1,A:N,14,))*100)+100</f>
        <v/>
      </c>
      <c r="P262" s="77">
        <f>IF(VLOOKUP(A262,Database!$A:$AS,MATCH($P$1,Database!$A$1:$AS$1,0),FALSE)=0,#N/A,VLOOKUP(A262,Database!$A:$AS,MATCH($P$1,Database!$A$1:$AS$1,0),FALSE))</f>
        <v/>
      </c>
      <c r="Q262" s="77">
        <f>(((Table134567891011121314151617343[[#This Row],[JPN]]-VLOOKUP($U$1,A:Q,16,))/VLOOKUP($U$1,A:Q,16,))*100)+100</f>
        <v/>
      </c>
    </row>
    <row r="263" customFormat="1" s="87">
      <c r="A263" s="21" t="n">
        <v>40817</v>
      </c>
      <c r="B263" s="77">
        <f>IF(VLOOKUP(A263,Database!$A:$AS,MATCH($B$1,Database!$A$1:$AS$1,0),FALSE)=0,#N/A,VLOOKUP(A263,Database!$A:$AS,MATCH($B$1,Database!$A$1:$AS$1,0),FALSE))</f>
        <v/>
      </c>
      <c r="C263" s="77">
        <f>IF(VLOOKUP(A263,Database!$A:$AS,MATCH($C$1,Database!$A$1:$AS$1,0),FALSE)=0,#N/A,VLOOKUP(A263,Database!$A:$AS,MATCH($C$1,Database!$A$1:$AS$1,0),FALSE))</f>
        <v/>
      </c>
      <c r="D263" s="77">
        <f>IF(VLOOKUP(A263,Database!$A:$AS,MATCH($D$1,Database!$A$1:$AS$1,0),FALSE)=0,#N/A,VLOOKUP(A263,Database!$A:$AS,MATCH($D$1,Database!$A$1:$AS$1,0),FALSE))</f>
        <v/>
      </c>
      <c r="E263" s="77">
        <f>IF(VLOOKUP(A263,Database!$A:$AS,MATCH($E$1,Database!$A$1:$AS$1,0),FALSE)=0,#N/A,VLOOKUP(A263,Database!$A:$AS,MATCH($E$1,Database!$A$1:$AS$1,0),FALSE))</f>
        <v/>
      </c>
      <c r="F263" s="77">
        <f>IF(VLOOKUP(A263,Database!$A:$AS,MATCH($F$1,Database!$A$1:$AS$1,0),FALSE)=0,#N/A,VLOOKUP(A263,Database!$A:$AS,MATCH($F$1,Database!$A$1:$AS$1,0),FALSE))</f>
        <v/>
      </c>
      <c r="G263" s="77">
        <f>IF(VLOOKUP(A263,Database!$A:$AS,MATCH($G$1,Database!$A$1:$AS$1,0),FALSE)=0,#N/A,VLOOKUP(A263,Database!$A:$AS,MATCH($G$1,Database!$A$1:$AS$1,0),FALSE))</f>
        <v/>
      </c>
      <c r="H263" s="77">
        <f>(((Table134567891011121314151617343[[#This Row],[ITA]]-VLOOKUP($U$1,A:B,2,))/VLOOKUP($U$1,A:B,2,))*100)+100</f>
        <v/>
      </c>
      <c r="I263" s="77">
        <f>(((Table134567891011121314151617343[[#This Row],[FRA]]-VLOOKUP($U$1,A:C,3,))/VLOOKUP($U$1,A:C,3,))*100)+100</f>
        <v/>
      </c>
      <c r="J263" s="77">
        <f>(((Table134567891011121314151617343[[#This Row],[DEU]]-VLOOKUP($U$1,A:D,4,))/VLOOKUP($U$1,A:D,4,))*100)+100</f>
        <v/>
      </c>
      <c r="K263" s="77">
        <f>(((Table134567891011121314151617343[[#This Row],[ESP]]-VLOOKUP($U$1,A:E,5,))/VLOOKUP($U$1,A:E,5,))*100)+100</f>
        <v/>
      </c>
      <c r="L263" s="77">
        <f>(((Table134567891011121314151617343[[#This Row],[EA19]]-VLOOKUP($U$1,A:F,6,))/VLOOKUP($U$1,A:F,6,))*100)+100</f>
        <v/>
      </c>
      <c r="M263" s="77">
        <f>(((Table134567891011121314151617343[[#This Row],[GBR]]-VLOOKUP($U$1,A:G,7,))/VLOOKUP($U$1,A:G,7,))*100)+100</f>
        <v/>
      </c>
      <c r="N263" s="77">
        <f>IF(VLOOKUP(A263,Database!$A:$AU,MATCH($N$1,Database!$A$1:$AU$1,0),FALSE)=0,#N/A,VLOOKUP(A263,Database!$A:$AU,MATCH($N$1,Database!$A$1:$AU$1,0),FALSE))</f>
        <v/>
      </c>
      <c r="O263" s="77">
        <f>(((Table134567891011121314151617343[[#This Row],[USA]]-VLOOKUP($U$1,A:N,14,))/VLOOKUP($U$1,A:N,14,))*100)+100</f>
        <v/>
      </c>
      <c r="P263" s="77">
        <f>IF(VLOOKUP(A263,Database!$A:$AS,MATCH($P$1,Database!$A$1:$AS$1,0),FALSE)=0,#N/A,VLOOKUP(A263,Database!$A:$AS,MATCH($P$1,Database!$A$1:$AS$1,0),FALSE))</f>
        <v/>
      </c>
      <c r="Q263" s="77">
        <f>(((Table134567891011121314151617343[[#This Row],[JPN]]-VLOOKUP($U$1,A:Q,16,))/VLOOKUP($U$1,A:Q,16,))*100)+100</f>
        <v/>
      </c>
    </row>
    <row r="264" customFormat="1" s="87">
      <c r="A264" s="21" t="n">
        <v>40848</v>
      </c>
      <c r="B264" s="77">
        <f>IF(VLOOKUP(A264,Database!$A:$AS,MATCH($B$1,Database!$A$1:$AS$1,0),FALSE)=0,#N/A,VLOOKUP(A264,Database!$A:$AS,MATCH($B$1,Database!$A$1:$AS$1,0),FALSE))</f>
        <v/>
      </c>
      <c r="C264" s="77">
        <f>IF(VLOOKUP(A264,Database!$A:$AS,MATCH($C$1,Database!$A$1:$AS$1,0),FALSE)=0,#N/A,VLOOKUP(A264,Database!$A:$AS,MATCH($C$1,Database!$A$1:$AS$1,0),FALSE))</f>
        <v/>
      </c>
      <c r="D264" s="77">
        <f>IF(VLOOKUP(A264,Database!$A:$AS,MATCH($D$1,Database!$A$1:$AS$1,0),FALSE)=0,#N/A,VLOOKUP(A264,Database!$A:$AS,MATCH($D$1,Database!$A$1:$AS$1,0),FALSE))</f>
        <v/>
      </c>
      <c r="E264" s="77">
        <f>IF(VLOOKUP(A264,Database!$A:$AS,MATCH($E$1,Database!$A$1:$AS$1,0),FALSE)=0,#N/A,VLOOKUP(A264,Database!$A:$AS,MATCH($E$1,Database!$A$1:$AS$1,0),FALSE))</f>
        <v/>
      </c>
      <c r="F264" s="77">
        <f>IF(VLOOKUP(A264,Database!$A:$AS,MATCH($F$1,Database!$A$1:$AS$1,0),FALSE)=0,#N/A,VLOOKUP(A264,Database!$A:$AS,MATCH($F$1,Database!$A$1:$AS$1,0),FALSE))</f>
        <v/>
      </c>
      <c r="G264" s="77">
        <f>IF(VLOOKUP(A264,Database!$A:$AS,MATCH($G$1,Database!$A$1:$AS$1,0),FALSE)=0,#N/A,VLOOKUP(A264,Database!$A:$AS,MATCH($G$1,Database!$A$1:$AS$1,0),FALSE))</f>
        <v/>
      </c>
      <c r="H264" s="77">
        <f>(((Table134567891011121314151617343[[#This Row],[ITA]]-VLOOKUP($U$1,A:B,2,))/VLOOKUP($U$1,A:B,2,))*100)+100</f>
        <v/>
      </c>
      <c r="I264" s="77">
        <f>(((Table134567891011121314151617343[[#This Row],[FRA]]-VLOOKUP($U$1,A:C,3,))/VLOOKUP($U$1,A:C,3,))*100)+100</f>
        <v/>
      </c>
      <c r="J264" s="77">
        <f>(((Table134567891011121314151617343[[#This Row],[DEU]]-VLOOKUP($U$1,A:D,4,))/VLOOKUP($U$1,A:D,4,))*100)+100</f>
        <v/>
      </c>
      <c r="K264" s="77">
        <f>(((Table134567891011121314151617343[[#This Row],[ESP]]-VLOOKUP($U$1,A:E,5,))/VLOOKUP($U$1,A:E,5,))*100)+100</f>
        <v/>
      </c>
      <c r="L264" s="77">
        <f>(((Table134567891011121314151617343[[#This Row],[EA19]]-VLOOKUP($U$1,A:F,6,))/VLOOKUP($U$1,A:F,6,))*100)+100</f>
        <v/>
      </c>
      <c r="M264" s="77">
        <f>(((Table134567891011121314151617343[[#This Row],[GBR]]-VLOOKUP($U$1,A:G,7,))/VLOOKUP($U$1,A:G,7,))*100)+100</f>
        <v/>
      </c>
      <c r="N264" s="77">
        <f>IF(VLOOKUP(A264,Database!$A:$AU,MATCH($N$1,Database!$A$1:$AU$1,0),FALSE)=0,#N/A,VLOOKUP(A264,Database!$A:$AU,MATCH($N$1,Database!$A$1:$AU$1,0),FALSE))</f>
        <v/>
      </c>
      <c r="O264" s="77">
        <f>(((Table134567891011121314151617343[[#This Row],[USA]]-VLOOKUP($U$1,A:N,14,))/VLOOKUP($U$1,A:N,14,))*100)+100</f>
        <v/>
      </c>
      <c r="P264" s="77">
        <f>IF(VLOOKUP(A264,Database!$A:$AS,MATCH($P$1,Database!$A$1:$AS$1,0),FALSE)=0,#N/A,VLOOKUP(A264,Database!$A:$AS,MATCH($P$1,Database!$A$1:$AS$1,0),FALSE))</f>
        <v/>
      </c>
      <c r="Q264" s="77">
        <f>(((Table134567891011121314151617343[[#This Row],[JPN]]-VLOOKUP($U$1,A:Q,16,))/VLOOKUP($U$1,A:Q,16,))*100)+100</f>
        <v/>
      </c>
    </row>
    <row r="265" customFormat="1" s="87">
      <c r="A265" s="21" t="n">
        <v>40878</v>
      </c>
      <c r="B265" s="77">
        <f>IF(VLOOKUP(A265,Database!$A:$AS,MATCH($B$1,Database!$A$1:$AS$1,0),FALSE)=0,#N/A,VLOOKUP(A265,Database!$A:$AS,MATCH($B$1,Database!$A$1:$AS$1,0),FALSE))</f>
        <v/>
      </c>
      <c r="C265" s="77">
        <f>IF(VLOOKUP(A265,Database!$A:$AS,MATCH($C$1,Database!$A$1:$AS$1,0),FALSE)=0,#N/A,VLOOKUP(A265,Database!$A:$AS,MATCH($C$1,Database!$A$1:$AS$1,0),FALSE))</f>
        <v/>
      </c>
      <c r="D265" s="77">
        <f>IF(VLOOKUP(A265,Database!$A:$AS,MATCH($D$1,Database!$A$1:$AS$1,0),FALSE)=0,#N/A,VLOOKUP(A265,Database!$A:$AS,MATCH($D$1,Database!$A$1:$AS$1,0),FALSE))</f>
        <v/>
      </c>
      <c r="E265" s="77">
        <f>IF(VLOOKUP(A265,Database!$A:$AS,MATCH($E$1,Database!$A$1:$AS$1,0),FALSE)=0,#N/A,VLOOKUP(A265,Database!$A:$AS,MATCH($E$1,Database!$A$1:$AS$1,0),FALSE))</f>
        <v/>
      </c>
      <c r="F265" s="77">
        <f>IF(VLOOKUP(A265,Database!$A:$AS,MATCH($F$1,Database!$A$1:$AS$1,0),FALSE)=0,#N/A,VLOOKUP(A265,Database!$A:$AS,MATCH($F$1,Database!$A$1:$AS$1,0),FALSE))</f>
        <v/>
      </c>
      <c r="G265" s="77">
        <f>IF(VLOOKUP(A265,Database!$A:$AS,MATCH($G$1,Database!$A$1:$AS$1,0),FALSE)=0,#N/A,VLOOKUP(A265,Database!$A:$AS,MATCH($G$1,Database!$A$1:$AS$1,0),FALSE))</f>
        <v/>
      </c>
      <c r="H265" s="77">
        <f>(((Table134567891011121314151617343[[#This Row],[ITA]]-VLOOKUP($U$1,A:B,2,))/VLOOKUP($U$1,A:B,2,))*100)+100</f>
        <v/>
      </c>
      <c r="I265" s="77">
        <f>(((Table134567891011121314151617343[[#This Row],[FRA]]-VLOOKUP($U$1,A:C,3,))/VLOOKUP($U$1,A:C,3,))*100)+100</f>
        <v/>
      </c>
      <c r="J265" s="77">
        <f>(((Table134567891011121314151617343[[#This Row],[DEU]]-VLOOKUP($U$1,A:D,4,))/VLOOKUP($U$1,A:D,4,))*100)+100</f>
        <v/>
      </c>
      <c r="K265" s="77">
        <f>(((Table134567891011121314151617343[[#This Row],[ESP]]-VLOOKUP($U$1,A:E,5,))/VLOOKUP($U$1,A:E,5,))*100)+100</f>
        <v/>
      </c>
      <c r="L265" s="77">
        <f>(((Table134567891011121314151617343[[#This Row],[EA19]]-VLOOKUP($U$1,A:F,6,))/VLOOKUP($U$1,A:F,6,))*100)+100</f>
        <v/>
      </c>
      <c r="M265" s="77">
        <f>(((Table134567891011121314151617343[[#This Row],[GBR]]-VLOOKUP($U$1,A:G,7,))/VLOOKUP($U$1,A:G,7,))*100)+100</f>
        <v/>
      </c>
      <c r="N265" s="77">
        <f>IF(VLOOKUP(A265,Database!$A:$AU,MATCH($N$1,Database!$A$1:$AU$1,0),FALSE)=0,#N/A,VLOOKUP(A265,Database!$A:$AU,MATCH($N$1,Database!$A$1:$AU$1,0),FALSE))</f>
        <v/>
      </c>
      <c r="O265" s="77">
        <f>(((Table134567891011121314151617343[[#This Row],[USA]]-VLOOKUP($U$1,A:N,14,))/VLOOKUP($U$1,A:N,14,))*100)+100</f>
        <v/>
      </c>
      <c r="P265" s="77">
        <f>IF(VLOOKUP(A265,Database!$A:$AS,MATCH($P$1,Database!$A$1:$AS$1,0),FALSE)=0,#N/A,VLOOKUP(A265,Database!$A:$AS,MATCH($P$1,Database!$A$1:$AS$1,0),FALSE))</f>
        <v/>
      </c>
      <c r="Q265" s="77">
        <f>(((Table134567891011121314151617343[[#This Row],[JPN]]-VLOOKUP($U$1,A:Q,16,))/VLOOKUP($U$1,A:Q,16,))*100)+100</f>
        <v/>
      </c>
    </row>
    <row r="266" customFormat="1" s="87">
      <c r="A266" s="21" t="n">
        <v>40909</v>
      </c>
      <c r="B266" s="77">
        <f>IF(VLOOKUP(A266,Database!$A:$AS,MATCH($B$1,Database!$A$1:$AS$1,0),FALSE)=0,#N/A,VLOOKUP(A266,Database!$A:$AS,MATCH($B$1,Database!$A$1:$AS$1,0),FALSE))</f>
        <v/>
      </c>
      <c r="C266" s="77">
        <f>IF(VLOOKUP(A266,Database!$A:$AS,MATCH($C$1,Database!$A$1:$AS$1,0),FALSE)=0,#N/A,VLOOKUP(A266,Database!$A:$AS,MATCH($C$1,Database!$A$1:$AS$1,0),FALSE))</f>
        <v/>
      </c>
      <c r="D266" s="77">
        <f>IF(VLOOKUP(A266,Database!$A:$AS,MATCH($D$1,Database!$A$1:$AS$1,0),FALSE)=0,#N/A,VLOOKUP(A266,Database!$A:$AS,MATCH($D$1,Database!$A$1:$AS$1,0),FALSE))</f>
        <v/>
      </c>
      <c r="E266" s="77">
        <f>IF(VLOOKUP(A266,Database!$A:$AS,MATCH($E$1,Database!$A$1:$AS$1,0),FALSE)=0,#N/A,VLOOKUP(A266,Database!$A:$AS,MATCH($E$1,Database!$A$1:$AS$1,0),FALSE))</f>
        <v/>
      </c>
      <c r="F266" s="77">
        <f>IF(VLOOKUP(A266,Database!$A:$AS,MATCH($F$1,Database!$A$1:$AS$1,0),FALSE)=0,#N/A,VLOOKUP(A266,Database!$A:$AS,MATCH($F$1,Database!$A$1:$AS$1,0),FALSE))</f>
        <v/>
      </c>
      <c r="G266" s="77">
        <f>IF(VLOOKUP(A266,Database!$A:$AS,MATCH($G$1,Database!$A$1:$AS$1,0),FALSE)=0,#N/A,VLOOKUP(A266,Database!$A:$AS,MATCH($G$1,Database!$A$1:$AS$1,0),FALSE))</f>
        <v/>
      </c>
      <c r="H266" s="77">
        <f>(((Table134567891011121314151617343[[#This Row],[ITA]]-VLOOKUP($U$1,A:B,2,))/VLOOKUP($U$1,A:B,2,))*100)+100</f>
        <v/>
      </c>
      <c r="I266" s="77">
        <f>(((Table134567891011121314151617343[[#This Row],[FRA]]-VLOOKUP($U$1,A:C,3,))/VLOOKUP($U$1,A:C,3,))*100)+100</f>
        <v/>
      </c>
      <c r="J266" s="77">
        <f>(((Table134567891011121314151617343[[#This Row],[DEU]]-VLOOKUP($U$1,A:D,4,))/VLOOKUP($U$1,A:D,4,))*100)+100</f>
        <v/>
      </c>
      <c r="K266" s="77">
        <f>(((Table134567891011121314151617343[[#This Row],[ESP]]-VLOOKUP($U$1,A:E,5,))/VLOOKUP($U$1,A:E,5,))*100)+100</f>
        <v/>
      </c>
      <c r="L266" s="77">
        <f>(((Table134567891011121314151617343[[#This Row],[EA19]]-VLOOKUP($U$1,A:F,6,))/VLOOKUP($U$1,A:F,6,))*100)+100</f>
        <v/>
      </c>
      <c r="M266" s="77">
        <f>(((Table134567891011121314151617343[[#This Row],[GBR]]-VLOOKUP($U$1,A:G,7,))/VLOOKUP($U$1,A:G,7,))*100)+100</f>
        <v/>
      </c>
      <c r="N266" s="77">
        <f>IF(VLOOKUP(A266,Database!$A:$AU,MATCH($N$1,Database!$A$1:$AU$1,0),FALSE)=0,#N/A,VLOOKUP(A266,Database!$A:$AU,MATCH($N$1,Database!$A$1:$AU$1,0),FALSE))</f>
        <v/>
      </c>
      <c r="O266" s="77">
        <f>(((Table134567891011121314151617343[[#This Row],[USA]]-VLOOKUP($U$1,A:N,14,))/VLOOKUP($U$1,A:N,14,))*100)+100</f>
        <v/>
      </c>
      <c r="P266" s="77">
        <f>IF(VLOOKUP(A266,Database!$A:$AS,MATCH($P$1,Database!$A$1:$AS$1,0),FALSE)=0,#N/A,VLOOKUP(A266,Database!$A:$AS,MATCH($P$1,Database!$A$1:$AS$1,0),FALSE))</f>
        <v/>
      </c>
      <c r="Q266" s="77">
        <f>(((Table134567891011121314151617343[[#This Row],[JPN]]-VLOOKUP($U$1,A:Q,16,))/VLOOKUP($U$1,A:Q,16,))*100)+100</f>
        <v/>
      </c>
    </row>
    <row r="267" customFormat="1" s="87">
      <c r="A267" s="21" t="n">
        <v>40940</v>
      </c>
      <c r="B267" s="77">
        <f>IF(VLOOKUP(A267,Database!$A:$AS,MATCH($B$1,Database!$A$1:$AS$1,0),FALSE)=0,#N/A,VLOOKUP(A267,Database!$A:$AS,MATCH($B$1,Database!$A$1:$AS$1,0),FALSE))</f>
        <v/>
      </c>
      <c r="C267" s="77">
        <f>IF(VLOOKUP(A267,Database!$A:$AS,MATCH($C$1,Database!$A$1:$AS$1,0),FALSE)=0,#N/A,VLOOKUP(A267,Database!$A:$AS,MATCH($C$1,Database!$A$1:$AS$1,0),FALSE))</f>
        <v/>
      </c>
      <c r="D267" s="77">
        <f>IF(VLOOKUP(A267,Database!$A:$AS,MATCH($D$1,Database!$A$1:$AS$1,0),FALSE)=0,#N/A,VLOOKUP(A267,Database!$A:$AS,MATCH($D$1,Database!$A$1:$AS$1,0),FALSE))</f>
        <v/>
      </c>
      <c r="E267" s="77">
        <f>IF(VLOOKUP(A267,Database!$A:$AS,MATCH($E$1,Database!$A$1:$AS$1,0),FALSE)=0,#N/A,VLOOKUP(A267,Database!$A:$AS,MATCH($E$1,Database!$A$1:$AS$1,0),FALSE))</f>
        <v/>
      </c>
      <c r="F267" s="77">
        <f>IF(VLOOKUP(A267,Database!$A:$AS,MATCH($F$1,Database!$A$1:$AS$1,0),FALSE)=0,#N/A,VLOOKUP(A267,Database!$A:$AS,MATCH($F$1,Database!$A$1:$AS$1,0),FALSE))</f>
        <v/>
      </c>
      <c r="G267" s="77">
        <f>IF(VLOOKUP(A267,Database!$A:$AS,MATCH($G$1,Database!$A$1:$AS$1,0),FALSE)=0,#N/A,VLOOKUP(A267,Database!$A:$AS,MATCH($G$1,Database!$A$1:$AS$1,0),FALSE))</f>
        <v/>
      </c>
      <c r="H267" s="77">
        <f>(((Table134567891011121314151617343[[#This Row],[ITA]]-VLOOKUP($U$1,A:B,2,))/VLOOKUP($U$1,A:B,2,))*100)+100</f>
        <v/>
      </c>
      <c r="I267" s="77">
        <f>(((Table134567891011121314151617343[[#This Row],[FRA]]-VLOOKUP($U$1,A:C,3,))/VLOOKUP($U$1,A:C,3,))*100)+100</f>
        <v/>
      </c>
      <c r="J267" s="77">
        <f>(((Table134567891011121314151617343[[#This Row],[DEU]]-VLOOKUP($U$1,A:D,4,))/VLOOKUP($U$1,A:D,4,))*100)+100</f>
        <v/>
      </c>
      <c r="K267" s="77">
        <f>(((Table134567891011121314151617343[[#This Row],[ESP]]-VLOOKUP($U$1,A:E,5,))/VLOOKUP($U$1,A:E,5,))*100)+100</f>
        <v/>
      </c>
      <c r="L267" s="77">
        <f>(((Table134567891011121314151617343[[#This Row],[EA19]]-VLOOKUP($U$1,A:F,6,))/VLOOKUP($U$1,A:F,6,))*100)+100</f>
        <v/>
      </c>
      <c r="M267" s="77">
        <f>(((Table134567891011121314151617343[[#This Row],[GBR]]-VLOOKUP($U$1,A:G,7,))/VLOOKUP($U$1,A:G,7,))*100)+100</f>
        <v/>
      </c>
      <c r="N267" s="77">
        <f>IF(VLOOKUP(A267,Database!$A:$AU,MATCH($N$1,Database!$A$1:$AU$1,0),FALSE)=0,#N/A,VLOOKUP(A267,Database!$A:$AU,MATCH($N$1,Database!$A$1:$AU$1,0),FALSE))</f>
        <v/>
      </c>
      <c r="O267" s="77">
        <f>(((Table134567891011121314151617343[[#This Row],[USA]]-VLOOKUP($U$1,A:N,14,))/VLOOKUP($U$1,A:N,14,))*100)+100</f>
        <v/>
      </c>
      <c r="P267" s="77">
        <f>IF(VLOOKUP(A267,Database!$A:$AS,MATCH($P$1,Database!$A$1:$AS$1,0),FALSE)=0,#N/A,VLOOKUP(A267,Database!$A:$AS,MATCH($P$1,Database!$A$1:$AS$1,0),FALSE))</f>
        <v/>
      </c>
      <c r="Q267" s="77">
        <f>(((Table134567891011121314151617343[[#This Row],[JPN]]-VLOOKUP($U$1,A:Q,16,))/VLOOKUP($U$1,A:Q,16,))*100)+100</f>
        <v/>
      </c>
    </row>
    <row r="268" customFormat="1" s="87">
      <c r="A268" s="21" t="n">
        <v>40969</v>
      </c>
      <c r="B268" s="77">
        <f>IF(VLOOKUP(A268,Database!$A:$AS,MATCH($B$1,Database!$A$1:$AS$1,0),FALSE)=0,#N/A,VLOOKUP(A268,Database!$A:$AS,MATCH($B$1,Database!$A$1:$AS$1,0),FALSE))</f>
        <v/>
      </c>
      <c r="C268" s="77">
        <f>IF(VLOOKUP(A268,Database!$A:$AS,MATCH($C$1,Database!$A$1:$AS$1,0),FALSE)=0,#N/A,VLOOKUP(A268,Database!$A:$AS,MATCH($C$1,Database!$A$1:$AS$1,0),FALSE))</f>
        <v/>
      </c>
      <c r="D268" s="77">
        <f>IF(VLOOKUP(A268,Database!$A:$AS,MATCH($D$1,Database!$A$1:$AS$1,0),FALSE)=0,#N/A,VLOOKUP(A268,Database!$A:$AS,MATCH($D$1,Database!$A$1:$AS$1,0),FALSE))</f>
        <v/>
      </c>
      <c r="E268" s="77">
        <f>IF(VLOOKUP(A268,Database!$A:$AS,MATCH($E$1,Database!$A$1:$AS$1,0),FALSE)=0,#N/A,VLOOKUP(A268,Database!$A:$AS,MATCH($E$1,Database!$A$1:$AS$1,0),FALSE))</f>
        <v/>
      </c>
      <c r="F268" s="77">
        <f>IF(VLOOKUP(A268,Database!$A:$AS,MATCH($F$1,Database!$A$1:$AS$1,0),FALSE)=0,#N/A,VLOOKUP(A268,Database!$A:$AS,MATCH($F$1,Database!$A$1:$AS$1,0),FALSE))</f>
        <v/>
      </c>
      <c r="G268" s="77">
        <f>IF(VLOOKUP(A268,Database!$A:$AS,MATCH($G$1,Database!$A$1:$AS$1,0),FALSE)=0,#N/A,VLOOKUP(A268,Database!$A:$AS,MATCH($G$1,Database!$A$1:$AS$1,0),FALSE))</f>
        <v/>
      </c>
      <c r="H268" s="77">
        <f>(((Table134567891011121314151617343[[#This Row],[ITA]]-VLOOKUP($U$1,A:B,2,))/VLOOKUP($U$1,A:B,2,))*100)+100</f>
        <v/>
      </c>
      <c r="I268" s="77">
        <f>(((Table134567891011121314151617343[[#This Row],[FRA]]-VLOOKUP($U$1,A:C,3,))/VLOOKUP($U$1,A:C,3,))*100)+100</f>
        <v/>
      </c>
      <c r="J268" s="77">
        <f>(((Table134567891011121314151617343[[#This Row],[DEU]]-VLOOKUP($U$1,A:D,4,))/VLOOKUP($U$1,A:D,4,))*100)+100</f>
        <v/>
      </c>
      <c r="K268" s="77">
        <f>(((Table134567891011121314151617343[[#This Row],[ESP]]-VLOOKUP($U$1,A:E,5,))/VLOOKUP($U$1,A:E,5,))*100)+100</f>
        <v/>
      </c>
      <c r="L268" s="77">
        <f>(((Table134567891011121314151617343[[#This Row],[EA19]]-VLOOKUP($U$1,A:F,6,))/VLOOKUP($U$1,A:F,6,))*100)+100</f>
        <v/>
      </c>
      <c r="M268" s="77">
        <f>(((Table134567891011121314151617343[[#This Row],[GBR]]-VLOOKUP($U$1,A:G,7,))/VLOOKUP($U$1,A:G,7,))*100)+100</f>
        <v/>
      </c>
      <c r="N268" s="77">
        <f>IF(VLOOKUP(A268,Database!$A:$AU,MATCH($N$1,Database!$A$1:$AU$1,0),FALSE)=0,#N/A,VLOOKUP(A268,Database!$A:$AU,MATCH($N$1,Database!$A$1:$AU$1,0),FALSE))</f>
        <v/>
      </c>
      <c r="O268" s="77">
        <f>(((Table134567891011121314151617343[[#This Row],[USA]]-VLOOKUP($U$1,A:N,14,))/VLOOKUP($U$1,A:N,14,))*100)+100</f>
        <v/>
      </c>
      <c r="P268" s="77">
        <f>IF(VLOOKUP(A268,Database!$A:$AS,MATCH($P$1,Database!$A$1:$AS$1,0),FALSE)=0,#N/A,VLOOKUP(A268,Database!$A:$AS,MATCH($P$1,Database!$A$1:$AS$1,0),FALSE))</f>
        <v/>
      </c>
      <c r="Q268" s="77">
        <f>(((Table134567891011121314151617343[[#This Row],[JPN]]-VLOOKUP($U$1,A:Q,16,))/VLOOKUP($U$1,A:Q,16,))*100)+100</f>
        <v/>
      </c>
    </row>
    <row r="269" customFormat="1" s="87">
      <c r="A269" s="21" t="n">
        <v>41000</v>
      </c>
      <c r="B269" s="77">
        <f>IF(VLOOKUP(A269,Database!$A:$AS,MATCH($B$1,Database!$A$1:$AS$1,0),FALSE)=0,#N/A,VLOOKUP(A269,Database!$A:$AS,MATCH($B$1,Database!$A$1:$AS$1,0),FALSE))</f>
        <v/>
      </c>
      <c r="C269" s="77">
        <f>IF(VLOOKUP(A269,Database!$A:$AS,MATCH($C$1,Database!$A$1:$AS$1,0),FALSE)=0,#N/A,VLOOKUP(A269,Database!$A:$AS,MATCH($C$1,Database!$A$1:$AS$1,0),FALSE))</f>
        <v/>
      </c>
      <c r="D269" s="77">
        <f>IF(VLOOKUP(A269,Database!$A:$AS,MATCH($D$1,Database!$A$1:$AS$1,0),FALSE)=0,#N/A,VLOOKUP(A269,Database!$A:$AS,MATCH($D$1,Database!$A$1:$AS$1,0),FALSE))</f>
        <v/>
      </c>
      <c r="E269" s="77">
        <f>IF(VLOOKUP(A269,Database!$A:$AS,MATCH($E$1,Database!$A$1:$AS$1,0),FALSE)=0,#N/A,VLOOKUP(A269,Database!$A:$AS,MATCH($E$1,Database!$A$1:$AS$1,0),FALSE))</f>
        <v/>
      </c>
      <c r="F269" s="77">
        <f>IF(VLOOKUP(A269,Database!$A:$AS,MATCH($F$1,Database!$A$1:$AS$1,0),FALSE)=0,#N/A,VLOOKUP(A269,Database!$A:$AS,MATCH($F$1,Database!$A$1:$AS$1,0),FALSE))</f>
        <v/>
      </c>
      <c r="G269" s="77">
        <f>IF(VLOOKUP(A269,Database!$A:$AS,MATCH($G$1,Database!$A$1:$AS$1,0),FALSE)=0,#N/A,VLOOKUP(A269,Database!$A:$AS,MATCH($G$1,Database!$A$1:$AS$1,0),FALSE))</f>
        <v/>
      </c>
      <c r="H269" s="77">
        <f>(((Table134567891011121314151617343[[#This Row],[ITA]]-VLOOKUP($U$1,A:B,2,))/VLOOKUP($U$1,A:B,2,))*100)+100</f>
        <v/>
      </c>
      <c r="I269" s="77">
        <f>(((Table134567891011121314151617343[[#This Row],[FRA]]-VLOOKUP($U$1,A:C,3,))/VLOOKUP($U$1,A:C,3,))*100)+100</f>
        <v/>
      </c>
      <c r="J269" s="77">
        <f>(((Table134567891011121314151617343[[#This Row],[DEU]]-VLOOKUP($U$1,A:D,4,))/VLOOKUP($U$1,A:D,4,))*100)+100</f>
        <v/>
      </c>
      <c r="K269" s="77">
        <f>(((Table134567891011121314151617343[[#This Row],[ESP]]-VLOOKUP($U$1,A:E,5,))/VLOOKUP($U$1,A:E,5,))*100)+100</f>
        <v/>
      </c>
      <c r="L269" s="77">
        <f>(((Table134567891011121314151617343[[#This Row],[EA19]]-VLOOKUP($U$1,A:F,6,))/VLOOKUP($U$1,A:F,6,))*100)+100</f>
        <v/>
      </c>
      <c r="M269" s="77">
        <f>(((Table134567891011121314151617343[[#This Row],[GBR]]-VLOOKUP($U$1,A:G,7,))/VLOOKUP($U$1,A:G,7,))*100)+100</f>
        <v/>
      </c>
      <c r="N269" s="77">
        <f>IF(VLOOKUP(A269,Database!$A:$AU,MATCH($N$1,Database!$A$1:$AU$1,0),FALSE)=0,#N/A,VLOOKUP(A269,Database!$A:$AU,MATCH($N$1,Database!$A$1:$AU$1,0),FALSE))</f>
        <v/>
      </c>
      <c r="O269" s="77">
        <f>(((Table134567891011121314151617343[[#This Row],[USA]]-VLOOKUP($U$1,A:N,14,))/VLOOKUP($U$1,A:N,14,))*100)+100</f>
        <v/>
      </c>
      <c r="P269" s="77">
        <f>IF(VLOOKUP(A269,Database!$A:$AS,MATCH($P$1,Database!$A$1:$AS$1,0),FALSE)=0,#N/A,VLOOKUP(A269,Database!$A:$AS,MATCH($P$1,Database!$A$1:$AS$1,0),FALSE))</f>
        <v/>
      </c>
      <c r="Q269" s="77">
        <f>(((Table134567891011121314151617343[[#This Row],[JPN]]-VLOOKUP($U$1,A:Q,16,))/VLOOKUP($U$1,A:Q,16,))*100)+100</f>
        <v/>
      </c>
    </row>
    <row r="270" customFormat="1" s="87">
      <c r="A270" s="21" t="n">
        <v>41030</v>
      </c>
      <c r="B270" s="77">
        <f>IF(VLOOKUP(A270,Database!$A:$AS,MATCH($B$1,Database!$A$1:$AS$1,0),FALSE)=0,#N/A,VLOOKUP(A270,Database!$A:$AS,MATCH($B$1,Database!$A$1:$AS$1,0),FALSE))</f>
        <v/>
      </c>
      <c r="C270" s="77">
        <f>IF(VLOOKUP(A270,Database!$A:$AS,MATCH($C$1,Database!$A$1:$AS$1,0),FALSE)=0,#N/A,VLOOKUP(A270,Database!$A:$AS,MATCH($C$1,Database!$A$1:$AS$1,0),FALSE))</f>
        <v/>
      </c>
      <c r="D270" s="77">
        <f>IF(VLOOKUP(A270,Database!$A:$AS,MATCH($D$1,Database!$A$1:$AS$1,0),FALSE)=0,#N/A,VLOOKUP(A270,Database!$A:$AS,MATCH($D$1,Database!$A$1:$AS$1,0),FALSE))</f>
        <v/>
      </c>
      <c r="E270" s="77">
        <f>IF(VLOOKUP(A270,Database!$A:$AS,MATCH($E$1,Database!$A$1:$AS$1,0),FALSE)=0,#N/A,VLOOKUP(A270,Database!$A:$AS,MATCH($E$1,Database!$A$1:$AS$1,0),FALSE))</f>
        <v/>
      </c>
      <c r="F270" s="77">
        <f>IF(VLOOKUP(A270,Database!$A:$AS,MATCH($F$1,Database!$A$1:$AS$1,0),FALSE)=0,#N/A,VLOOKUP(A270,Database!$A:$AS,MATCH($F$1,Database!$A$1:$AS$1,0),FALSE))</f>
        <v/>
      </c>
      <c r="G270" s="77">
        <f>IF(VLOOKUP(A270,Database!$A:$AS,MATCH($G$1,Database!$A$1:$AS$1,0),FALSE)=0,#N/A,VLOOKUP(A270,Database!$A:$AS,MATCH($G$1,Database!$A$1:$AS$1,0),FALSE))</f>
        <v/>
      </c>
      <c r="H270" s="77">
        <f>(((Table134567891011121314151617343[[#This Row],[ITA]]-VLOOKUP($U$1,A:B,2,))/VLOOKUP($U$1,A:B,2,))*100)+100</f>
        <v/>
      </c>
      <c r="I270" s="77">
        <f>(((Table134567891011121314151617343[[#This Row],[FRA]]-VLOOKUP($U$1,A:C,3,))/VLOOKUP($U$1,A:C,3,))*100)+100</f>
        <v/>
      </c>
      <c r="J270" s="77">
        <f>(((Table134567891011121314151617343[[#This Row],[DEU]]-VLOOKUP($U$1,A:D,4,))/VLOOKUP($U$1,A:D,4,))*100)+100</f>
        <v/>
      </c>
      <c r="K270" s="77">
        <f>(((Table134567891011121314151617343[[#This Row],[ESP]]-VLOOKUP($U$1,A:E,5,))/VLOOKUP($U$1,A:E,5,))*100)+100</f>
        <v/>
      </c>
      <c r="L270" s="77">
        <f>(((Table134567891011121314151617343[[#This Row],[EA19]]-VLOOKUP($U$1,A:F,6,))/VLOOKUP($U$1,A:F,6,))*100)+100</f>
        <v/>
      </c>
      <c r="M270" s="77">
        <f>(((Table134567891011121314151617343[[#This Row],[GBR]]-VLOOKUP($U$1,A:G,7,))/VLOOKUP($U$1,A:G,7,))*100)+100</f>
        <v/>
      </c>
      <c r="N270" s="77">
        <f>IF(VLOOKUP(A270,Database!$A:$AU,MATCH($N$1,Database!$A$1:$AU$1,0),FALSE)=0,#N/A,VLOOKUP(A270,Database!$A:$AU,MATCH($N$1,Database!$A$1:$AU$1,0),FALSE))</f>
        <v/>
      </c>
      <c r="O270" s="77">
        <f>(((Table134567891011121314151617343[[#This Row],[USA]]-VLOOKUP($U$1,A:N,14,))/VLOOKUP($U$1,A:N,14,))*100)+100</f>
        <v/>
      </c>
      <c r="P270" s="77">
        <f>IF(VLOOKUP(A270,Database!$A:$AS,MATCH($P$1,Database!$A$1:$AS$1,0),FALSE)=0,#N/A,VLOOKUP(A270,Database!$A:$AS,MATCH($P$1,Database!$A$1:$AS$1,0),FALSE))</f>
        <v/>
      </c>
      <c r="Q270" s="77">
        <f>(((Table134567891011121314151617343[[#This Row],[JPN]]-VLOOKUP($U$1,A:Q,16,))/VLOOKUP($U$1,A:Q,16,))*100)+100</f>
        <v/>
      </c>
    </row>
    <row r="271" customFormat="1" s="87">
      <c r="A271" s="21" t="n">
        <v>41061</v>
      </c>
      <c r="B271" s="77">
        <f>IF(VLOOKUP(A271,Database!$A:$AS,MATCH($B$1,Database!$A$1:$AS$1,0),FALSE)=0,#N/A,VLOOKUP(A271,Database!$A:$AS,MATCH($B$1,Database!$A$1:$AS$1,0),FALSE))</f>
        <v/>
      </c>
      <c r="C271" s="77">
        <f>IF(VLOOKUP(A271,Database!$A:$AS,MATCH($C$1,Database!$A$1:$AS$1,0),FALSE)=0,#N/A,VLOOKUP(A271,Database!$A:$AS,MATCH($C$1,Database!$A$1:$AS$1,0),FALSE))</f>
        <v/>
      </c>
      <c r="D271" s="77">
        <f>IF(VLOOKUP(A271,Database!$A:$AS,MATCH($D$1,Database!$A$1:$AS$1,0),FALSE)=0,#N/A,VLOOKUP(A271,Database!$A:$AS,MATCH($D$1,Database!$A$1:$AS$1,0),FALSE))</f>
        <v/>
      </c>
      <c r="E271" s="77">
        <f>IF(VLOOKUP(A271,Database!$A:$AS,MATCH($E$1,Database!$A$1:$AS$1,0),FALSE)=0,#N/A,VLOOKUP(A271,Database!$A:$AS,MATCH($E$1,Database!$A$1:$AS$1,0),FALSE))</f>
        <v/>
      </c>
      <c r="F271" s="77">
        <f>IF(VLOOKUP(A271,Database!$A:$AS,MATCH($F$1,Database!$A$1:$AS$1,0),FALSE)=0,#N/A,VLOOKUP(A271,Database!$A:$AS,MATCH($F$1,Database!$A$1:$AS$1,0),FALSE))</f>
        <v/>
      </c>
      <c r="G271" s="77">
        <f>IF(VLOOKUP(A271,Database!$A:$AS,MATCH($G$1,Database!$A$1:$AS$1,0),FALSE)=0,#N/A,VLOOKUP(A271,Database!$A:$AS,MATCH($G$1,Database!$A$1:$AS$1,0),FALSE))</f>
        <v/>
      </c>
      <c r="H271" s="77">
        <f>(((Table134567891011121314151617343[[#This Row],[ITA]]-VLOOKUP($U$1,A:B,2,))/VLOOKUP($U$1,A:B,2,))*100)+100</f>
        <v/>
      </c>
      <c r="I271" s="77">
        <f>(((Table134567891011121314151617343[[#This Row],[FRA]]-VLOOKUP($U$1,A:C,3,))/VLOOKUP($U$1,A:C,3,))*100)+100</f>
        <v/>
      </c>
      <c r="J271" s="77">
        <f>(((Table134567891011121314151617343[[#This Row],[DEU]]-VLOOKUP($U$1,A:D,4,))/VLOOKUP($U$1,A:D,4,))*100)+100</f>
        <v/>
      </c>
      <c r="K271" s="77">
        <f>(((Table134567891011121314151617343[[#This Row],[ESP]]-VLOOKUP($U$1,A:E,5,))/VLOOKUP($U$1,A:E,5,))*100)+100</f>
        <v/>
      </c>
      <c r="L271" s="77">
        <f>(((Table134567891011121314151617343[[#This Row],[EA19]]-VLOOKUP($U$1,A:F,6,))/VLOOKUP($U$1,A:F,6,))*100)+100</f>
        <v/>
      </c>
      <c r="M271" s="77">
        <f>(((Table134567891011121314151617343[[#This Row],[GBR]]-VLOOKUP($U$1,A:G,7,))/VLOOKUP($U$1,A:G,7,))*100)+100</f>
        <v/>
      </c>
      <c r="N271" s="77">
        <f>IF(VLOOKUP(A271,Database!$A:$AU,MATCH($N$1,Database!$A$1:$AU$1,0),FALSE)=0,#N/A,VLOOKUP(A271,Database!$A:$AU,MATCH($N$1,Database!$A$1:$AU$1,0),FALSE))</f>
        <v/>
      </c>
      <c r="O271" s="77">
        <f>(((Table134567891011121314151617343[[#This Row],[USA]]-VLOOKUP($U$1,A:N,14,))/VLOOKUP($U$1,A:N,14,))*100)+100</f>
        <v/>
      </c>
      <c r="P271" s="77">
        <f>IF(VLOOKUP(A271,Database!$A:$AS,MATCH($P$1,Database!$A$1:$AS$1,0),FALSE)=0,#N/A,VLOOKUP(A271,Database!$A:$AS,MATCH($P$1,Database!$A$1:$AS$1,0),FALSE))</f>
        <v/>
      </c>
      <c r="Q271" s="77">
        <f>(((Table134567891011121314151617343[[#This Row],[JPN]]-VLOOKUP($U$1,A:Q,16,))/VLOOKUP($U$1,A:Q,16,))*100)+100</f>
        <v/>
      </c>
    </row>
    <row r="272" customFormat="1" s="87">
      <c r="A272" s="21" t="n">
        <v>41091</v>
      </c>
      <c r="B272" s="77">
        <f>IF(VLOOKUP(A272,Database!$A:$AS,MATCH($B$1,Database!$A$1:$AS$1,0),FALSE)=0,#N/A,VLOOKUP(A272,Database!$A:$AS,MATCH($B$1,Database!$A$1:$AS$1,0),FALSE))</f>
        <v/>
      </c>
      <c r="C272" s="77">
        <f>IF(VLOOKUP(A272,Database!$A:$AS,MATCH($C$1,Database!$A$1:$AS$1,0),FALSE)=0,#N/A,VLOOKUP(A272,Database!$A:$AS,MATCH($C$1,Database!$A$1:$AS$1,0),FALSE))</f>
        <v/>
      </c>
      <c r="D272" s="77">
        <f>IF(VLOOKUP(A272,Database!$A:$AS,MATCH($D$1,Database!$A$1:$AS$1,0),FALSE)=0,#N/A,VLOOKUP(A272,Database!$A:$AS,MATCH($D$1,Database!$A$1:$AS$1,0),FALSE))</f>
        <v/>
      </c>
      <c r="E272" s="77">
        <f>IF(VLOOKUP(A272,Database!$A:$AS,MATCH($E$1,Database!$A$1:$AS$1,0),FALSE)=0,#N/A,VLOOKUP(A272,Database!$A:$AS,MATCH($E$1,Database!$A$1:$AS$1,0),FALSE))</f>
        <v/>
      </c>
      <c r="F272" s="77">
        <f>IF(VLOOKUP(A272,Database!$A:$AS,MATCH($F$1,Database!$A$1:$AS$1,0),FALSE)=0,#N/A,VLOOKUP(A272,Database!$A:$AS,MATCH($F$1,Database!$A$1:$AS$1,0),FALSE))</f>
        <v/>
      </c>
      <c r="G272" s="77">
        <f>IF(VLOOKUP(A272,Database!$A:$AS,MATCH($G$1,Database!$A$1:$AS$1,0),FALSE)=0,#N/A,VLOOKUP(A272,Database!$A:$AS,MATCH($G$1,Database!$A$1:$AS$1,0),FALSE))</f>
        <v/>
      </c>
      <c r="H272" s="77">
        <f>(((Table134567891011121314151617343[[#This Row],[ITA]]-VLOOKUP($U$1,A:B,2,))/VLOOKUP($U$1,A:B,2,))*100)+100</f>
        <v/>
      </c>
      <c r="I272" s="77">
        <f>(((Table134567891011121314151617343[[#This Row],[FRA]]-VLOOKUP($U$1,A:C,3,))/VLOOKUP($U$1,A:C,3,))*100)+100</f>
        <v/>
      </c>
      <c r="J272" s="77">
        <f>(((Table134567891011121314151617343[[#This Row],[DEU]]-VLOOKUP($U$1,A:D,4,))/VLOOKUP($U$1,A:D,4,))*100)+100</f>
        <v/>
      </c>
      <c r="K272" s="77">
        <f>(((Table134567891011121314151617343[[#This Row],[ESP]]-VLOOKUP($U$1,A:E,5,))/VLOOKUP($U$1,A:E,5,))*100)+100</f>
        <v/>
      </c>
      <c r="L272" s="77">
        <f>(((Table134567891011121314151617343[[#This Row],[EA19]]-VLOOKUP($U$1,A:F,6,))/VLOOKUP($U$1,A:F,6,))*100)+100</f>
        <v/>
      </c>
      <c r="M272" s="77">
        <f>(((Table134567891011121314151617343[[#This Row],[GBR]]-VLOOKUP($U$1,A:G,7,))/VLOOKUP($U$1,A:G,7,))*100)+100</f>
        <v/>
      </c>
      <c r="N272" s="77">
        <f>IF(VLOOKUP(A272,Database!$A:$AU,MATCH($N$1,Database!$A$1:$AU$1,0),FALSE)=0,#N/A,VLOOKUP(A272,Database!$A:$AU,MATCH($N$1,Database!$A$1:$AU$1,0),FALSE))</f>
        <v/>
      </c>
      <c r="O272" s="77">
        <f>(((Table134567891011121314151617343[[#This Row],[USA]]-VLOOKUP($U$1,A:N,14,))/VLOOKUP($U$1,A:N,14,))*100)+100</f>
        <v/>
      </c>
      <c r="P272" s="77">
        <f>IF(VLOOKUP(A272,Database!$A:$AS,MATCH($P$1,Database!$A$1:$AS$1,0),FALSE)=0,#N/A,VLOOKUP(A272,Database!$A:$AS,MATCH($P$1,Database!$A$1:$AS$1,0),FALSE))</f>
        <v/>
      </c>
      <c r="Q272" s="77">
        <f>(((Table134567891011121314151617343[[#This Row],[JPN]]-VLOOKUP($U$1,A:Q,16,))/VLOOKUP($U$1,A:Q,16,))*100)+100</f>
        <v/>
      </c>
    </row>
    <row r="273" customFormat="1" s="87">
      <c r="A273" s="21" t="n">
        <v>41122</v>
      </c>
      <c r="B273" s="77">
        <f>IF(VLOOKUP(A273,Database!$A:$AS,MATCH($B$1,Database!$A$1:$AS$1,0),FALSE)=0,#N/A,VLOOKUP(A273,Database!$A:$AS,MATCH($B$1,Database!$A$1:$AS$1,0),FALSE))</f>
        <v/>
      </c>
      <c r="C273" s="77">
        <f>IF(VLOOKUP(A273,Database!$A:$AS,MATCH($C$1,Database!$A$1:$AS$1,0),FALSE)=0,#N/A,VLOOKUP(A273,Database!$A:$AS,MATCH($C$1,Database!$A$1:$AS$1,0),FALSE))</f>
        <v/>
      </c>
      <c r="D273" s="77">
        <f>IF(VLOOKUP(A273,Database!$A:$AS,MATCH($D$1,Database!$A$1:$AS$1,0),FALSE)=0,#N/A,VLOOKUP(A273,Database!$A:$AS,MATCH($D$1,Database!$A$1:$AS$1,0),FALSE))</f>
        <v/>
      </c>
      <c r="E273" s="77">
        <f>IF(VLOOKUP(A273,Database!$A:$AS,MATCH($E$1,Database!$A$1:$AS$1,0),FALSE)=0,#N/A,VLOOKUP(A273,Database!$A:$AS,MATCH($E$1,Database!$A$1:$AS$1,0),FALSE))</f>
        <v/>
      </c>
      <c r="F273" s="77">
        <f>IF(VLOOKUP(A273,Database!$A:$AS,MATCH($F$1,Database!$A$1:$AS$1,0),FALSE)=0,#N/A,VLOOKUP(A273,Database!$A:$AS,MATCH($F$1,Database!$A$1:$AS$1,0),FALSE))</f>
        <v/>
      </c>
      <c r="G273" s="77">
        <f>IF(VLOOKUP(A273,Database!$A:$AS,MATCH($G$1,Database!$A$1:$AS$1,0),FALSE)=0,#N/A,VLOOKUP(A273,Database!$A:$AS,MATCH($G$1,Database!$A$1:$AS$1,0),FALSE))</f>
        <v/>
      </c>
      <c r="H273" s="77">
        <f>(((Table134567891011121314151617343[[#This Row],[ITA]]-VLOOKUP($U$1,A:B,2,))/VLOOKUP($U$1,A:B,2,))*100)+100</f>
        <v/>
      </c>
      <c r="I273" s="77">
        <f>(((Table134567891011121314151617343[[#This Row],[FRA]]-VLOOKUP($U$1,A:C,3,))/VLOOKUP($U$1,A:C,3,))*100)+100</f>
        <v/>
      </c>
      <c r="J273" s="77">
        <f>(((Table134567891011121314151617343[[#This Row],[DEU]]-VLOOKUP($U$1,A:D,4,))/VLOOKUP($U$1,A:D,4,))*100)+100</f>
        <v/>
      </c>
      <c r="K273" s="77">
        <f>(((Table134567891011121314151617343[[#This Row],[ESP]]-VLOOKUP($U$1,A:E,5,))/VLOOKUP($U$1,A:E,5,))*100)+100</f>
        <v/>
      </c>
      <c r="L273" s="77">
        <f>(((Table134567891011121314151617343[[#This Row],[EA19]]-VLOOKUP($U$1,A:F,6,))/VLOOKUP($U$1,A:F,6,))*100)+100</f>
        <v/>
      </c>
      <c r="M273" s="77">
        <f>(((Table134567891011121314151617343[[#This Row],[GBR]]-VLOOKUP($U$1,A:G,7,))/VLOOKUP($U$1,A:G,7,))*100)+100</f>
        <v/>
      </c>
      <c r="N273" s="77">
        <f>IF(VLOOKUP(A273,Database!$A:$AU,MATCH($N$1,Database!$A$1:$AU$1,0),FALSE)=0,#N/A,VLOOKUP(A273,Database!$A:$AU,MATCH($N$1,Database!$A$1:$AU$1,0),FALSE))</f>
        <v/>
      </c>
      <c r="O273" s="77">
        <f>(((Table134567891011121314151617343[[#This Row],[USA]]-VLOOKUP($U$1,A:N,14,))/VLOOKUP($U$1,A:N,14,))*100)+100</f>
        <v/>
      </c>
      <c r="P273" s="77">
        <f>IF(VLOOKUP(A273,Database!$A:$AS,MATCH($P$1,Database!$A$1:$AS$1,0),FALSE)=0,#N/A,VLOOKUP(A273,Database!$A:$AS,MATCH($P$1,Database!$A$1:$AS$1,0),FALSE))</f>
        <v/>
      </c>
      <c r="Q273" s="77">
        <f>(((Table134567891011121314151617343[[#This Row],[JPN]]-VLOOKUP($U$1,A:Q,16,))/VLOOKUP($U$1,A:Q,16,))*100)+100</f>
        <v/>
      </c>
    </row>
    <row r="274" customFormat="1" s="87">
      <c r="A274" s="21" t="n">
        <v>41153</v>
      </c>
      <c r="B274" s="77">
        <f>IF(VLOOKUP(A274,Database!$A:$AS,MATCH($B$1,Database!$A$1:$AS$1,0),FALSE)=0,#N/A,VLOOKUP(A274,Database!$A:$AS,MATCH($B$1,Database!$A$1:$AS$1,0),FALSE))</f>
        <v/>
      </c>
      <c r="C274" s="77">
        <f>IF(VLOOKUP(A274,Database!$A:$AS,MATCH($C$1,Database!$A$1:$AS$1,0),FALSE)=0,#N/A,VLOOKUP(A274,Database!$A:$AS,MATCH($C$1,Database!$A$1:$AS$1,0),FALSE))</f>
        <v/>
      </c>
      <c r="D274" s="77">
        <f>IF(VLOOKUP(A274,Database!$A:$AS,MATCH($D$1,Database!$A$1:$AS$1,0),FALSE)=0,#N/A,VLOOKUP(A274,Database!$A:$AS,MATCH($D$1,Database!$A$1:$AS$1,0),FALSE))</f>
        <v/>
      </c>
      <c r="E274" s="77">
        <f>IF(VLOOKUP(A274,Database!$A:$AS,MATCH($E$1,Database!$A$1:$AS$1,0),FALSE)=0,#N/A,VLOOKUP(A274,Database!$A:$AS,MATCH($E$1,Database!$A$1:$AS$1,0),FALSE))</f>
        <v/>
      </c>
      <c r="F274" s="77">
        <f>IF(VLOOKUP(A274,Database!$A:$AS,MATCH($F$1,Database!$A$1:$AS$1,0),FALSE)=0,#N/A,VLOOKUP(A274,Database!$A:$AS,MATCH($F$1,Database!$A$1:$AS$1,0),FALSE))</f>
        <v/>
      </c>
      <c r="G274" s="77">
        <f>IF(VLOOKUP(A274,Database!$A:$AS,MATCH($G$1,Database!$A$1:$AS$1,0),FALSE)=0,#N/A,VLOOKUP(A274,Database!$A:$AS,MATCH($G$1,Database!$A$1:$AS$1,0),FALSE))</f>
        <v/>
      </c>
      <c r="H274" s="77">
        <f>(((Table134567891011121314151617343[[#This Row],[ITA]]-VLOOKUP($U$1,A:B,2,))/VLOOKUP($U$1,A:B,2,))*100)+100</f>
        <v/>
      </c>
      <c r="I274" s="77">
        <f>(((Table134567891011121314151617343[[#This Row],[FRA]]-VLOOKUP($U$1,A:C,3,))/VLOOKUP($U$1,A:C,3,))*100)+100</f>
        <v/>
      </c>
      <c r="J274" s="77">
        <f>(((Table134567891011121314151617343[[#This Row],[DEU]]-VLOOKUP($U$1,A:D,4,))/VLOOKUP($U$1,A:D,4,))*100)+100</f>
        <v/>
      </c>
      <c r="K274" s="77">
        <f>(((Table134567891011121314151617343[[#This Row],[ESP]]-VLOOKUP($U$1,A:E,5,))/VLOOKUP($U$1,A:E,5,))*100)+100</f>
        <v/>
      </c>
      <c r="L274" s="77">
        <f>(((Table134567891011121314151617343[[#This Row],[EA19]]-VLOOKUP($U$1,A:F,6,))/VLOOKUP($U$1,A:F,6,))*100)+100</f>
        <v/>
      </c>
      <c r="M274" s="77">
        <f>(((Table134567891011121314151617343[[#This Row],[GBR]]-VLOOKUP($U$1,A:G,7,))/VLOOKUP($U$1,A:G,7,))*100)+100</f>
        <v/>
      </c>
      <c r="N274" s="77">
        <f>IF(VLOOKUP(A274,Database!$A:$AU,MATCH($N$1,Database!$A$1:$AU$1,0),FALSE)=0,#N/A,VLOOKUP(A274,Database!$A:$AU,MATCH($N$1,Database!$A$1:$AU$1,0),FALSE))</f>
        <v/>
      </c>
      <c r="O274" s="77">
        <f>(((Table134567891011121314151617343[[#This Row],[USA]]-VLOOKUP($U$1,A:N,14,))/VLOOKUP($U$1,A:N,14,))*100)+100</f>
        <v/>
      </c>
      <c r="P274" s="77">
        <f>IF(VLOOKUP(A274,Database!$A:$AS,MATCH($P$1,Database!$A$1:$AS$1,0),FALSE)=0,#N/A,VLOOKUP(A274,Database!$A:$AS,MATCH($P$1,Database!$A$1:$AS$1,0),FALSE))</f>
        <v/>
      </c>
      <c r="Q274" s="77">
        <f>(((Table134567891011121314151617343[[#This Row],[JPN]]-VLOOKUP($U$1,A:Q,16,))/VLOOKUP($U$1,A:Q,16,))*100)+100</f>
        <v/>
      </c>
    </row>
    <row r="275" customFormat="1" s="87">
      <c r="A275" s="21" t="n">
        <v>41183</v>
      </c>
      <c r="B275" s="77">
        <f>IF(VLOOKUP(A275,Database!$A:$AS,MATCH($B$1,Database!$A$1:$AS$1,0),FALSE)=0,#N/A,VLOOKUP(A275,Database!$A:$AS,MATCH($B$1,Database!$A$1:$AS$1,0),FALSE))</f>
        <v/>
      </c>
      <c r="C275" s="77">
        <f>IF(VLOOKUP(A275,Database!$A:$AS,MATCH($C$1,Database!$A$1:$AS$1,0),FALSE)=0,#N/A,VLOOKUP(A275,Database!$A:$AS,MATCH($C$1,Database!$A$1:$AS$1,0),FALSE))</f>
        <v/>
      </c>
      <c r="D275" s="77">
        <f>IF(VLOOKUP(A275,Database!$A:$AS,MATCH($D$1,Database!$A$1:$AS$1,0),FALSE)=0,#N/A,VLOOKUP(A275,Database!$A:$AS,MATCH($D$1,Database!$A$1:$AS$1,0),FALSE))</f>
        <v/>
      </c>
      <c r="E275" s="77">
        <f>IF(VLOOKUP(A275,Database!$A:$AS,MATCH($E$1,Database!$A$1:$AS$1,0),FALSE)=0,#N/A,VLOOKUP(A275,Database!$A:$AS,MATCH($E$1,Database!$A$1:$AS$1,0),FALSE))</f>
        <v/>
      </c>
      <c r="F275" s="77">
        <f>IF(VLOOKUP(A275,Database!$A:$AS,MATCH($F$1,Database!$A$1:$AS$1,0),FALSE)=0,#N/A,VLOOKUP(A275,Database!$A:$AS,MATCH($F$1,Database!$A$1:$AS$1,0),FALSE))</f>
        <v/>
      </c>
      <c r="G275" s="77">
        <f>IF(VLOOKUP(A275,Database!$A:$AS,MATCH($G$1,Database!$A$1:$AS$1,0),FALSE)=0,#N/A,VLOOKUP(A275,Database!$A:$AS,MATCH($G$1,Database!$A$1:$AS$1,0),FALSE))</f>
        <v/>
      </c>
      <c r="H275" s="77">
        <f>(((Table134567891011121314151617343[[#This Row],[ITA]]-VLOOKUP($U$1,A:B,2,))/VLOOKUP($U$1,A:B,2,))*100)+100</f>
        <v/>
      </c>
      <c r="I275" s="77">
        <f>(((Table134567891011121314151617343[[#This Row],[FRA]]-VLOOKUP($U$1,A:C,3,))/VLOOKUP($U$1,A:C,3,))*100)+100</f>
        <v/>
      </c>
      <c r="J275" s="77">
        <f>(((Table134567891011121314151617343[[#This Row],[DEU]]-VLOOKUP($U$1,A:D,4,))/VLOOKUP($U$1,A:D,4,))*100)+100</f>
        <v/>
      </c>
      <c r="K275" s="77">
        <f>(((Table134567891011121314151617343[[#This Row],[ESP]]-VLOOKUP($U$1,A:E,5,))/VLOOKUP($U$1,A:E,5,))*100)+100</f>
        <v/>
      </c>
      <c r="L275" s="77">
        <f>(((Table134567891011121314151617343[[#This Row],[EA19]]-VLOOKUP($U$1,A:F,6,))/VLOOKUP($U$1,A:F,6,))*100)+100</f>
        <v/>
      </c>
      <c r="M275" s="77">
        <f>(((Table134567891011121314151617343[[#This Row],[GBR]]-VLOOKUP($U$1,A:G,7,))/VLOOKUP($U$1,A:G,7,))*100)+100</f>
        <v/>
      </c>
      <c r="N275" s="77">
        <f>IF(VLOOKUP(A275,Database!$A:$AU,MATCH($N$1,Database!$A$1:$AU$1,0),FALSE)=0,#N/A,VLOOKUP(A275,Database!$A:$AU,MATCH($N$1,Database!$A$1:$AU$1,0),FALSE))</f>
        <v/>
      </c>
      <c r="O275" s="77">
        <f>(((Table134567891011121314151617343[[#This Row],[USA]]-VLOOKUP($U$1,A:N,14,))/VLOOKUP($U$1,A:N,14,))*100)+100</f>
        <v/>
      </c>
      <c r="P275" s="77">
        <f>IF(VLOOKUP(A275,Database!$A:$AS,MATCH($P$1,Database!$A$1:$AS$1,0),FALSE)=0,#N/A,VLOOKUP(A275,Database!$A:$AS,MATCH($P$1,Database!$A$1:$AS$1,0),FALSE))</f>
        <v/>
      </c>
      <c r="Q275" s="77">
        <f>(((Table134567891011121314151617343[[#This Row],[JPN]]-VLOOKUP($U$1,A:Q,16,))/VLOOKUP($U$1,A:Q,16,))*100)+100</f>
        <v/>
      </c>
    </row>
    <row r="276" customFormat="1" s="87">
      <c r="A276" s="21" t="n">
        <v>41214</v>
      </c>
      <c r="B276" s="77">
        <f>IF(VLOOKUP(A276,Database!$A:$AS,MATCH($B$1,Database!$A$1:$AS$1,0),FALSE)=0,#N/A,VLOOKUP(A276,Database!$A:$AS,MATCH($B$1,Database!$A$1:$AS$1,0),FALSE))</f>
        <v/>
      </c>
      <c r="C276" s="77">
        <f>IF(VLOOKUP(A276,Database!$A:$AS,MATCH($C$1,Database!$A$1:$AS$1,0),FALSE)=0,#N/A,VLOOKUP(A276,Database!$A:$AS,MATCH($C$1,Database!$A$1:$AS$1,0),FALSE))</f>
        <v/>
      </c>
      <c r="D276" s="77">
        <f>IF(VLOOKUP(A276,Database!$A:$AS,MATCH($D$1,Database!$A$1:$AS$1,0),FALSE)=0,#N/A,VLOOKUP(A276,Database!$A:$AS,MATCH($D$1,Database!$A$1:$AS$1,0),FALSE))</f>
        <v/>
      </c>
      <c r="E276" s="77">
        <f>IF(VLOOKUP(A276,Database!$A:$AS,MATCH($E$1,Database!$A$1:$AS$1,0),FALSE)=0,#N/A,VLOOKUP(A276,Database!$A:$AS,MATCH($E$1,Database!$A$1:$AS$1,0),FALSE))</f>
        <v/>
      </c>
      <c r="F276" s="77">
        <f>IF(VLOOKUP(A276,Database!$A:$AS,MATCH($F$1,Database!$A$1:$AS$1,0),FALSE)=0,#N/A,VLOOKUP(A276,Database!$A:$AS,MATCH($F$1,Database!$A$1:$AS$1,0),FALSE))</f>
        <v/>
      </c>
      <c r="G276" s="77">
        <f>IF(VLOOKUP(A276,Database!$A:$AS,MATCH($G$1,Database!$A$1:$AS$1,0),FALSE)=0,#N/A,VLOOKUP(A276,Database!$A:$AS,MATCH($G$1,Database!$A$1:$AS$1,0),FALSE))</f>
        <v/>
      </c>
      <c r="H276" s="77">
        <f>(((Table134567891011121314151617343[[#This Row],[ITA]]-VLOOKUP($U$1,A:B,2,))/VLOOKUP($U$1,A:B,2,))*100)+100</f>
        <v/>
      </c>
      <c r="I276" s="77">
        <f>(((Table134567891011121314151617343[[#This Row],[FRA]]-VLOOKUP($U$1,A:C,3,))/VLOOKUP($U$1,A:C,3,))*100)+100</f>
        <v/>
      </c>
      <c r="J276" s="77">
        <f>(((Table134567891011121314151617343[[#This Row],[DEU]]-VLOOKUP($U$1,A:D,4,))/VLOOKUP($U$1,A:D,4,))*100)+100</f>
        <v/>
      </c>
      <c r="K276" s="77">
        <f>(((Table134567891011121314151617343[[#This Row],[ESP]]-VLOOKUP($U$1,A:E,5,))/VLOOKUP($U$1,A:E,5,))*100)+100</f>
        <v/>
      </c>
      <c r="L276" s="77">
        <f>(((Table134567891011121314151617343[[#This Row],[EA19]]-VLOOKUP($U$1,A:F,6,))/VLOOKUP($U$1,A:F,6,))*100)+100</f>
        <v/>
      </c>
      <c r="M276" s="77">
        <f>(((Table134567891011121314151617343[[#This Row],[GBR]]-VLOOKUP($U$1,A:G,7,))/VLOOKUP($U$1,A:G,7,))*100)+100</f>
        <v/>
      </c>
      <c r="N276" s="77">
        <f>IF(VLOOKUP(A276,Database!$A:$AU,MATCH($N$1,Database!$A$1:$AU$1,0),FALSE)=0,#N/A,VLOOKUP(A276,Database!$A:$AU,MATCH($N$1,Database!$A$1:$AU$1,0),FALSE))</f>
        <v/>
      </c>
      <c r="O276" s="77">
        <f>(((Table134567891011121314151617343[[#This Row],[USA]]-VLOOKUP($U$1,A:N,14,))/VLOOKUP($U$1,A:N,14,))*100)+100</f>
        <v/>
      </c>
      <c r="P276" s="77">
        <f>IF(VLOOKUP(A276,Database!$A:$AS,MATCH($P$1,Database!$A$1:$AS$1,0),FALSE)=0,#N/A,VLOOKUP(A276,Database!$A:$AS,MATCH($P$1,Database!$A$1:$AS$1,0),FALSE))</f>
        <v/>
      </c>
      <c r="Q276" s="77">
        <f>(((Table134567891011121314151617343[[#This Row],[JPN]]-VLOOKUP($U$1,A:Q,16,))/VLOOKUP($U$1,A:Q,16,))*100)+100</f>
        <v/>
      </c>
    </row>
    <row r="277" customFormat="1" s="87">
      <c r="A277" s="21" t="n">
        <v>41244</v>
      </c>
      <c r="B277" s="77">
        <f>IF(VLOOKUP(A277,Database!$A:$AS,MATCH($B$1,Database!$A$1:$AS$1,0),FALSE)=0,#N/A,VLOOKUP(A277,Database!$A:$AS,MATCH($B$1,Database!$A$1:$AS$1,0),FALSE))</f>
        <v/>
      </c>
      <c r="C277" s="77">
        <f>IF(VLOOKUP(A277,Database!$A:$AS,MATCH($C$1,Database!$A$1:$AS$1,0),FALSE)=0,#N/A,VLOOKUP(A277,Database!$A:$AS,MATCH($C$1,Database!$A$1:$AS$1,0),FALSE))</f>
        <v/>
      </c>
      <c r="D277" s="77">
        <f>IF(VLOOKUP(A277,Database!$A:$AS,MATCH($D$1,Database!$A$1:$AS$1,0),FALSE)=0,#N/A,VLOOKUP(A277,Database!$A:$AS,MATCH($D$1,Database!$A$1:$AS$1,0),FALSE))</f>
        <v/>
      </c>
      <c r="E277" s="77">
        <f>IF(VLOOKUP(A277,Database!$A:$AS,MATCH($E$1,Database!$A$1:$AS$1,0),FALSE)=0,#N/A,VLOOKUP(A277,Database!$A:$AS,MATCH($E$1,Database!$A$1:$AS$1,0),FALSE))</f>
        <v/>
      </c>
      <c r="F277" s="77">
        <f>IF(VLOOKUP(A277,Database!$A:$AS,MATCH($F$1,Database!$A$1:$AS$1,0),FALSE)=0,#N/A,VLOOKUP(A277,Database!$A:$AS,MATCH($F$1,Database!$A$1:$AS$1,0),FALSE))</f>
        <v/>
      </c>
      <c r="G277" s="77">
        <f>IF(VLOOKUP(A277,Database!$A:$AS,MATCH($G$1,Database!$A$1:$AS$1,0),FALSE)=0,#N/A,VLOOKUP(A277,Database!$A:$AS,MATCH($G$1,Database!$A$1:$AS$1,0),FALSE))</f>
        <v/>
      </c>
      <c r="H277" s="77">
        <f>(((Table134567891011121314151617343[[#This Row],[ITA]]-VLOOKUP($U$1,A:B,2,))/VLOOKUP($U$1,A:B,2,))*100)+100</f>
        <v/>
      </c>
      <c r="I277" s="77">
        <f>(((Table134567891011121314151617343[[#This Row],[FRA]]-VLOOKUP($U$1,A:C,3,))/VLOOKUP($U$1,A:C,3,))*100)+100</f>
        <v/>
      </c>
      <c r="J277" s="77">
        <f>(((Table134567891011121314151617343[[#This Row],[DEU]]-VLOOKUP($U$1,A:D,4,))/VLOOKUP($U$1,A:D,4,))*100)+100</f>
        <v/>
      </c>
      <c r="K277" s="77">
        <f>(((Table134567891011121314151617343[[#This Row],[ESP]]-VLOOKUP($U$1,A:E,5,))/VLOOKUP($U$1,A:E,5,))*100)+100</f>
        <v/>
      </c>
      <c r="L277" s="77">
        <f>(((Table134567891011121314151617343[[#This Row],[EA19]]-VLOOKUP($U$1,A:F,6,))/VLOOKUP($U$1,A:F,6,))*100)+100</f>
        <v/>
      </c>
      <c r="M277" s="77">
        <f>(((Table134567891011121314151617343[[#This Row],[GBR]]-VLOOKUP($U$1,A:G,7,))/VLOOKUP($U$1,A:G,7,))*100)+100</f>
        <v/>
      </c>
      <c r="N277" s="77">
        <f>IF(VLOOKUP(A277,Database!$A:$AU,MATCH($N$1,Database!$A$1:$AU$1,0),FALSE)=0,#N/A,VLOOKUP(A277,Database!$A:$AU,MATCH($N$1,Database!$A$1:$AU$1,0),FALSE))</f>
        <v/>
      </c>
      <c r="O277" s="77">
        <f>(((Table134567891011121314151617343[[#This Row],[USA]]-VLOOKUP($U$1,A:N,14,))/VLOOKUP($U$1,A:N,14,))*100)+100</f>
        <v/>
      </c>
      <c r="P277" s="77">
        <f>IF(VLOOKUP(A277,Database!$A:$AS,MATCH($P$1,Database!$A$1:$AS$1,0),FALSE)=0,#N/A,VLOOKUP(A277,Database!$A:$AS,MATCH($P$1,Database!$A$1:$AS$1,0),FALSE))</f>
        <v/>
      </c>
      <c r="Q277" s="77">
        <f>(((Table134567891011121314151617343[[#This Row],[JPN]]-VLOOKUP($U$1,A:Q,16,))/VLOOKUP($U$1,A:Q,16,))*100)+100</f>
        <v/>
      </c>
    </row>
    <row r="278" customFormat="1" s="87">
      <c r="A278" s="21" t="n">
        <v>41275</v>
      </c>
      <c r="B278" s="77">
        <f>IF(VLOOKUP(A278,Database!$A:$AS,MATCH($B$1,Database!$A$1:$AS$1,0),FALSE)=0,#N/A,VLOOKUP(A278,Database!$A:$AS,MATCH($B$1,Database!$A$1:$AS$1,0),FALSE))</f>
        <v/>
      </c>
      <c r="C278" s="77">
        <f>IF(VLOOKUP(A278,Database!$A:$AS,MATCH($C$1,Database!$A$1:$AS$1,0),FALSE)=0,#N/A,VLOOKUP(A278,Database!$A:$AS,MATCH($C$1,Database!$A$1:$AS$1,0),FALSE))</f>
        <v/>
      </c>
      <c r="D278" s="77">
        <f>IF(VLOOKUP(A278,Database!$A:$AS,MATCH($D$1,Database!$A$1:$AS$1,0),FALSE)=0,#N/A,VLOOKUP(A278,Database!$A:$AS,MATCH($D$1,Database!$A$1:$AS$1,0),FALSE))</f>
        <v/>
      </c>
      <c r="E278" s="77">
        <f>IF(VLOOKUP(A278,Database!$A:$AS,MATCH($E$1,Database!$A$1:$AS$1,0),FALSE)=0,#N/A,VLOOKUP(A278,Database!$A:$AS,MATCH($E$1,Database!$A$1:$AS$1,0),FALSE))</f>
        <v/>
      </c>
      <c r="F278" s="77">
        <f>IF(VLOOKUP(A278,Database!$A:$AS,MATCH($F$1,Database!$A$1:$AS$1,0),FALSE)=0,#N/A,VLOOKUP(A278,Database!$A:$AS,MATCH($F$1,Database!$A$1:$AS$1,0),FALSE))</f>
        <v/>
      </c>
      <c r="G278" s="77">
        <f>IF(VLOOKUP(A278,Database!$A:$AS,MATCH($G$1,Database!$A$1:$AS$1,0),FALSE)=0,#N/A,VLOOKUP(A278,Database!$A:$AS,MATCH($G$1,Database!$A$1:$AS$1,0),FALSE))</f>
        <v/>
      </c>
      <c r="H278" s="77">
        <f>(((Table134567891011121314151617343[[#This Row],[ITA]]-VLOOKUP($U$1,A:B,2,))/VLOOKUP($U$1,A:B,2,))*100)+100</f>
        <v/>
      </c>
      <c r="I278" s="77">
        <f>(((Table134567891011121314151617343[[#This Row],[FRA]]-VLOOKUP($U$1,A:C,3,))/VLOOKUP($U$1,A:C,3,))*100)+100</f>
        <v/>
      </c>
      <c r="J278" s="77">
        <f>(((Table134567891011121314151617343[[#This Row],[DEU]]-VLOOKUP($U$1,A:D,4,))/VLOOKUP($U$1,A:D,4,))*100)+100</f>
        <v/>
      </c>
      <c r="K278" s="77">
        <f>(((Table134567891011121314151617343[[#This Row],[ESP]]-VLOOKUP($U$1,A:E,5,))/VLOOKUP($U$1,A:E,5,))*100)+100</f>
        <v/>
      </c>
      <c r="L278" s="77">
        <f>(((Table134567891011121314151617343[[#This Row],[EA19]]-VLOOKUP($U$1,A:F,6,))/VLOOKUP($U$1,A:F,6,))*100)+100</f>
        <v/>
      </c>
      <c r="M278" s="77">
        <f>(((Table134567891011121314151617343[[#This Row],[GBR]]-VLOOKUP($U$1,A:G,7,))/VLOOKUP($U$1,A:G,7,))*100)+100</f>
        <v/>
      </c>
      <c r="N278" s="77">
        <f>IF(VLOOKUP(A278,Database!$A:$AU,MATCH($N$1,Database!$A$1:$AU$1,0),FALSE)=0,#N/A,VLOOKUP(A278,Database!$A:$AU,MATCH($N$1,Database!$A$1:$AU$1,0),FALSE))</f>
        <v/>
      </c>
      <c r="O278" s="77">
        <f>(((Table134567891011121314151617343[[#This Row],[USA]]-VLOOKUP($U$1,A:N,14,))/VLOOKUP($U$1,A:N,14,))*100)+100</f>
        <v/>
      </c>
      <c r="P278" s="77">
        <f>IF(VLOOKUP(A278,Database!$A:$AS,MATCH($P$1,Database!$A$1:$AS$1,0),FALSE)=0,#N/A,VLOOKUP(A278,Database!$A:$AS,MATCH($P$1,Database!$A$1:$AS$1,0),FALSE))</f>
        <v/>
      </c>
      <c r="Q278" s="77">
        <f>(((Table134567891011121314151617343[[#This Row],[JPN]]-VLOOKUP($U$1,A:Q,16,))/VLOOKUP($U$1,A:Q,16,))*100)+100</f>
        <v/>
      </c>
    </row>
    <row r="279" customFormat="1" s="87">
      <c r="A279" s="21" t="n">
        <v>41306</v>
      </c>
      <c r="B279" s="77">
        <f>IF(VLOOKUP(A279,Database!$A:$AS,MATCH($B$1,Database!$A$1:$AS$1,0),FALSE)=0,#N/A,VLOOKUP(A279,Database!$A:$AS,MATCH($B$1,Database!$A$1:$AS$1,0),FALSE))</f>
        <v/>
      </c>
      <c r="C279" s="77">
        <f>IF(VLOOKUP(A279,Database!$A:$AS,MATCH($C$1,Database!$A$1:$AS$1,0),FALSE)=0,#N/A,VLOOKUP(A279,Database!$A:$AS,MATCH($C$1,Database!$A$1:$AS$1,0),FALSE))</f>
        <v/>
      </c>
      <c r="D279" s="77">
        <f>IF(VLOOKUP(A279,Database!$A:$AS,MATCH($D$1,Database!$A$1:$AS$1,0),FALSE)=0,#N/A,VLOOKUP(A279,Database!$A:$AS,MATCH($D$1,Database!$A$1:$AS$1,0),FALSE))</f>
        <v/>
      </c>
      <c r="E279" s="77">
        <f>IF(VLOOKUP(A279,Database!$A:$AS,MATCH($E$1,Database!$A$1:$AS$1,0),FALSE)=0,#N/A,VLOOKUP(A279,Database!$A:$AS,MATCH($E$1,Database!$A$1:$AS$1,0),FALSE))</f>
        <v/>
      </c>
      <c r="F279" s="77">
        <f>IF(VLOOKUP(A279,Database!$A:$AS,MATCH($F$1,Database!$A$1:$AS$1,0),FALSE)=0,#N/A,VLOOKUP(A279,Database!$A:$AS,MATCH($F$1,Database!$A$1:$AS$1,0),FALSE))</f>
        <v/>
      </c>
      <c r="G279" s="77">
        <f>IF(VLOOKUP(A279,Database!$A:$AS,MATCH($G$1,Database!$A$1:$AS$1,0),FALSE)=0,#N/A,VLOOKUP(A279,Database!$A:$AS,MATCH($G$1,Database!$A$1:$AS$1,0),FALSE))</f>
        <v/>
      </c>
      <c r="H279" s="77">
        <f>(((Table134567891011121314151617343[[#This Row],[ITA]]-VLOOKUP($U$1,A:B,2,))/VLOOKUP($U$1,A:B,2,))*100)+100</f>
        <v/>
      </c>
      <c r="I279" s="77">
        <f>(((Table134567891011121314151617343[[#This Row],[FRA]]-VLOOKUP($U$1,A:C,3,))/VLOOKUP($U$1,A:C,3,))*100)+100</f>
        <v/>
      </c>
      <c r="J279" s="77">
        <f>(((Table134567891011121314151617343[[#This Row],[DEU]]-VLOOKUP($U$1,A:D,4,))/VLOOKUP($U$1,A:D,4,))*100)+100</f>
        <v/>
      </c>
      <c r="K279" s="77">
        <f>(((Table134567891011121314151617343[[#This Row],[ESP]]-VLOOKUP($U$1,A:E,5,))/VLOOKUP($U$1,A:E,5,))*100)+100</f>
        <v/>
      </c>
      <c r="L279" s="77">
        <f>(((Table134567891011121314151617343[[#This Row],[EA19]]-VLOOKUP($U$1,A:F,6,))/VLOOKUP($U$1,A:F,6,))*100)+100</f>
        <v/>
      </c>
      <c r="M279" s="77">
        <f>(((Table134567891011121314151617343[[#This Row],[GBR]]-VLOOKUP($U$1,A:G,7,))/VLOOKUP($U$1,A:G,7,))*100)+100</f>
        <v/>
      </c>
      <c r="N279" s="77">
        <f>IF(VLOOKUP(A279,Database!$A:$AU,MATCH($N$1,Database!$A$1:$AU$1,0),FALSE)=0,#N/A,VLOOKUP(A279,Database!$A:$AU,MATCH($N$1,Database!$A$1:$AU$1,0),FALSE))</f>
        <v/>
      </c>
      <c r="O279" s="77">
        <f>(((Table134567891011121314151617343[[#This Row],[USA]]-VLOOKUP($U$1,A:N,14,))/VLOOKUP($U$1,A:N,14,))*100)+100</f>
        <v/>
      </c>
      <c r="P279" s="77">
        <f>IF(VLOOKUP(A279,Database!$A:$AS,MATCH($P$1,Database!$A$1:$AS$1,0),FALSE)=0,#N/A,VLOOKUP(A279,Database!$A:$AS,MATCH($P$1,Database!$A$1:$AS$1,0),FALSE))</f>
        <v/>
      </c>
      <c r="Q279" s="77">
        <f>(((Table134567891011121314151617343[[#This Row],[JPN]]-VLOOKUP($U$1,A:Q,16,))/VLOOKUP($U$1,A:Q,16,))*100)+100</f>
        <v/>
      </c>
    </row>
    <row r="280" customFormat="1" s="87">
      <c r="A280" s="21" t="n">
        <v>41334</v>
      </c>
      <c r="B280" s="77">
        <f>IF(VLOOKUP(A280,Database!$A:$AS,MATCH($B$1,Database!$A$1:$AS$1,0),FALSE)=0,#N/A,VLOOKUP(A280,Database!$A:$AS,MATCH($B$1,Database!$A$1:$AS$1,0),FALSE))</f>
        <v/>
      </c>
      <c r="C280" s="77">
        <f>IF(VLOOKUP(A280,Database!$A:$AS,MATCH($C$1,Database!$A$1:$AS$1,0),FALSE)=0,#N/A,VLOOKUP(A280,Database!$A:$AS,MATCH($C$1,Database!$A$1:$AS$1,0),FALSE))</f>
        <v/>
      </c>
      <c r="D280" s="77">
        <f>IF(VLOOKUP(A280,Database!$A:$AS,MATCH($D$1,Database!$A$1:$AS$1,0),FALSE)=0,#N/A,VLOOKUP(A280,Database!$A:$AS,MATCH($D$1,Database!$A$1:$AS$1,0),FALSE))</f>
        <v/>
      </c>
      <c r="E280" s="77">
        <f>IF(VLOOKUP(A280,Database!$A:$AS,MATCH($E$1,Database!$A$1:$AS$1,0),FALSE)=0,#N/A,VLOOKUP(A280,Database!$A:$AS,MATCH($E$1,Database!$A$1:$AS$1,0),FALSE))</f>
        <v/>
      </c>
      <c r="F280" s="77">
        <f>IF(VLOOKUP(A280,Database!$A:$AS,MATCH($F$1,Database!$A$1:$AS$1,0),FALSE)=0,#N/A,VLOOKUP(A280,Database!$A:$AS,MATCH($F$1,Database!$A$1:$AS$1,0),FALSE))</f>
        <v/>
      </c>
      <c r="G280" s="77">
        <f>IF(VLOOKUP(A280,Database!$A:$AS,MATCH($G$1,Database!$A$1:$AS$1,0),FALSE)=0,#N/A,VLOOKUP(A280,Database!$A:$AS,MATCH($G$1,Database!$A$1:$AS$1,0),FALSE))</f>
        <v/>
      </c>
      <c r="H280" s="77">
        <f>(((Table134567891011121314151617343[[#This Row],[ITA]]-VLOOKUP($U$1,A:B,2,))/VLOOKUP($U$1,A:B,2,))*100)+100</f>
        <v/>
      </c>
      <c r="I280" s="77">
        <f>(((Table134567891011121314151617343[[#This Row],[FRA]]-VLOOKUP($U$1,A:C,3,))/VLOOKUP($U$1,A:C,3,))*100)+100</f>
        <v/>
      </c>
      <c r="J280" s="77">
        <f>(((Table134567891011121314151617343[[#This Row],[DEU]]-VLOOKUP($U$1,A:D,4,))/VLOOKUP($U$1,A:D,4,))*100)+100</f>
        <v/>
      </c>
      <c r="K280" s="77">
        <f>(((Table134567891011121314151617343[[#This Row],[ESP]]-VLOOKUP($U$1,A:E,5,))/VLOOKUP($U$1,A:E,5,))*100)+100</f>
        <v/>
      </c>
      <c r="L280" s="77">
        <f>(((Table134567891011121314151617343[[#This Row],[EA19]]-VLOOKUP($U$1,A:F,6,))/VLOOKUP($U$1,A:F,6,))*100)+100</f>
        <v/>
      </c>
      <c r="M280" s="77">
        <f>(((Table134567891011121314151617343[[#This Row],[GBR]]-VLOOKUP($U$1,A:G,7,))/VLOOKUP($U$1,A:G,7,))*100)+100</f>
        <v/>
      </c>
      <c r="N280" s="77">
        <f>IF(VLOOKUP(A280,Database!$A:$AU,MATCH($N$1,Database!$A$1:$AU$1,0),FALSE)=0,#N/A,VLOOKUP(A280,Database!$A:$AU,MATCH($N$1,Database!$A$1:$AU$1,0),FALSE))</f>
        <v/>
      </c>
      <c r="O280" s="77">
        <f>(((Table134567891011121314151617343[[#This Row],[USA]]-VLOOKUP($U$1,A:N,14,))/VLOOKUP($U$1,A:N,14,))*100)+100</f>
        <v/>
      </c>
      <c r="P280" s="77">
        <f>IF(VLOOKUP(A280,Database!$A:$AS,MATCH($P$1,Database!$A$1:$AS$1,0),FALSE)=0,#N/A,VLOOKUP(A280,Database!$A:$AS,MATCH($P$1,Database!$A$1:$AS$1,0),FALSE))</f>
        <v/>
      </c>
      <c r="Q280" s="77">
        <f>(((Table134567891011121314151617343[[#This Row],[JPN]]-VLOOKUP($U$1,A:Q,16,))/VLOOKUP($U$1,A:Q,16,))*100)+100</f>
        <v/>
      </c>
    </row>
    <row r="281" customFormat="1" s="87">
      <c r="A281" s="21" t="n">
        <v>41365</v>
      </c>
      <c r="B281" s="77">
        <f>IF(VLOOKUP(A281,Database!$A:$AS,MATCH($B$1,Database!$A$1:$AS$1,0),FALSE)=0,#N/A,VLOOKUP(A281,Database!$A:$AS,MATCH($B$1,Database!$A$1:$AS$1,0),FALSE))</f>
        <v/>
      </c>
      <c r="C281" s="77">
        <f>IF(VLOOKUP(A281,Database!$A:$AS,MATCH($C$1,Database!$A$1:$AS$1,0),FALSE)=0,#N/A,VLOOKUP(A281,Database!$A:$AS,MATCH($C$1,Database!$A$1:$AS$1,0),FALSE))</f>
        <v/>
      </c>
      <c r="D281" s="77">
        <f>IF(VLOOKUP(A281,Database!$A:$AS,MATCH($D$1,Database!$A$1:$AS$1,0),FALSE)=0,#N/A,VLOOKUP(A281,Database!$A:$AS,MATCH($D$1,Database!$A$1:$AS$1,0),FALSE))</f>
        <v/>
      </c>
      <c r="E281" s="77">
        <f>IF(VLOOKUP(A281,Database!$A:$AS,MATCH($E$1,Database!$A$1:$AS$1,0),FALSE)=0,#N/A,VLOOKUP(A281,Database!$A:$AS,MATCH($E$1,Database!$A$1:$AS$1,0),FALSE))</f>
        <v/>
      </c>
      <c r="F281" s="77">
        <f>IF(VLOOKUP(A281,Database!$A:$AS,MATCH($F$1,Database!$A$1:$AS$1,0),FALSE)=0,#N/A,VLOOKUP(A281,Database!$A:$AS,MATCH($F$1,Database!$A$1:$AS$1,0),FALSE))</f>
        <v/>
      </c>
      <c r="G281" s="77">
        <f>IF(VLOOKUP(A281,Database!$A:$AS,MATCH($G$1,Database!$A$1:$AS$1,0),FALSE)=0,#N/A,VLOOKUP(A281,Database!$A:$AS,MATCH($G$1,Database!$A$1:$AS$1,0),FALSE))</f>
        <v/>
      </c>
      <c r="H281" s="77">
        <f>(((Table134567891011121314151617343[[#This Row],[ITA]]-VLOOKUP($U$1,A:B,2,))/VLOOKUP($U$1,A:B,2,))*100)+100</f>
        <v/>
      </c>
      <c r="I281" s="77">
        <f>(((Table134567891011121314151617343[[#This Row],[FRA]]-VLOOKUP($U$1,A:C,3,))/VLOOKUP($U$1,A:C,3,))*100)+100</f>
        <v/>
      </c>
      <c r="J281" s="77">
        <f>(((Table134567891011121314151617343[[#This Row],[DEU]]-VLOOKUP($U$1,A:D,4,))/VLOOKUP($U$1,A:D,4,))*100)+100</f>
        <v/>
      </c>
      <c r="K281" s="77">
        <f>(((Table134567891011121314151617343[[#This Row],[ESP]]-VLOOKUP($U$1,A:E,5,))/VLOOKUP($U$1,A:E,5,))*100)+100</f>
        <v/>
      </c>
      <c r="L281" s="77">
        <f>(((Table134567891011121314151617343[[#This Row],[EA19]]-VLOOKUP($U$1,A:F,6,))/VLOOKUP($U$1,A:F,6,))*100)+100</f>
        <v/>
      </c>
      <c r="M281" s="77">
        <f>(((Table134567891011121314151617343[[#This Row],[GBR]]-VLOOKUP($U$1,A:G,7,))/VLOOKUP($U$1,A:G,7,))*100)+100</f>
        <v/>
      </c>
      <c r="N281" s="77">
        <f>IF(VLOOKUP(A281,Database!$A:$AU,MATCH($N$1,Database!$A$1:$AU$1,0),FALSE)=0,#N/A,VLOOKUP(A281,Database!$A:$AU,MATCH($N$1,Database!$A$1:$AU$1,0),FALSE))</f>
        <v/>
      </c>
      <c r="O281" s="77">
        <f>(((Table134567891011121314151617343[[#This Row],[USA]]-VLOOKUP($U$1,A:N,14,))/VLOOKUP($U$1,A:N,14,))*100)+100</f>
        <v/>
      </c>
      <c r="P281" s="77">
        <f>IF(VLOOKUP(A281,Database!$A:$AS,MATCH($P$1,Database!$A$1:$AS$1,0),FALSE)=0,#N/A,VLOOKUP(A281,Database!$A:$AS,MATCH($P$1,Database!$A$1:$AS$1,0),FALSE))</f>
        <v/>
      </c>
      <c r="Q281" s="77">
        <f>(((Table134567891011121314151617343[[#This Row],[JPN]]-VLOOKUP($U$1,A:Q,16,))/VLOOKUP($U$1,A:Q,16,))*100)+100</f>
        <v/>
      </c>
    </row>
    <row r="282" customFormat="1" s="87">
      <c r="A282" s="21" t="n">
        <v>41395</v>
      </c>
      <c r="B282" s="77">
        <f>IF(VLOOKUP(A282,Database!$A:$AS,MATCH($B$1,Database!$A$1:$AS$1,0),FALSE)=0,#N/A,VLOOKUP(A282,Database!$A:$AS,MATCH($B$1,Database!$A$1:$AS$1,0),FALSE))</f>
        <v/>
      </c>
      <c r="C282" s="77">
        <f>IF(VLOOKUP(A282,Database!$A:$AS,MATCH($C$1,Database!$A$1:$AS$1,0),FALSE)=0,#N/A,VLOOKUP(A282,Database!$A:$AS,MATCH($C$1,Database!$A$1:$AS$1,0),FALSE))</f>
        <v/>
      </c>
      <c r="D282" s="77">
        <f>IF(VLOOKUP(A282,Database!$A:$AS,MATCH($D$1,Database!$A$1:$AS$1,0),FALSE)=0,#N/A,VLOOKUP(A282,Database!$A:$AS,MATCH($D$1,Database!$A$1:$AS$1,0),FALSE))</f>
        <v/>
      </c>
      <c r="E282" s="77">
        <f>IF(VLOOKUP(A282,Database!$A:$AS,MATCH($E$1,Database!$A$1:$AS$1,0),FALSE)=0,#N/A,VLOOKUP(A282,Database!$A:$AS,MATCH($E$1,Database!$A$1:$AS$1,0),FALSE))</f>
        <v/>
      </c>
      <c r="F282" s="77">
        <f>IF(VLOOKUP(A282,Database!$A:$AS,MATCH($F$1,Database!$A$1:$AS$1,0),FALSE)=0,#N/A,VLOOKUP(A282,Database!$A:$AS,MATCH($F$1,Database!$A$1:$AS$1,0),FALSE))</f>
        <v/>
      </c>
      <c r="G282" s="77">
        <f>IF(VLOOKUP(A282,Database!$A:$AS,MATCH($G$1,Database!$A$1:$AS$1,0),FALSE)=0,#N/A,VLOOKUP(A282,Database!$A:$AS,MATCH($G$1,Database!$A$1:$AS$1,0),FALSE))</f>
        <v/>
      </c>
      <c r="H282" s="77">
        <f>(((Table134567891011121314151617343[[#This Row],[ITA]]-VLOOKUP($U$1,A:B,2,))/VLOOKUP($U$1,A:B,2,))*100)+100</f>
        <v/>
      </c>
      <c r="I282" s="77">
        <f>(((Table134567891011121314151617343[[#This Row],[FRA]]-VLOOKUP($U$1,A:C,3,))/VLOOKUP($U$1,A:C,3,))*100)+100</f>
        <v/>
      </c>
      <c r="J282" s="77">
        <f>(((Table134567891011121314151617343[[#This Row],[DEU]]-VLOOKUP($U$1,A:D,4,))/VLOOKUP($U$1,A:D,4,))*100)+100</f>
        <v/>
      </c>
      <c r="K282" s="77">
        <f>(((Table134567891011121314151617343[[#This Row],[ESP]]-VLOOKUP($U$1,A:E,5,))/VLOOKUP($U$1,A:E,5,))*100)+100</f>
        <v/>
      </c>
      <c r="L282" s="77">
        <f>(((Table134567891011121314151617343[[#This Row],[EA19]]-VLOOKUP($U$1,A:F,6,))/VLOOKUP($U$1,A:F,6,))*100)+100</f>
        <v/>
      </c>
      <c r="M282" s="77">
        <f>(((Table134567891011121314151617343[[#This Row],[GBR]]-VLOOKUP($U$1,A:G,7,))/VLOOKUP($U$1,A:G,7,))*100)+100</f>
        <v/>
      </c>
      <c r="N282" s="77">
        <f>IF(VLOOKUP(A282,Database!$A:$AU,MATCH($N$1,Database!$A$1:$AU$1,0),FALSE)=0,#N/A,VLOOKUP(A282,Database!$A:$AU,MATCH($N$1,Database!$A$1:$AU$1,0),FALSE))</f>
        <v/>
      </c>
      <c r="O282" s="77">
        <f>(((Table134567891011121314151617343[[#This Row],[USA]]-VLOOKUP($U$1,A:N,14,))/VLOOKUP($U$1,A:N,14,))*100)+100</f>
        <v/>
      </c>
      <c r="P282" s="77">
        <f>IF(VLOOKUP(A282,Database!$A:$AS,MATCH($P$1,Database!$A$1:$AS$1,0),FALSE)=0,#N/A,VLOOKUP(A282,Database!$A:$AS,MATCH($P$1,Database!$A$1:$AS$1,0),FALSE))</f>
        <v/>
      </c>
      <c r="Q282" s="77">
        <f>(((Table134567891011121314151617343[[#This Row],[JPN]]-VLOOKUP($U$1,A:Q,16,))/VLOOKUP($U$1,A:Q,16,))*100)+100</f>
        <v/>
      </c>
    </row>
    <row r="283" customFormat="1" s="87">
      <c r="A283" s="21" t="n">
        <v>41426</v>
      </c>
      <c r="B283" s="77">
        <f>IF(VLOOKUP(A283,Database!$A:$AS,MATCH($B$1,Database!$A$1:$AS$1,0),FALSE)=0,#N/A,VLOOKUP(A283,Database!$A:$AS,MATCH($B$1,Database!$A$1:$AS$1,0),FALSE))</f>
        <v/>
      </c>
      <c r="C283" s="77">
        <f>IF(VLOOKUP(A283,Database!$A:$AS,MATCH($C$1,Database!$A$1:$AS$1,0),FALSE)=0,#N/A,VLOOKUP(A283,Database!$A:$AS,MATCH($C$1,Database!$A$1:$AS$1,0),FALSE))</f>
        <v/>
      </c>
      <c r="D283" s="77">
        <f>IF(VLOOKUP(A283,Database!$A:$AS,MATCH($D$1,Database!$A$1:$AS$1,0),FALSE)=0,#N/A,VLOOKUP(A283,Database!$A:$AS,MATCH($D$1,Database!$A$1:$AS$1,0),FALSE))</f>
        <v/>
      </c>
      <c r="E283" s="77">
        <f>IF(VLOOKUP(A283,Database!$A:$AS,MATCH($E$1,Database!$A$1:$AS$1,0),FALSE)=0,#N/A,VLOOKUP(A283,Database!$A:$AS,MATCH($E$1,Database!$A$1:$AS$1,0),FALSE))</f>
        <v/>
      </c>
      <c r="F283" s="77">
        <f>IF(VLOOKUP(A283,Database!$A:$AS,MATCH($F$1,Database!$A$1:$AS$1,0),FALSE)=0,#N/A,VLOOKUP(A283,Database!$A:$AS,MATCH($F$1,Database!$A$1:$AS$1,0),FALSE))</f>
        <v/>
      </c>
      <c r="G283" s="77">
        <f>IF(VLOOKUP(A283,Database!$A:$AS,MATCH($G$1,Database!$A$1:$AS$1,0),FALSE)=0,#N/A,VLOOKUP(A283,Database!$A:$AS,MATCH($G$1,Database!$A$1:$AS$1,0),FALSE))</f>
        <v/>
      </c>
      <c r="H283" s="77">
        <f>(((Table134567891011121314151617343[[#This Row],[ITA]]-VLOOKUP($U$1,A:B,2,))/VLOOKUP($U$1,A:B,2,))*100)+100</f>
        <v/>
      </c>
      <c r="I283" s="77">
        <f>(((Table134567891011121314151617343[[#This Row],[FRA]]-VLOOKUP($U$1,A:C,3,))/VLOOKUP($U$1,A:C,3,))*100)+100</f>
        <v/>
      </c>
      <c r="J283" s="77">
        <f>(((Table134567891011121314151617343[[#This Row],[DEU]]-VLOOKUP($U$1,A:D,4,))/VLOOKUP($U$1,A:D,4,))*100)+100</f>
        <v/>
      </c>
      <c r="K283" s="77">
        <f>(((Table134567891011121314151617343[[#This Row],[ESP]]-VLOOKUP($U$1,A:E,5,))/VLOOKUP($U$1,A:E,5,))*100)+100</f>
        <v/>
      </c>
      <c r="L283" s="77">
        <f>(((Table134567891011121314151617343[[#This Row],[EA19]]-VLOOKUP($U$1,A:F,6,))/VLOOKUP($U$1,A:F,6,))*100)+100</f>
        <v/>
      </c>
      <c r="M283" s="77">
        <f>(((Table134567891011121314151617343[[#This Row],[GBR]]-VLOOKUP($U$1,A:G,7,))/VLOOKUP($U$1,A:G,7,))*100)+100</f>
        <v/>
      </c>
      <c r="N283" s="77">
        <f>IF(VLOOKUP(A283,Database!$A:$AU,MATCH($N$1,Database!$A$1:$AU$1,0),FALSE)=0,#N/A,VLOOKUP(A283,Database!$A:$AU,MATCH($N$1,Database!$A$1:$AU$1,0),FALSE))</f>
        <v/>
      </c>
      <c r="O283" s="77">
        <f>(((Table134567891011121314151617343[[#This Row],[USA]]-VLOOKUP($U$1,A:N,14,))/VLOOKUP($U$1,A:N,14,))*100)+100</f>
        <v/>
      </c>
      <c r="P283" s="77">
        <f>IF(VLOOKUP(A283,Database!$A:$AS,MATCH($P$1,Database!$A$1:$AS$1,0),FALSE)=0,#N/A,VLOOKUP(A283,Database!$A:$AS,MATCH($P$1,Database!$A$1:$AS$1,0),FALSE))</f>
        <v/>
      </c>
      <c r="Q283" s="77">
        <f>(((Table134567891011121314151617343[[#This Row],[JPN]]-VLOOKUP($U$1,A:Q,16,))/VLOOKUP($U$1,A:Q,16,))*100)+100</f>
        <v/>
      </c>
    </row>
    <row r="284" customFormat="1" s="87">
      <c r="A284" s="21" t="n">
        <v>41456</v>
      </c>
      <c r="B284" s="77">
        <f>IF(VLOOKUP(A284,Database!$A:$AS,MATCH($B$1,Database!$A$1:$AS$1,0),FALSE)=0,#N/A,VLOOKUP(A284,Database!$A:$AS,MATCH($B$1,Database!$A$1:$AS$1,0),FALSE))</f>
        <v/>
      </c>
      <c r="C284" s="77">
        <f>IF(VLOOKUP(A284,Database!$A:$AS,MATCH($C$1,Database!$A$1:$AS$1,0),FALSE)=0,#N/A,VLOOKUP(A284,Database!$A:$AS,MATCH($C$1,Database!$A$1:$AS$1,0),FALSE))</f>
        <v/>
      </c>
      <c r="D284" s="77">
        <f>IF(VLOOKUP(A284,Database!$A:$AS,MATCH($D$1,Database!$A$1:$AS$1,0),FALSE)=0,#N/A,VLOOKUP(A284,Database!$A:$AS,MATCH($D$1,Database!$A$1:$AS$1,0),FALSE))</f>
        <v/>
      </c>
      <c r="E284" s="77">
        <f>IF(VLOOKUP(A284,Database!$A:$AS,MATCH($E$1,Database!$A$1:$AS$1,0),FALSE)=0,#N/A,VLOOKUP(A284,Database!$A:$AS,MATCH($E$1,Database!$A$1:$AS$1,0),FALSE))</f>
        <v/>
      </c>
      <c r="F284" s="77">
        <f>IF(VLOOKUP(A284,Database!$A:$AS,MATCH($F$1,Database!$A$1:$AS$1,0),FALSE)=0,#N/A,VLOOKUP(A284,Database!$A:$AS,MATCH($F$1,Database!$A$1:$AS$1,0),FALSE))</f>
        <v/>
      </c>
      <c r="G284" s="77">
        <f>IF(VLOOKUP(A284,Database!$A:$AS,MATCH($G$1,Database!$A$1:$AS$1,0),FALSE)=0,#N/A,VLOOKUP(A284,Database!$A:$AS,MATCH($G$1,Database!$A$1:$AS$1,0),FALSE))</f>
        <v/>
      </c>
      <c r="H284" s="77">
        <f>(((Table134567891011121314151617343[[#This Row],[ITA]]-VLOOKUP($U$1,A:B,2,))/VLOOKUP($U$1,A:B,2,))*100)+100</f>
        <v/>
      </c>
      <c r="I284" s="77">
        <f>(((Table134567891011121314151617343[[#This Row],[FRA]]-VLOOKUP($U$1,A:C,3,))/VLOOKUP($U$1,A:C,3,))*100)+100</f>
        <v/>
      </c>
      <c r="J284" s="77">
        <f>(((Table134567891011121314151617343[[#This Row],[DEU]]-VLOOKUP($U$1,A:D,4,))/VLOOKUP($U$1,A:D,4,))*100)+100</f>
        <v/>
      </c>
      <c r="K284" s="77">
        <f>(((Table134567891011121314151617343[[#This Row],[ESP]]-VLOOKUP($U$1,A:E,5,))/VLOOKUP($U$1,A:E,5,))*100)+100</f>
        <v/>
      </c>
      <c r="L284" s="77">
        <f>(((Table134567891011121314151617343[[#This Row],[EA19]]-VLOOKUP($U$1,A:F,6,))/VLOOKUP($U$1,A:F,6,))*100)+100</f>
        <v/>
      </c>
      <c r="M284" s="77">
        <f>(((Table134567891011121314151617343[[#This Row],[GBR]]-VLOOKUP($U$1,A:G,7,))/VLOOKUP($U$1,A:G,7,))*100)+100</f>
        <v/>
      </c>
      <c r="N284" s="77">
        <f>IF(VLOOKUP(A284,Database!$A:$AU,MATCH($N$1,Database!$A$1:$AU$1,0),FALSE)=0,#N/A,VLOOKUP(A284,Database!$A:$AU,MATCH($N$1,Database!$A$1:$AU$1,0),FALSE))</f>
        <v/>
      </c>
      <c r="O284" s="77">
        <f>(((Table134567891011121314151617343[[#This Row],[USA]]-VLOOKUP($U$1,A:N,14,))/VLOOKUP($U$1,A:N,14,))*100)+100</f>
        <v/>
      </c>
      <c r="P284" s="77">
        <f>IF(VLOOKUP(A284,Database!$A:$AS,MATCH($P$1,Database!$A$1:$AS$1,0),FALSE)=0,#N/A,VLOOKUP(A284,Database!$A:$AS,MATCH($P$1,Database!$A$1:$AS$1,0),FALSE))</f>
        <v/>
      </c>
      <c r="Q284" s="77">
        <f>(((Table134567891011121314151617343[[#This Row],[JPN]]-VLOOKUP($U$1,A:Q,16,))/VLOOKUP($U$1,A:Q,16,))*100)+100</f>
        <v/>
      </c>
    </row>
    <row r="285" customFormat="1" s="87">
      <c r="A285" s="21" t="n">
        <v>41487</v>
      </c>
      <c r="B285" s="77">
        <f>IF(VLOOKUP(A285,Database!$A:$AS,MATCH($B$1,Database!$A$1:$AS$1,0),FALSE)=0,#N/A,VLOOKUP(A285,Database!$A:$AS,MATCH($B$1,Database!$A$1:$AS$1,0),FALSE))</f>
        <v/>
      </c>
      <c r="C285" s="77">
        <f>IF(VLOOKUP(A285,Database!$A:$AS,MATCH($C$1,Database!$A$1:$AS$1,0),FALSE)=0,#N/A,VLOOKUP(A285,Database!$A:$AS,MATCH($C$1,Database!$A$1:$AS$1,0),FALSE))</f>
        <v/>
      </c>
      <c r="D285" s="77">
        <f>IF(VLOOKUP(A285,Database!$A:$AS,MATCH($D$1,Database!$A$1:$AS$1,0),FALSE)=0,#N/A,VLOOKUP(A285,Database!$A:$AS,MATCH($D$1,Database!$A$1:$AS$1,0),FALSE))</f>
        <v/>
      </c>
      <c r="E285" s="77">
        <f>IF(VLOOKUP(A285,Database!$A:$AS,MATCH($E$1,Database!$A$1:$AS$1,0),FALSE)=0,#N/A,VLOOKUP(A285,Database!$A:$AS,MATCH($E$1,Database!$A$1:$AS$1,0),FALSE))</f>
        <v/>
      </c>
      <c r="F285" s="77">
        <f>IF(VLOOKUP(A285,Database!$A:$AS,MATCH($F$1,Database!$A$1:$AS$1,0),FALSE)=0,#N/A,VLOOKUP(A285,Database!$A:$AS,MATCH($F$1,Database!$A$1:$AS$1,0),FALSE))</f>
        <v/>
      </c>
      <c r="G285" s="77">
        <f>IF(VLOOKUP(A285,Database!$A:$AS,MATCH($G$1,Database!$A$1:$AS$1,0),FALSE)=0,#N/A,VLOOKUP(A285,Database!$A:$AS,MATCH($G$1,Database!$A$1:$AS$1,0),FALSE))</f>
        <v/>
      </c>
      <c r="H285" s="77">
        <f>(((Table134567891011121314151617343[[#This Row],[ITA]]-VLOOKUP($U$1,A:B,2,))/VLOOKUP($U$1,A:B,2,))*100)+100</f>
        <v/>
      </c>
      <c r="I285" s="77">
        <f>(((Table134567891011121314151617343[[#This Row],[FRA]]-VLOOKUP($U$1,A:C,3,))/VLOOKUP($U$1,A:C,3,))*100)+100</f>
        <v/>
      </c>
      <c r="J285" s="77">
        <f>(((Table134567891011121314151617343[[#This Row],[DEU]]-VLOOKUP($U$1,A:D,4,))/VLOOKUP($U$1,A:D,4,))*100)+100</f>
        <v/>
      </c>
      <c r="K285" s="77">
        <f>(((Table134567891011121314151617343[[#This Row],[ESP]]-VLOOKUP($U$1,A:E,5,))/VLOOKUP($U$1,A:E,5,))*100)+100</f>
        <v/>
      </c>
      <c r="L285" s="77">
        <f>(((Table134567891011121314151617343[[#This Row],[EA19]]-VLOOKUP($U$1,A:F,6,))/VLOOKUP($U$1,A:F,6,))*100)+100</f>
        <v/>
      </c>
      <c r="M285" s="77">
        <f>(((Table134567891011121314151617343[[#This Row],[GBR]]-VLOOKUP($U$1,A:G,7,))/VLOOKUP($U$1,A:G,7,))*100)+100</f>
        <v/>
      </c>
      <c r="N285" s="77">
        <f>IF(VLOOKUP(A285,Database!$A:$AU,MATCH($N$1,Database!$A$1:$AU$1,0),FALSE)=0,#N/A,VLOOKUP(A285,Database!$A:$AU,MATCH($N$1,Database!$A$1:$AU$1,0),FALSE))</f>
        <v/>
      </c>
      <c r="O285" s="77">
        <f>(((Table134567891011121314151617343[[#This Row],[USA]]-VLOOKUP($U$1,A:N,14,))/VLOOKUP($U$1,A:N,14,))*100)+100</f>
        <v/>
      </c>
      <c r="P285" s="77">
        <f>IF(VLOOKUP(A285,Database!$A:$AS,MATCH($P$1,Database!$A$1:$AS$1,0),FALSE)=0,#N/A,VLOOKUP(A285,Database!$A:$AS,MATCH($P$1,Database!$A$1:$AS$1,0),FALSE))</f>
        <v/>
      </c>
      <c r="Q285" s="77">
        <f>(((Table134567891011121314151617343[[#This Row],[JPN]]-VLOOKUP($U$1,A:Q,16,))/VLOOKUP($U$1,A:Q,16,))*100)+100</f>
        <v/>
      </c>
    </row>
    <row r="286" customFormat="1" s="87">
      <c r="A286" s="21" t="n">
        <v>41518</v>
      </c>
      <c r="B286" s="77">
        <f>IF(VLOOKUP(A286,Database!$A:$AS,MATCH($B$1,Database!$A$1:$AS$1,0),FALSE)=0,#N/A,VLOOKUP(A286,Database!$A:$AS,MATCH($B$1,Database!$A$1:$AS$1,0),FALSE))</f>
        <v/>
      </c>
      <c r="C286" s="77">
        <f>IF(VLOOKUP(A286,Database!$A:$AS,MATCH($C$1,Database!$A$1:$AS$1,0),FALSE)=0,#N/A,VLOOKUP(A286,Database!$A:$AS,MATCH($C$1,Database!$A$1:$AS$1,0),FALSE))</f>
        <v/>
      </c>
      <c r="D286" s="77">
        <f>IF(VLOOKUP(A286,Database!$A:$AS,MATCH($D$1,Database!$A$1:$AS$1,0),FALSE)=0,#N/A,VLOOKUP(A286,Database!$A:$AS,MATCH($D$1,Database!$A$1:$AS$1,0),FALSE))</f>
        <v/>
      </c>
      <c r="E286" s="77">
        <f>IF(VLOOKUP(A286,Database!$A:$AS,MATCH($E$1,Database!$A$1:$AS$1,0),FALSE)=0,#N/A,VLOOKUP(A286,Database!$A:$AS,MATCH($E$1,Database!$A$1:$AS$1,0),FALSE))</f>
        <v/>
      </c>
      <c r="F286" s="77">
        <f>IF(VLOOKUP(A286,Database!$A:$AS,MATCH($F$1,Database!$A$1:$AS$1,0),FALSE)=0,#N/A,VLOOKUP(A286,Database!$A:$AS,MATCH($F$1,Database!$A$1:$AS$1,0),FALSE))</f>
        <v/>
      </c>
      <c r="G286" s="77">
        <f>IF(VLOOKUP(A286,Database!$A:$AS,MATCH($G$1,Database!$A$1:$AS$1,0),FALSE)=0,#N/A,VLOOKUP(A286,Database!$A:$AS,MATCH($G$1,Database!$A$1:$AS$1,0),FALSE))</f>
        <v/>
      </c>
      <c r="H286" s="77">
        <f>(((Table134567891011121314151617343[[#This Row],[ITA]]-VLOOKUP($U$1,A:B,2,))/VLOOKUP($U$1,A:B,2,))*100)+100</f>
        <v/>
      </c>
      <c r="I286" s="77">
        <f>(((Table134567891011121314151617343[[#This Row],[FRA]]-VLOOKUP($U$1,A:C,3,))/VLOOKUP($U$1,A:C,3,))*100)+100</f>
        <v/>
      </c>
      <c r="J286" s="77">
        <f>(((Table134567891011121314151617343[[#This Row],[DEU]]-VLOOKUP($U$1,A:D,4,))/VLOOKUP($U$1,A:D,4,))*100)+100</f>
        <v/>
      </c>
      <c r="K286" s="77">
        <f>(((Table134567891011121314151617343[[#This Row],[ESP]]-VLOOKUP($U$1,A:E,5,))/VLOOKUP($U$1,A:E,5,))*100)+100</f>
        <v/>
      </c>
      <c r="L286" s="77">
        <f>(((Table134567891011121314151617343[[#This Row],[EA19]]-VLOOKUP($U$1,A:F,6,))/VLOOKUP($U$1,A:F,6,))*100)+100</f>
        <v/>
      </c>
      <c r="M286" s="77">
        <f>(((Table134567891011121314151617343[[#This Row],[GBR]]-VLOOKUP($U$1,A:G,7,))/VLOOKUP($U$1,A:G,7,))*100)+100</f>
        <v/>
      </c>
      <c r="N286" s="77">
        <f>IF(VLOOKUP(A286,Database!$A:$AU,MATCH($N$1,Database!$A$1:$AU$1,0),FALSE)=0,#N/A,VLOOKUP(A286,Database!$A:$AU,MATCH($N$1,Database!$A$1:$AU$1,0),FALSE))</f>
        <v/>
      </c>
      <c r="O286" s="77">
        <f>(((Table134567891011121314151617343[[#This Row],[USA]]-VLOOKUP($U$1,A:N,14,))/VLOOKUP($U$1,A:N,14,))*100)+100</f>
        <v/>
      </c>
      <c r="P286" s="77">
        <f>IF(VLOOKUP(A286,Database!$A:$AS,MATCH($P$1,Database!$A$1:$AS$1,0),FALSE)=0,#N/A,VLOOKUP(A286,Database!$A:$AS,MATCH($P$1,Database!$A$1:$AS$1,0),FALSE))</f>
        <v/>
      </c>
      <c r="Q286" s="77">
        <f>(((Table134567891011121314151617343[[#This Row],[JPN]]-VLOOKUP($U$1,A:Q,16,))/VLOOKUP($U$1,A:Q,16,))*100)+100</f>
        <v/>
      </c>
    </row>
    <row r="287" customFormat="1" s="87">
      <c r="A287" s="21" t="n">
        <v>41548</v>
      </c>
      <c r="B287" s="77">
        <f>IF(VLOOKUP(A287,Database!$A:$AS,MATCH($B$1,Database!$A$1:$AS$1,0),FALSE)=0,#N/A,VLOOKUP(A287,Database!$A:$AS,MATCH($B$1,Database!$A$1:$AS$1,0),FALSE))</f>
        <v/>
      </c>
      <c r="C287" s="77">
        <f>IF(VLOOKUP(A287,Database!$A:$AS,MATCH($C$1,Database!$A$1:$AS$1,0),FALSE)=0,#N/A,VLOOKUP(A287,Database!$A:$AS,MATCH($C$1,Database!$A$1:$AS$1,0),FALSE))</f>
        <v/>
      </c>
      <c r="D287" s="77">
        <f>IF(VLOOKUP(A287,Database!$A:$AS,MATCH($D$1,Database!$A$1:$AS$1,0),FALSE)=0,#N/A,VLOOKUP(A287,Database!$A:$AS,MATCH($D$1,Database!$A$1:$AS$1,0),FALSE))</f>
        <v/>
      </c>
      <c r="E287" s="77">
        <f>IF(VLOOKUP(A287,Database!$A:$AS,MATCH($E$1,Database!$A$1:$AS$1,0),FALSE)=0,#N/A,VLOOKUP(A287,Database!$A:$AS,MATCH($E$1,Database!$A$1:$AS$1,0),FALSE))</f>
        <v/>
      </c>
      <c r="F287" s="77">
        <f>IF(VLOOKUP(A287,Database!$A:$AS,MATCH($F$1,Database!$A$1:$AS$1,0),FALSE)=0,#N/A,VLOOKUP(A287,Database!$A:$AS,MATCH($F$1,Database!$A$1:$AS$1,0),FALSE))</f>
        <v/>
      </c>
      <c r="G287" s="77">
        <f>IF(VLOOKUP(A287,Database!$A:$AS,MATCH($G$1,Database!$A$1:$AS$1,0),FALSE)=0,#N/A,VLOOKUP(A287,Database!$A:$AS,MATCH($G$1,Database!$A$1:$AS$1,0),FALSE))</f>
        <v/>
      </c>
      <c r="H287" s="77">
        <f>(((Table134567891011121314151617343[[#This Row],[ITA]]-VLOOKUP($U$1,A:B,2,))/VLOOKUP($U$1,A:B,2,))*100)+100</f>
        <v/>
      </c>
      <c r="I287" s="77">
        <f>(((Table134567891011121314151617343[[#This Row],[FRA]]-VLOOKUP($U$1,A:C,3,))/VLOOKUP($U$1,A:C,3,))*100)+100</f>
        <v/>
      </c>
      <c r="J287" s="77">
        <f>(((Table134567891011121314151617343[[#This Row],[DEU]]-VLOOKUP($U$1,A:D,4,))/VLOOKUP($U$1,A:D,4,))*100)+100</f>
        <v/>
      </c>
      <c r="K287" s="77">
        <f>(((Table134567891011121314151617343[[#This Row],[ESP]]-VLOOKUP($U$1,A:E,5,))/VLOOKUP($U$1,A:E,5,))*100)+100</f>
        <v/>
      </c>
      <c r="L287" s="77">
        <f>(((Table134567891011121314151617343[[#This Row],[EA19]]-VLOOKUP($U$1,A:F,6,))/VLOOKUP($U$1,A:F,6,))*100)+100</f>
        <v/>
      </c>
      <c r="M287" s="77">
        <f>(((Table134567891011121314151617343[[#This Row],[GBR]]-VLOOKUP($U$1,A:G,7,))/VLOOKUP($U$1,A:G,7,))*100)+100</f>
        <v/>
      </c>
      <c r="N287" s="77">
        <f>IF(VLOOKUP(A287,Database!$A:$AU,MATCH($N$1,Database!$A$1:$AU$1,0),FALSE)=0,#N/A,VLOOKUP(A287,Database!$A:$AU,MATCH($N$1,Database!$A$1:$AU$1,0),FALSE))</f>
        <v/>
      </c>
      <c r="O287" s="77">
        <f>(((Table134567891011121314151617343[[#This Row],[USA]]-VLOOKUP($U$1,A:N,14,))/VLOOKUP($U$1,A:N,14,))*100)+100</f>
        <v/>
      </c>
      <c r="P287" s="77">
        <f>IF(VLOOKUP(A287,Database!$A:$AS,MATCH($P$1,Database!$A$1:$AS$1,0),FALSE)=0,#N/A,VLOOKUP(A287,Database!$A:$AS,MATCH($P$1,Database!$A$1:$AS$1,0),FALSE))</f>
        <v/>
      </c>
      <c r="Q287" s="77">
        <f>(((Table134567891011121314151617343[[#This Row],[JPN]]-VLOOKUP($U$1,A:Q,16,))/VLOOKUP($U$1,A:Q,16,))*100)+100</f>
        <v/>
      </c>
    </row>
    <row r="288" customFormat="1" s="87">
      <c r="A288" s="21" t="n">
        <v>41579</v>
      </c>
      <c r="B288" s="77">
        <f>IF(VLOOKUP(A288,Database!$A:$AS,MATCH($B$1,Database!$A$1:$AS$1,0),FALSE)=0,#N/A,VLOOKUP(A288,Database!$A:$AS,MATCH($B$1,Database!$A$1:$AS$1,0),FALSE))</f>
        <v/>
      </c>
      <c r="C288" s="77">
        <f>IF(VLOOKUP(A288,Database!$A:$AS,MATCH($C$1,Database!$A$1:$AS$1,0),FALSE)=0,#N/A,VLOOKUP(A288,Database!$A:$AS,MATCH($C$1,Database!$A$1:$AS$1,0),FALSE))</f>
        <v/>
      </c>
      <c r="D288" s="77">
        <f>IF(VLOOKUP(A288,Database!$A:$AS,MATCH($D$1,Database!$A$1:$AS$1,0),FALSE)=0,#N/A,VLOOKUP(A288,Database!$A:$AS,MATCH($D$1,Database!$A$1:$AS$1,0),FALSE))</f>
        <v/>
      </c>
      <c r="E288" s="77">
        <f>IF(VLOOKUP(A288,Database!$A:$AS,MATCH($E$1,Database!$A$1:$AS$1,0),FALSE)=0,#N/A,VLOOKUP(A288,Database!$A:$AS,MATCH($E$1,Database!$A$1:$AS$1,0),FALSE))</f>
        <v/>
      </c>
      <c r="F288" s="77">
        <f>IF(VLOOKUP(A288,Database!$A:$AS,MATCH($F$1,Database!$A$1:$AS$1,0),FALSE)=0,#N/A,VLOOKUP(A288,Database!$A:$AS,MATCH($F$1,Database!$A$1:$AS$1,0),FALSE))</f>
        <v/>
      </c>
      <c r="G288" s="77">
        <f>IF(VLOOKUP(A288,Database!$A:$AS,MATCH($G$1,Database!$A$1:$AS$1,0),FALSE)=0,#N/A,VLOOKUP(A288,Database!$A:$AS,MATCH($G$1,Database!$A$1:$AS$1,0),FALSE))</f>
        <v/>
      </c>
      <c r="H288" s="77">
        <f>(((Table134567891011121314151617343[[#This Row],[ITA]]-VLOOKUP($U$1,A:B,2,))/VLOOKUP($U$1,A:B,2,))*100)+100</f>
        <v/>
      </c>
      <c r="I288" s="77">
        <f>(((Table134567891011121314151617343[[#This Row],[FRA]]-VLOOKUP($U$1,A:C,3,))/VLOOKUP($U$1,A:C,3,))*100)+100</f>
        <v/>
      </c>
      <c r="J288" s="77">
        <f>(((Table134567891011121314151617343[[#This Row],[DEU]]-VLOOKUP($U$1,A:D,4,))/VLOOKUP($U$1,A:D,4,))*100)+100</f>
        <v/>
      </c>
      <c r="K288" s="77">
        <f>(((Table134567891011121314151617343[[#This Row],[ESP]]-VLOOKUP($U$1,A:E,5,))/VLOOKUP($U$1,A:E,5,))*100)+100</f>
        <v/>
      </c>
      <c r="L288" s="77">
        <f>(((Table134567891011121314151617343[[#This Row],[EA19]]-VLOOKUP($U$1,A:F,6,))/VLOOKUP($U$1,A:F,6,))*100)+100</f>
        <v/>
      </c>
      <c r="M288" s="77">
        <f>(((Table134567891011121314151617343[[#This Row],[GBR]]-VLOOKUP($U$1,A:G,7,))/VLOOKUP($U$1,A:G,7,))*100)+100</f>
        <v/>
      </c>
      <c r="N288" s="77">
        <f>IF(VLOOKUP(A288,Database!$A:$AU,MATCH($N$1,Database!$A$1:$AU$1,0),FALSE)=0,#N/A,VLOOKUP(A288,Database!$A:$AU,MATCH($N$1,Database!$A$1:$AU$1,0),FALSE))</f>
        <v/>
      </c>
      <c r="O288" s="77">
        <f>(((Table134567891011121314151617343[[#This Row],[USA]]-VLOOKUP($U$1,A:N,14,))/VLOOKUP($U$1,A:N,14,))*100)+100</f>
        <v/>
      </c>
      <c r="P288" s="77">
        <f>IF(VLOOKUP(A288,Database!$A:$AS,MATCH($P$1,Database!$A$1:$AS$1,0),FALSE)=0,#N/A,VLOOKUP(A288,Database!$A:$AS,MATCH($P$1,Database!$A$1:$AS$1,0),FALSE))</f>
        <v/>
      </c>
      <c r="Q288" s="77">
        <f>(((Table134567891011121314151617343[[#This Row],[JPN]]-VLOOKUP($U$1,A:Q,16,))/VLOOKUP($U$1,A:Q,16,))*100)+100</f>
        <v/>
      </c>
    </row>
    <row r="289" customFormat="1" s="87">
      <c r="A289" s="21" t="n">
        <v>41609</v>
      </c>
      <c r="B289" s="77">
        <f>IF(VLOOKUP(A289,Database!$A:$AS,MATCH($B$1,Database!$A$1:$AS$1,0),FALSE)=0,#N/A,VLOOKUP(A289,Database!$A:$AS,MATCH($B$1,Database!$A$1:$AS$1,0),FALSE))</f>
        <v/>
      </c>
      <c r="C289" s="77">
        <f>IF(VLOOKUP(A289,Database!$A:$AS,MATCH($C$1,Database!$A$1:$AS$1,0),FALSE)=0,#N/A,VLOOKUP(A289,Database!$A:$AS,MATCH($C$1,Database!$A$1:$AS$1,0),FALSE))</f>
        <v/>
      </c>
      <c r="D289" s="77">
        <f>IF(VLOOKUP(A289,Database!$A:$AS,MATCH($D$1,Database!$A$1:$AS$1,0),FALSE)=0,#N/A,VLOOKUP(A289,Database!$A:$AS,MATCH($D$1,Database!$A$1:$AS$1,0),FALSE))</f>
        <v/>
      </c>
      <c r="E289" s="77">
        <f>IF(VLOOKUP(A289,Database!$A:$AS,MATCH($E$1,Database!$A$1:$AS$1,0),FALSE)=0,#N/A,VLOOKUP(A289,Database!$A:$AS,MATCH($E$1,Database!$A$1:$AS$1,0),FALSE))</f>
        <v/>
      </c>
      <c r="F289" s="77">
        <f>IF(VLOOKUP(A289,Database!$A:$AS,MATCH($F$1,Database!$A$1:$AS$1,0),FALSE)=0,#N/A,VLOOKUP(A289,Database!$A:$AS,MATCH($F$1,Database!$A$1:$AS$1,0),FALSE))</f>
        <v/>
      </c>
      <c r="G289" s="77">
        <f>IF(VLOOKUP(A289,Database!$A:$AS,MATCH($G$1,Database!$A$1:$AS$1,0),FALSE)=0,#N/A,VLOOKUP(A289,Database!$A:$AS,MATCH($G$1,Database!$A$1:$AS$1,0),FALSE))</f>
        <v/>
      </c>
      <c r="H289" s="77">
        <f>(((Table134567891011121314151617343[[#This Row],[ITA]]-VLOOKUP($U$1,A:B,2,))/VLOOKUP($U$1,A:B,2,))*100)+100</f>
        <v/>
      </c>
      <c r="I289" s="77">
        <f>(((Table134567891011121314151617343[[#This Row],[FRA]]-VLOOKUP($U$1,A:C,3,))/VLOOKUP($U$1,A:C,3,))*100)+100</f>
        <v/>
      </c>
      <c r="J289" s="77">
        <f>(((Table134567891011121314151617343[[#This Row],[DEU]]-VLOOKUP($U$1,A:D,4,))/VLOOKUP($U$1,A:D,4,))*100)+100</f>
        <v/>
      </c>
      <c r="K289" s="77">
        <f>(((Table134567891011121314151617343[[#This Row],[ESP]]-VLOOKUP($U$1,A:E,5,))/VLOOKUP($U$1,A:E,5,))*100)+100</f>
        <v/>
      </c>
      <c r="L289" s="77">
        <f>(((Table134567891011121314151617343[[#This Row],[EA19]]-VLOOKUP($U$1,A:F,6,))/VLOOKUP($U$1,A:F,6,))*100)+100</f>
        <v/>
      </c>
      <c r="M289" s="77">
        <f>(((Table134567891011121314151617343[[#This Row],[GBR]]-VLOOKUP($U$1,A:G,7,))/VLOOKUP($U$1,A:G,7,))*100)+100</f>
        <v/>
      </c>
      <c r="N289" s="77">
        <f>IF(VLOOKUP(A289,Database!$A:$AU,MATCH($N$1,Database!$A$1:$AU$1,0),FALSE)=0,#N/A,VLOOKUP(A289,Database!$A:$AU,MATCH($N$1,Database!$A$1:$AU$1,0),FALSE))</f>
        <v/>
      </c>
      <c r="O289" s="77">
        <f>(((Table134567891011121314151617343[[#This Row],[USA]]-VLOOKUP($U$1,A:N,14,))/VLOOKUP($U$1,A:N,14,))*100)+100</f>
        <v/>
      </c>
      <c r="P289" s="77">
        <f>IF(VLOOKUP(A289,Database!$A:$AS,MATCH($P$1,Database!$A$1:$AS$1,0),FALSE)=0,#N/A,VLOOKUP(A289,Database!$A:$AS,MATCH($P$1,Database!$A$1:$AS$1,0),FALSE))</f>
        <v/>
      </c>
      <c r="Q289" s="77">
        <f>(((Table134567891011121314151617343[[#This Row],[JPN]]-VLOOKUP($U$1,A:Q,16,))/VLOOKUP($U$1,A:Q,16,))*100)+100</f>
        <v/>
      </c>
    </row>
    <row r="290" customFormat="1" s="87">
      <c r="A290" s="21" t="n">
        <v>41640</v>
      </c>
      <c r="B290" s="77">
        <f>IF(VLOOKUP(A290,Database!$A:$AS,MATCH($B$1,Database!$A$1:$AS$1,0),FALSE)=0,#N/A,VLOOKUP(A290,Database!$A:$AS,MATCH($B$1,Database!$A$1:$AS$1,0),FALSE))</f>
        <v/>
      </c>
      <c r="C290" s="77">
        <f>IF(VLOOKUP(A290,Database!$A:$AS,MATCH($C$1,Database!$A$1:$AS$1,0),FALSE)=0,#N/A,VLOOKUP(A290,Database!$A:$AS,MATCH($C$1,Database!$A$1:$AS$1,0),FALSE))</f>
        <v/>
      </c>
      <c r="D290" s="77">
        <f>IF(VLOOKUP(A290,Database!$A:$AS,MATCH($D$1,Database!$A$1:$AS$1,0),FALSE)=0,#N/A,VLOOKUP(A290,Database!$A:$AS,MATCH($D$1,Database!$A$1:$AS$1,0),FALSE))</f>
        <v/>
      </c>
      <c r="E290" s="77">
        <f>IF(VLOOKUP(A290,Database!$A:$AS,MATCH($E$1,Database!$A$1:$AS$1,0),FALSE)=0,#N/A,VLOOKUP(A290,Database!$A:$AS,MATCH($E$1,Database!$A$1:$AS$1,0),FALSE))</f>
        <v/>
      </c>
      <c r="F290" s="77">
        <f>IF(VLOOKUP(A290,Database!$A:$AS,MATCH($F$1,Database!$A$1:$AS$1,0),FALSE)=0,#N/A,VLOOKUP(A290,Database!$A:$AS,MATCH($F$1,Database!$A$1:$AS$1,0),FALSE))</f>
        <v/>
      </c>
      <c r="G290" s="77">
        <f>IF(VLOOKUP(A290,Database!$A:$AS,MATCH($G$1,Database!$A$1:$AS$1,0),FALSE)=0,#N/A,VLOOKUP(A290,Database!$A:$AS,MATCH($G$1,Database!$A$1:$AS$1,0),FALSE))</f>
        <v/>
      </c>
      <c r="H290" s="77">
        <f>(((Table134567891011121314151617343[[#This Row],[ITA]]-VLOOKUP($U$1,A:B,2,))/VLOOKUP($U$1,A:B,2,))*100)+100</f>
        <v/>
      </c>
      <c r="I290" s="77">
        <f>(((Table134567891011121314151617343[[#This Row],[FRA]]-VLOOKUP($U$1,A:C,3,))/VLOOKUP($U$1,A:C,3,))*100)+100</f>
        <v/>
      </c>
      <c r="J290" s="77">
        <f>(((Table134567891011121314151617343[[#This Row],[DEU]]-VLOOKUP($U$1,A:D,4,))/VLOOKUP($U$1,A:D,4,))*100)+100</f>
        <v/>
      </c>
      <c r="K290" s="77">
        <f>(((Table134567891011121314151617343[[#This Row],[ESP]]-VLOOKUP($U$1,A:E,5,))/VLOOKUP($U$1,A:E,5,))*100)+100</f>
        <v/>
      </c>
      <c r="L290" s="77">
        <f>(((Table134567891011121314151617343[[#This Row],[EA19]]-VLOOKUP($U$1,A:F,6,))/VLOOKUP($U$1,A:F,6,))*100)+100</f>
        <v/>
      </c>
      <c r="M290" s="77">
        <f>(((Table134567891011121314151617343[[#This Row],[GBR]]-VLOOKUP($U$1,A:G,7,))/VLOOKUP($U$1,A:G,7,))*100)+100</f>
        <v/>
      </c>
      <c r="N290" s="77">
        <f>IF(VLOOKUP(A290,Database!$A:$AU,MATCH($N$1,Database!$A$1:$AU$1,0),FALSE)=0,#N/A,VLOOKUP(A290,Database!$A:$AU,MATCH($N$1,Database!$A$1:$AU$1,0),FALSE))</f>
        <v/>
      </c>
      <c r="O290" s="77">
        <f>(((Table134567891011121314151617343[[#This Row],[USA]]-VLOOKUP($U$1,A:N,14,))/VLOOKUP($U$1,A:N,14,))*100)+100</f>
        <v/>
      </c>
      <c r="P290" s="77">
        <f>IF(VLOOKUP(A290,Database!$A:$AS,MATCH($P$1,Database!$A$1:$AS$1,0),FALSE)=0,#N/A,VLOOKUP(A290,Database!$A:$AS,MATCH($P$1,Database!$A$1:$AS$1,0),FALSE))</f>
        <v/>
      </c>
      <c r="Q290" s="77">
        <f>(((Table134567891011121314151617343[[#This Row],[JPN]]-VLOOKUP($U$1,A:Q,16,))/VLOOKUP($U$1,A:Q,16,))*100)+100</f>
        <v/>
      </c>
    </row>
    <row r="291" customFormat="1" s="87">
      <c r="A291" s="21" t="n">
        <v>41671</v>
      </c>
      <c r="B291" s="77">
        <f>IF(VLOOKUP(A291,Database!$A:$AS,MATCH($B$1,Database!$A$1:$AS$1,0),FALSE)=0,#N/A,VLOOKUP(A291,Database!$A:$AS,MATCH($B$1,Database!$A$1:$AS$1,0),FALSE))</f>
        <v/>
      </c>
      <c r="C291" s="77">
        <f>IF(VLOOKUP(A291,Database!$A:$AS,MATCH($C$1,Database!$A$1:$AS$1,0),FALSE)=0,#N/A,VLOOKUP(A291,Database!$A:$AS,MATCH($C$1,Database!$A$1:$AS$1,0),FALSE))</f>
        <v/>
      </c>
      <c r="D291" s="77">
        <f>IF(VLOOKUP(A291,Database!$A:$AS,MATCH($D$1,Database!$A$1:$AS$1,0),FALSE)=0,#N/A,VLOOKUP(A291,Database!$A:$AS,MATCH($D$1,Database!$A$1:$AS$1,0),FALSE))</f>
        <v/>
      </c>
      <c r="E291" s="77">
        <f>IF(VLOOKUP(A291,Database!$A:$AS,MATCH($E$1,Database!$A$1:$AS$1,0),FALSE)=0,#N/A,VLOOKUP(A291,Database!$A:$AS,MATCH($E$1,Database!$A$1:$AS$1,0),FALSE))</f>
        <v/>
      </c>
      <c r="F291" s="77">
        <f>IF(VLOOKUP(A291,Database!$A:$AS,MATCH($F$1,Database!$A$1:$AS$1,0),FALSE)=0,#N/A,VLOOKUP(A291,Database!$A:$AS,MATCH($F$1,Database!$A$1:$AS$1,0),FALSE))</f>
        <v/>
      </c>
      <c r="G291" s="77">
        <f>IF(VLOOKUP(A291,Database!$A:$AS,MATCH($G$1,Database!$A$1:$AS$1,0),FALSE)=0,#N/A,VLOOKUP(A291,Database!$A:$AS,MATCH($G$1,Database!$A$1:$AS$1,0),FALSE))</f>
        <v/>
      </c>
      <c r="H291" s="77">
        <f>(((Table134567891011121314151617343[[#This Row],[ITA]]-VLOOKUP($U$1,A:B,2,))/VLOOKUP($U$1,A:B,2,))*100)+100</f>
        <v/>
      </c>
      <c r="I291" s="77">
        <f>(((Table134567891011121314151617343[[#This Row],[FRA]]-VLOOKUP($U$1,A:C,3,))/VLOOKUP($U$1,A:C,3,))*100)+100</f>
        <v/>
      </c>
      <c r="J291" s="77">
        <f>(((Table134567891011121314151617343[[#This Row],[DEU]]-VLOOKUP($U$1,A:D,4,))/VLOOKUP($U$1,A:D,4,))*100)+100</f>
        <v/>
      </c>
      <c r="K291" s="77">
        <f>(((Table134567891011121314151617343[[#This Row],[ESP]]-VLOOKUP($U$1,A:E,5,))/VLOOKUP($U$1,A:E,5,))*100)+100</f>
        <v/>
      </c>
      <c r="L291" s="77">
        <f>(((Table134567891011121314151617343[[#This Row],[EA19]]-VLOOKUP($U$1,A:F,6,))/VLOOKUP($U$1,A:F,6,))*100)+100</f>
        <v/>
      </c>
      <c r="M291" s="77">
        <f>(((Table134567891011121314151617343[[#This Row],[GBR]]-VLOOKUP($U$1,A:G,7,))/VLOOKUP($U$1,A:G,7,))*100)+100</f>
        <v/>
      </c>
      <c r="N291" s="77">
        <f>IF(VLOOKUP(A291,Database!$A:$AU,MATCH($N$1,Database!$A$1:$AU$1,0),FALSE)=0,#N/A,VLOOKUP(A291,Database!$A:$AU,MATCH($N$1,Database!$A$1:$AU$1,0),FALSE))</f>
        <v/>
      </c>
      <c r="O291" s="77">
        <f>(((Table134567891011121314151617343[[#This Row],[USA]]-VLOOKUP($U$1,A:N,14,))/VLOOKUP($U$1,A:N,14,))*100)+100</f>
        <v/>
      </c>
      <c r="P291" s="77">
        <f>IF(VLOOKUP(A291,Database!$A:$AS,MATCH($P$1,Database!$A$1:$AS$1,0),FALSE)=0,#N/A,VLOOKUP(A291,Database!$A:$AS,MATCH($P$1,Database!$A$1:$AS$1,0),FALSE))</f>
        <v/>
      </c>
      <c r="Q291" s="77">
        <f>(((Table134567891011121314151617343[[#This Row],[JPN]]-VLOOKUP($U$1,A:Q,16,))/VLOOKUP($U$1,A:Q,16,))*100)+100</f>
        <v/>
      </c>
    </row>
    <row r="292" customFormat="1" s="87">
      <c r="A292" s="21" t="n">
        <v>41699</v>
      </c>
      <c r="B292" s="77">
        <f>IF(VLOOKUP(A292,Database!$A:$AS,MATCH($B$1,Database!$A$1:$AS$1,0),FALSE)=0,#N/A,VLOOKUP(A292,Database!$A:$AS,MATCH($B$1,Database!$A$1:$AS$1,0),FALSE))</f>
        <v/>
      </c>
      <c r="C292" s="77">
        <f>IF(VLOOKUP(A292,Database!$A:$AS,MATCH($C$1,Database!$A$1:$AS$1,0),FALSE)=0,#N/A,VLOOKUP(A292,Database!$A:$AS,MATCH($C$1,Database!$A$1:$AS$1,0),FALSE))</f>
        <v/>
      </c>
      <c r="D292" s="77">
        <f>IF(VLOOKUP(A292,Database!$A:$AS,MATCH($D$1,Database!$A$1:$AS$1,0),FALSE)=0,#N/A,VLOOKUP(A292,Database!$A:$AS,MATCH($D$1,Database!$A$1:$AS$1,0),FALSE))</f>
        <v/>
      </c>
      <c r="E292" s="77">
        <f>IF(VLOOKUP(A292,Database!$A:$AS,MATCH($E$1,Database!$A$1:$AS$1,0),FALSE)=0,#N/A,VLOOKUP(A292,Database!$A:$AS,MATCH($E$1,Database!$A$1:$AS$1,0),FALSE))</f>
        <v/>
      </c>
      <c r="F292" s="77">
        <f>IF(VLOOKUP(A292,Database!$A:$AS,MATCH($F$1,Database!$A$1:$AS$1,0),FALSE)=0,#N/A,VLOOKUP(A292,Database!$A:$AS,MATCH($F$1,Database!$A$1:$AS$1,0),FALSE))</f>
        <v/>
      </c>
      <c r="G292" s="77">
        <f>IF(VLOOKUP(A292,Database!$A:$AS,MATCH($G$1,Database!$A$1:$AS$1,0),FALSE)=0,#N/A,VLOOKUP(A292,Database!$A:$AS,MATCH($G$1,Database!$A$1:$AS$1,0),FALSE))</f>
        <v/>
      </c>
      <c r="H292" s="77">
        <f>(((Table134567891011121314151617343[[#This Row],[ITA]]-VLOOKUP($U$1,A:B,2,))/VLOOKUP($U$1,A:B,2,))*100)+100</f>
        <v/>
      </c>
      <c r="I292" s="77">
        <f>(((Table134567891011121314151617343[[#This Row],[FRA]]-VLOOKUP($U$1,A:C,3,))/VLOOKUP($U$1,A:C,3,))*100)+100</f>
        <v/>
      </c>
      <c r="J292" s="77">
        <f>(((Table134567891011121314151617343[[#This Row],[DEU]]-VLOOKUP($U$1,A:D,4,))/VLOOKUP($U$1,A:D,4,))*100)+100</f>
        <v/>
      </c>
      <c r="K292" s="77">
        <f>(((Table134567891011121314151617343[[#This Row],[ESP]]-VLOOKUP($U$1,A:E,5,))/VLOOKUP($U$1,A:E,5,))*100)+100</f>
        <v/>
      </c>
      <c r="L292" s="77">
        <f>(((Table134567891011121314151617343[[#This Row],[EA19]]-VLOOKUP($U$1,A:F,6,))/VLOOKUP($U$1,A:F,6,))*100)+100</f>
        <v/>
      </c>
      <c r="M292" s="77">
        <f>(((Table134567891011121314151617343[[#This Row],[GBR]]-VLOOKUP($U$1,A:G,7,))/VLOOKUP($U$1,A:G,7,))*100)+100</f>
        <v/>
      </c>
      <c r="N292" s="77">
        <f>IF(VLOOKUP(A292,Database!$A:$AU,MATCH($N$1,Database!$A$1:$AU$1,0),FALSE)=0,#N/A,VLOOKUP(A292,Database!$A:$AU,MATCH($N$1,Database!$A$1:$AU$1,0),FALSE))</f>
        <v/>
      </c>
      <c r="O292" s="77">
        <f>(((Table134567891011121314151617343[[#This Row],[USA]]-VLOOKUP($U$1,A:N,14,))/VLOOKUP($U$1,A:N,14,))*100)+100</f>
        <v/>
      </c>
      <c r="P292" s="77">
        <f>IF(VLOOKUP(A292,Database!$A:$AS,MATCH($P$1,Database!$A$1:$AS$1,0),FALSE)=0,#N/A,VLOOKUP(A292,Database!$A:$AS,MATCH($P$1,Database!$A$1:$AS$1,0),FALSE))</f>
        <v/>
      </c>
      <c r="Q292" s="77">
        <f>(((Table134567891011121314151617343[[#This Row],[JPN]]-VLOOKUP($U$1,A:Q,16,))/VLOOKUP($U$1,A:Q,16,))*100)+100</f>
        <v/>
      </c>
    </row>
    <row r="293" customFormat="1" s="87">
      <c r="A293" s="21" t="n">
        <v>41730</v>
      </c>
      <c r="B293" s="77">
        <f>IF(VLOOKUP(A293,Database!$A:$AS,MATCH($B$1,Database!$A$1:$AS$1,0),FALSE)=0,#N/A,VLOOKUP(A293,Database!$A:$AS,MATCH($B$1,Database!$A$1:$AS$1,0),FALSE))</f>
        <v/>
      </c>
      <c r="C293" s="77">
        <f>IF(VLOOKUP(A293,Database!$A:$AS,MATCH($C$1,Database!$A$1:$AS$1,0),FALSE)=0,#N/A,VLOOKUP(A293,Database!$A:$AS,MATCH($C$1,Database!$A$1:$AS$1,0),FALSE))</f>
        <v/>
      </c>
      <c r="D293" s="77">
        <f>IF(VLOOKUP(A293,Database!$A:$AS,MATCH($D$1,Database!$A$1:$AS$1,0),FALSE)=0,#N/A,VLOOKUP(A293,Database!$A:$AS,MATCH($D$1,Database!$A$1:$AS$1,0),FALSE))</f>
        <v/>
      </c>
      <c r="E293" s="77">
        <f>IF(VLOOKUP(A293,Database!$A:$AS,MATCH($E$1,Database!$A$1:$AS$1,0),FALSE)=0,#N/A,VLOOKUP(A293,Database!$A:$AS,MATCH($E$1,Database!$A$1:$AS$1,0),FALSE))</f>
        <v/>
      </c>
      <c r="F293" s="77">
        <f>IF(VLOOKUP(A293,Database!$A:$AS,MATCH($F$1,Database!$A$1:$AS$1,0),FALSE)=0,#N/A,VLOOKUP(A293,Database!$A:$AS,MATCH($F$1,Database!$A$1:$AS$1,0),FALSE))</f>
        <v/>
      </c>
      <c r="G293" s="77">
        <f>IF(VLOOKUP(A293,Database!$A:$AS,MATCH($G$1,Database!$A$1:$AS$1,0),FALSE)=0,#N/A,VLOOKUP(A293,Database!$A:$AS,MATCH($G$1,Database!$A$1:$AS$1,0),FALSE))</f>
        <v/>
      </c>
      <c r="H293" s="77">
        <f>(((Table134567891011121314151617343[[#This Row],[ITA]]-VLOOKUP($U$1,A:B,2,))/VLOOKUP($U$1,A:B,2,))*100)+100</f>
        <v/>
      </c>
      <c r="I293" s="77">
        <f>(((Table134567891011121314151617343[[#This Row],[FRA]]-VLOOKUP($U$1,A:C,3,))/VLOOKUP($U$1,A:C,3,))*100)+100</f>
        <v/>
      </c>
      <c r="J293" s="77">
        <f>(((Table134567891011121314151617343[[#This Row],[DEU]]-VLOOKUP($U$1,A:D,4,))/VLOOKUP($U$1,A:D,4,))*100)+100</f>
        <v/>
      </c>
      <c r="K293" s="77">
        <f>(((Table134567891011121314151617343[[#This Row],[ESP]]-VLOOKUP($U$1,A:E,5,))/VLOOKUP($U$1,A:E,5,))*100)+100</f>
        <v/>
      </c>
      <c r="L293" s="77">
        <f>(((Table134567891011121314151617343[[#This Row],[EA19]]-VLOOKUP($U$1,A:F,6,))/VLOOKUP($U$1,A:F,6,))*100)+100</f>
        <v/>
      </c>
      <c r="M293" s="77">
        <f>(((Table134567891011121314151617343[[#This Row],[GBR]]-VLOOKUP($U$1,A:G,7,))/VLOOKUP($U$1,A:G,7,))*100)+100</f>
        <v/>
      </c>
      <c r="N293" s="77">
        <f>IF(VLOOKUP(A293,Database!$A:$AU,MATCH($N$1,Database!$A$1:$AU$1,0),FALSE)=0,#N/A,VLOOKUP(A293,Database!$A:$AU,MATCH($N$1,Database!$A$1:$AU$1,0),FALSE))</f>
        <v/>
      </c>
      <c r="O293" s="77">
        <f>(((Table134567891011121314151617343[[#This Row],[USA]]-VLOOKUP($U$1,A:N,14,))/VLOOKUP($U$1,A:N,14,))*100)+100</f>
        <v/>
      </c>
      <c r="P293" s="77">
        <f>IF(VLOOKUP(A293,Database!$A:$AS,MATCH($P$1,Database!$A$1:$AS$1,0),FALSE)=0,#N/A,VLOOKUP(A293,Database!$A:$AS,MATCH($P$1,Database!$A$1:$AS$1,0),FALSE))</f>
        <v/>
      </c>
      <c r="Q293" s="77">
        <f>(((Table134567891011121314151617343[[#This Row],[JPN]]-VLOOKUP($U$1,A:Q,16,))/VLOOKUP($U$1,A:Q,16,))*100)+100</f>
        <v/>
      </c>
    </row>
    <row r="294" customFormat="1" s="87">
      <c r="A294" s="21" t="n">
        <v>41760</v>
      </c>
      <c r="B294" s="77">
        <f>IF(VLOOKUP(A294,Database!$A:$AS,MATCH($B$1,Database!$A$1:$AS$1,0),FALSE)=0,#N/A,VLOOKUP(A294,Database!$A:$AS,MATCH($B$1,Database!$A$1:$AS$1,0),FALSE))</f>
        <v/>
      </c>
      <c r="C294" s="77">
        <f>IF(VLOOKUP(A294,Database!$A:$AS,MATCH($C$1,Database!$A$1:$AS$1,0),FALSE)=0,#N/A,VLOOKUP(A294,Database!$A:$AS,MATCH($C$1,Database!$A$1:$AS$1,0),FALSE))</f>
        <v/>
      </c>
      <c r="D294" s="77">
        <f>IF(VLOOKUP(A294,Database!$A:$AS,MATCH($D$1,Database!$A$1:$AS$1,0),FALSE)=0,#N/A,VLOOKUP(A294,Database!$A:$AS,MATCH($D$1,Database!$A$1:$AS$1,0),FALSE))</f>
        <v/>
      </c>
      <c r="E294" s="77">
        <f>IF(VLOOKUP(A294,Database!$A:$AS,MATCH($E$1,Database!$A$1:$AS$1,0),FALSE)=0,#N/A,VLOOKUP(A294,Database!$A:$AS,MATCH($E$1,Database!$A$1:$AS$1,0),FALSE))</f>
        <v/>
      </c>
      <c r="F294" s="77">
        <f>IF(VLOOKUP(A294,Database!$A:$AS,MATCH($F$1,Database!$A$1:$AS$1,0),FALSE)=0,#N/A,VLOOKUP(A294,Database!$A:$AS,MATCH($F$1,Database!$A$1:$AS$1,0),FALSE))</f>
        <v/>
      </c>
      <c r="G294" s="77">
        <f>IF(VLOOKUP(A294,Database!$A:$AS,MATCH($G$1,Database!$A$1:$AS$1,0),FALSE)=0,#N/A,VLOOKUP(A294,Database!$A:$AS,MATCH($G$1,Database!$A$1:$AS$1,0),FALSE))</f>
        <v/>
      </c>
      <c r="H294" s="77">
        <f>(((Table134567891011121314151617343[[#This Row],[ITA]]-VLOOKUP($U$1,A:B,2,))/VLOOKUP($U$1,A:B,2,))*100)+100</f>
        <v/>
      </c>
      <c r="I294" s="77">
        <f>(((Table134567891011121314151617343[[#This Row],[FRA]]-VLOOKUP($U$1,A:C,3,))/VLOOKUP($U$1,A:C,3,))*100)+100</f>
        <v/>
      </c>
      <c r="J294" s="77">
        <f>(((Table134567891011121314151617343[[#This Row],[DEU]]-VLOOKUP($U$1,A:D,4,))/VLOOKUP($U$1,A:D,4,))*100)+100</f>
        <v/>
      </c>
      <c r="K294" s="77">
        <f>(((Table134567891011121314151617343[[#This Row],[ESP]]-VLOOKUP($U$1,A:E,5,))/VLOOKUP($U$1,A:E,5,))*100)+100</f>
        <v/>
      </c>
      <c r="L294" s="77">
        <f>(((Table134567891011121314151617343[[#This Row],[EA19]]-VLOOKUP($U$1,A:F,6,))/VLOOKUP($U$1,A:F,6,))*100)+100</f>
        <v/>
      </c>
      <c r="M294" s="77">
        <f>(((Table134567891011121314151617343[[#This Row],[GBR]]-VLOOKUP($U$1,A:G,7,))/VLOOKUP($U$1,A:G,7,))*100)+100</f>
        <v/>
      </c>
      <c r="N294" s="77">
        <f>IF(VLOOKUP(A294,Database!$A:$AU,MATCH($N$1,Database!$A$1:$AU$1,0),FALSE)=0,#N/A,VLOOKUP(A294,Database!$A:$AU,MATCH($N$1,Database!$A$1:$AU$1,0),FALSE))</f>
        <v/>
      </c>
      <c r="O294" s="77">
        <f>(((Table134567891011121314151617343[[#This Row],[USA]]-VLOOKUP($U$1,A:N,14,))/VLOOKUP($U$1,A:N,14,))*100)+100</f>
        <v/>
      </c>
      <c r="P294" s="77">
        <f>IF(VLOOKUP(A294,Database!$A:$AS,MATCH($P$1,Database!$A$1:$AS$1,0),FALSE)=0,#N/A,VLOOKUP(A294,Database!$A:$AS,MATCH($P$1,Database!$A$1:$AS$1,0),FALSE))</f>
        <v/>
      </c>
      <c r="Q294" s="77">
        <f>(((Table134567891011121314151617343[[#This Row],[JPN]]-VLOOKUP($U$1,A:Q,16,))/VLOOKUP($U$1,A:Q,16,))*100)+100</f>
        <v/>
      </c>
    </row>
    <row r="295" customFormat="1" s="87">
      <c r="A295" s="21" t="n">
        <v>41791</v>
      </c>
      <c r="B295" s="77">
        <f>IF(VLOOKUP(A295,Database!$A:$AS,MATCH($B$1,Database!$A$1:$AS$1,0),FALSE)=0,#N/A,VLOOKUP(A295,Database!$A:$AS,MATCH($B$1,Database!$A$1:$AS$1,0),FALSE))</f>
        <v/>
      </c>
      <c r="C295" s="77">
        <f>IF(VLOOKUP(A295,Database!$A:$AS,MATCH($C$1,Database!$A$1:$AS$1,0),FALSE)=0,#N/A,VLOOKUP(A295,Database!$A:$AS,MATCH($C$1,Database!$A$1:$AS$1,0),FALSE))</f>
        <v/>
      </c>
      <c r="D295" s="77">
        <f>IF(VLOOKUP(A295,Database!$A:$AS,MATCH($D$1,Database!$A$1:$AS$1,0),FALSE)=0,#N/A,VLOOKUP(A295,Database!$A:$AS,MATCH($D$1,Database!$A$1:$AS$1,0),FALSE))</f>
        <v/>
      </c>
      <c r="E295" s="77">
        <f>IF(VLOOKUP(A295,Database!$A:$AS,MATCH($E$1,Database!$A$1:$AS$1,0),FALSE)=0,#N/A,VLOOKUP(A295,Database!$A:$AS,MATCH($E$1,Database!$A$1:$AS$1,0),FALSE))</f>
        <v/>
      </c>
      <c r="F295" s="77">
        <f>IF(VLOOKUP(A295,Database!$A:$AS,MATCH($F$1,Database!$A$1:$AS$1,0),FALSE)=0,#N/A,VLOOKUP(A295,Database!$A:$AS,MATCH($F$1,Database!$A$1:$AS$1,0),FALSE))</f>
        <v/>
      </c>
      <c r="G295" s="77">
        <f>IF(VLOOKUP(A295,Database!$A:$AS,MATCH($G$1,Database!$A$1:$AS$1,0),FALSE)=0,#N/A,VLOOKUP(A295,Database!$A:$AS,MATCH($G$1,Database!$A$1:$AS$1,0),FALSE))</f>
        <v/>
      </c>
      <c r="H295" s="77">
        <f>(((Table134567891011121314151617343[[#This Row],[ITA]]-VLOOKUP($U$1,A:B,2,))/VLOOKUP($U$1,A:B,2,))*100)+100</f>
        <v/>
      </c>
      <c r="I295" s="77">
        <f>(((Table134567891011121314151617343[[#This Row],[FRA]]-VLOOKUP($U$1,A:C,3,))/VLOOKUP($U$1,A:C,3,))*100)+100</f>
        <v/>
      </c>
      <c r="J295" s="77">
        <f>(((Table134567891011121314151617343[[#This Row],[DEU]]-VLOOKUP($U$1,A:D,4,))/VLOOKUP($U$1,A:D,4,))*100)+100</f>
        <v/>
      </c>
      <c r="K295" s="77">
        <f>(((Table134567891011121314151617343[[#This Row],[ESP]]-VLOOKUP($U$1,A:E,5,))/VLOOKUP($U$1,A:E,5,))*100)+100</f>
        <v/>
      </c>
      <c r="L295" s="77">
        <f>(((Table134567891011121314151617343[[#This Row],[EA19]]-VLOOKUP($U$1,A:F,6,))/VLOOKUP($U$1,A:F,6,))*100)+100</f>
        <v/>
      </c>
      <c r="M295" s="77">
        <f>(((Table134567891011121314151617343[[#This Row],[GBR]]-VLOOKUP($U$1,A:G,7,))/VLOOKUP($U$1,A:G,7,))*100)+100</f>
        <v/>
      </c>
      <c r="N295" s="77">
        <f>IF(VLOOKUP(A295,Database!$A:$AU,MATCH($N$1,Database!$A$1:$AU$1,0),FALSE)=0,#N/A,VLOOKUP(A295,Database!$A:$AU,MATCH($N$1,Database!$A$1:$AU$1,0),FALSE))</f>
        <v/>
      </c>
      <c r="O295" s="77">
        <f>(((Table134567891011121314151617343[[#This Row],[USA]]-VLOOKUP($U$1,A:N,14,))/VLOOKUP($U$1,A:N,14,))*100)+100</f>
        <v/>
      </c>
      <c r="P295" s="77">
        <f>IF(VLOOKUP(A295,Database!$A:$AS,MATCH($P$1,Database!$A$1:$AS$1,0),FALSE)=0,#N/A,VLOOKUP(A295,Database!$A:$AS,MATCH($P$1,Database!$A$1:$AS$1,0),FALSE))</f>
        <v/>
      </c>
      <c r="Q295" s="77">
        <f>(((Table134567891011121314151617343[[#This Row],[JPN]]-VLOOKUP($U$1,A:Q,16,))/VLOOKUP($U$1,A:Q,16,))*100)+100</f>
        <v/>
      </c>
    </row>
    <row r="296" customFormat="1" s="87">
      <c r="A296" s="21" t="n">
        <v>41821</v>
      </c>
      <c r="B296" s="77">
        <f>IF(VLOOKUP(A296,Database!$A:$AS,MATCH($B$1,Database!$A$1:$AS$1,0),FALSE)=0,#N/A,VLOOKUP(A296,Database!$A:$AS,MATCH($B$1,Database!$A$1:$AS$1,0),FALSE))</f>
        <v/>
      </c>
      <c r="C296" s="77">
        <f>IF(VLOOKUP(A296,Database!$A:$AS,MATCH($C$1,Database!$A$1:$AS$1,0),FALSE)=0,#N/A,VLOOKUP(A296,Database!$A:$AS,MATCH($C$1,Database!$A$1:$AS$1,0),FALSE))</f>
        <v/>
      </c>
      <c r="D296" s="77">
        <f>IF(VLOOKUP(A296,Database!$A:$AS,MATCH($D$1,Database!$A$1:$AS$1,0),FALSE)=0,#N/A,VLOOKUP(A296,Database!$A:$AS,MATCH($D$1,Database!$A$1:$AS$1,0),FALSE))</f>
        <v/>
      </c>
      <c r="E296" s="77">
        <f>IF(VLOOKUP(A296,Database!$A:$AS,MATCH($E$1,Database!$A$1:$AS$1,0),FALSE)=0,#N/A,VLOOKUP(A296,Database!$A:$AS,MATCH($E$1,Database!$A$1:$AS$1,0),FALSE))</f>
        <v/>
      </c>
      <c r="F296" s="77">
        <f>IF(VLOOKUP(A296,Database!$A:$AS,MATCH($F$1,Database!$A$1:$AS$1,0),FALSE)=0,#N/A,VLOOKUP(A296,Database!$A:$AS,MATCH($F$1,Database!$A$1:$AS$1,0),FALSE))</f>
        <v/>
      </c>
      <c r="G296" s="77">
        <f>IF(VLOOKUP(A296,Database!$A:$AS,MATCH($G$1,Database!$A$1:$AS$1,0),FALSE)=0,#N/A,VLOOKUP(A296,Database!$A:$AS,MATCH($G$1,Database!$A$1:$AS$1,0),FALSE))</f>
        <v/>
      </c>
      <c r="H296" s="77">
        <f>(((Table134567891011121314151617343[[#This Row],[ITA]]-VLOOKUP($U$1,A:B,2,))/VLOOKUP($U$1,A:B,2,))*100)+100</f>
        <v/>
      </c>
      <c r="I296" s="77">
        <f>(((Table134567891011121314151617343[[#This Row],[FRA]]-VLOOKUP($U$1,A:C,3,))/VLOOKUP($U$1,A:C,3,))*100)+100</f>
        <v/>
      </c>
      <c r="J296" s="77">
        <f>(((Table134567891011121314151617343[[#This Row],[DEU]]-VLOOKUP($U$1,A:D,4,))/VLOOKUP($U$1,A:D,4,))*100)+100</f>
        <v/>
      </c>
      <c r="K296" s="77">
        <f>(((Table134567891011121314151617343[[#This Row],[ESP]]-VLOOKUP($U$1,A:E,5,))/VLOOKUP($U$1,A:E,5,))*100)+100</f>
        <v/>
      </c>
      <c r="L296" s="77">
        <f>(((Table134567891011121314151617343[[#This Row],[EA19]]-VLOOKUP($U$1,A:F,6,))/VLOOKUP($U$1,A:F,6,))*100)+100</f>
        <v/>
      </c>
      <c r="M296" s="77">
        <f>(((Table134567891011121314151617343[[#This Row],[GBR]]-VLOOKUP($U$1,A:G,7,))/VLOOKUP($U$1,A:G,7,))*100)+100</f>
        <v/>
      </c>
      <c r="N296" s="77">
        <f>IF(VLOOKUP(A296,Database!$A:$AU,MATCH($N$1,Database!$A$1:$AU$1,0),FALSE)=0,#N/A,VLOOKUP(A296,Database!$A:$AU,MATCH($N$1,Database!$A$1:$AU$1,0),FALSE))</f>
        <v/>
      </c>
      <c r="O296" s="77">
        <f>(((Table134567891011121314151617343[[#This Row],[USA]]-VLOOKUP($U$1,A:N,14,))/VLOOKUP($U$1,A:N,14,))*100)+100</f>
        <v/>
      </c>
      <c r="P296" s="77">
        <f>IF(VLOOKUP(A296,Database!$A:$AS,MATCH($P$1,Database!$A$1:$AS$1,0),FALSE)=0,#N/A,VLOOKUP(A296,Database!$A:$AS,MATCH($P$1,Database!$A$1:$AS$1,0),FALSE))</f>
        <v/>
      </c>
      <c r="Q296" s="77">
        <f>(((Table134567891011121314151617343[[#This Row],[JPN]]-VLOOKUP($U$1,A:Q,16,))/VLOOKUP($U$1,A:Q,16,))*100)+100</f>
        <v/>
      </c>
    </row>
    <row r="297" customFormat="1" s="87">
      <c r="A297" s="21" t="n">
        <v>41852</v>
      </c>
      <c r="B297" s="77">
        <f>IF(VLOOKUP(A297,Database!$A:$AS,MATCH($B$1,Database!$A$1:$AS$1,0),FALSE)=0,#N/A,VLOOKUP(A297,Database!$A:$AS,MATCH($B$1,Database!$A$1:$AS$1,0),FALSE))</f>
        <v/>
      </c>
      <c r="C297" s="77">
        <f>IF(VLOOKUP(A297,Database!$A:$AS,MATCH($C$1,Database!$A$1:$AS$1,0),FALSE)=0,#N/A,VLOOKUP(A297,Database!$A:$AS,MATCH($C$1,Database!$A$1:$AS$1,0),FALSE))</f>
        <v/>
      </c>
      <c r="D297" s="77">
        <f>IF(VLOOKUP(A297,Database!$A:$AS,MATCH($D$1,Database!$A$1:$AS$1,0),FALSE)=0,#N/A,VLOOKUP(A297,Database!$A:$AS,MATCH($D$1,Database!$A$1:$AS$1,0),FALSE))</f>
        <v/>
      </c>
      <c r="E297" s="77">
        <f>IF(VLOOKUP(A297,Database!$A:$AS,MATCH($E$1,Database!$A$1:$AS$1,0),FALSE)=0,#N/A,VLOOKUP(A297,Database!$A:$AS,MATCH($E$1,Database!$A$1:$AS$1,0),FALSE))</f>
        <v/>
      </c>
      <c r="F297" s="77">
        <f>IF(VLOOKUP(A297,Database!$A:$AS,MATCH($F$1,Database!$A$1:$AS$1,0),FALSE)=0,#N/A,VLOOKUP(A297,Database!$A:$AS,MATCH($F$1,Database!$A$1:$AS$1,0),FALSE))</f>
        <v/>
      </c>
      <c r="G297" s="77">
        <f>IF(VLOOKUP(A297,Database!$A:$AS,MATCH($G$1,Database!$A$1:$AS$1,0),FALSE)=0,#N/A,VLOOKUP(A297,Database!$A:$AS,MATCH($G$1,Database!$A$1:$AS$1,0),FALSE))</f>
        <v/>
      </c>
      <c r="H297" s="77">
        <f>(((Table134567891011121314151617343[[#This Row],[ITA]]-VLOOKUP($U$1,A:B,2,))/VLOOKUP($U$1,A:B,2,))*100)+100</f>
        <v/>
      </c>
      <c r="I297" s="77">
        <f>(((Table134567891011121314151617343[[#This Row],[FRA]]-VLOOKUP($U$1,A:C,3,))/VLOOKUP($U$1,A:C,3,))*100)+100</f>
        <v/>
      </c>
      <c r="J297" s="77">
        <f>(((Table134567891011121314151617343[[#This Row],[DEU]]-VLOOKUP($U$1,A:D,4,))/VLOOKUP($U$1,A:D,4,))*100)+100</f>
        <v/>
      </c>
      <c r="K297" s="77">
        <f>(((Table134567891011121314151617343[[#This Row],[ESP]]-VLOOKUP($U$1,A:E,5,))/VLOOKUP($U$1,A:E,5,))*100)+100</f>
        <v/>
      </c>
      <c r="L297" s="77">
        <f>(((Table134567891011121314151617343[[#This Row],[EA19]]-VLOOKUP($U$1,A:F,6,))/VLOOKUP($U$1,A:F,6,))*100)+100</f>
        <v/>
      </c>
      <c r="M297" s="77">
        <f>(((Table134567891011121314151617343[[#This Row],[GBR]]-VLOOKUP($U$1,A:G,7,))/VLOOKUP($U$1,A:G,7,))*100)+100</f>
        <v/>
      </c>
      <c r="N297" s="77">
        <f>IF(VLOOKUP(A297,Database!$A:$AU,MATCH($N$1,Database!$A$1:$AU$1,0),FALSE)=0,#N/A,VLOOKUP(A297,Database!$A:$AU,MATCH($N$1,Database!$A$1:$AU$1,0),FALSE))</f>
        <v/>
      </c>
      <c r="O297" s="77">
        <f>(((Table134567891011121314151617343[[#This Row],[USA]]-VLOOKUP($U$1,A:N,14,))/VLOOKUP($U$1,A:N,14,))*100)+100</f>
        <v/>
      </c>
      <c r="P297" s="77">
        <f>IF(VLOOKUP(A297,Database!$A:$AS,MATCH($P$1,Database!$A$1:$AS$1,0),FALSE)=0,#N/A,VLOOKUP(A297,Database!$A:$AS,MATCH($P$1,Database!$A$1:$AS$1,0),FALSE))</f>
        <v/>
      </c>
      <c r="Q297" s="77">
        <f>(((Table134567891011121314151617343[[#This Row],[JPN]]-VLOOKUP($U$1,A:Q,16,))/VLOOKUP($U$1,A:Q,16,))*100)+100</f>
        <v/>
      </c>
    </row>
    <row r="298" customFormat="1" s="87">
      <c r="A298" s="21" t="n">
        <v>41883</v>
      </c>
      <c r="B298" s="77">
        <f>IF(VLOOKUP(A298,Database!$A:$AS,MATCH($B$1,Database!$A$1:$AS$1,0),FALSE)=0,#N/A,VLOOKUP(A298,Database!$A:$AS,MATCH($B$1,Database!$A$1:$AS$1,0),FALSE))</f>
        <v/>
      </c>
      <c r="C298" s="77">
        <f>IF(VLOOKUP(A298,Database!$A:$AS,MATCH($C$1,Database!$A$1:$AS$1,0),FALSE)=0,#N/A,VLOOKUP(A298,Database!$A:$AS,MATCH($C$1,Database!$A$1:$AS$1,0),FALSE))</f>
        <v/>
      </c>
      <c r="D298" s="77">
        <f>IF(VLOOKUP(A298,Database!$A:$AS,MATCH($D$1,Database!$A$1:$AS$1,0),FALSE)=0,#N/A,VLOOKUP(A298,Database!$A:$AS,MATCH($D$1,Database!$A$1:$AS$1,0),FALSE))</f>
        <v/>
      </c>
      <c r="E298" s="77">
        <f>IF(VLOOKUP(A298,Database!$A:$AS,MATCH($E$1,Database!$A$1:$AS$1,0),FALSE)=0,#N/A,VLOOKUP(A298,Database!$A:$AS,MATCH($E$1,Database!$A$1:$AS$1,0),FALSE))</f>
        <v/>
      </c>
      <c r="F298" s="77">
        <f>IF(VLOOKUP(A298,Database!$A:$AS,MATCH($F$1,Database!$A$1:$AS$1,0),FALSE)=0,#N/A,VLOOKUP(A298,Database!$A:$AS,MATCH($F$1,Database!$A$1:$AS$1,0),FALSE))</f>
        <v/>
      </c>
      <c r="G298" s="77">
        <f>IF(VLOOKUP(A298,Database!$A:$AS,MATCH($G$1,Database!$A$1:$AS$1,0),FALSE)=0,#N/A,VLOOKUP(A298,Database!$A:$AS,MATCH($G$1,Database!$A$1:$AS$1,0),FALSE))</f>
        <v/>
      </c>
      <c r="H298" s="77">
        <f>(((Table134567891011121314151617343[[#This Row],[ITA]]-VLOOKUP($U$1,A:B,2,))/VLOOKUP($U$1,A:B,2,))*100)+100</f>
        <v/>
      </c>
      <c r="I298" s="77">
        <f>(((Table134567891011121314151617343[[#This Row],[FRA]]-VLOOKUP($U$1,A:C,3,))/VLOOKUP($U$1,A:C,3,))*100)+100</f>
        <v/>
      </c>
      <c r="J298" s="77">
        <f>(((Table134567891011121314151617343[[#This Row],[DEU]]-VLOOKUP($U$1,A:D,4,))/VLOOKUP($U$1,A:D,4,))*100)+100</f>
        <v/>
      </c>
      <c r="K298" s="77">
        <f>(((Table134567891011121314151617343[[#This Row],[ESP]]-VLOOKUP($U$1,A:E,5,))/VLOOKUP($U$1,A:E,5,))*100)+100</f>
        <v/>
      </c>
      <c r="L298" s="77">
        <f>(((Table134567891011121314151617343[[#This Row],[EA19]]-VLOOKUP($U$1,A:F,6,))/VLOOKUP($U$1,A:F,6,))*100)+100</f>
        <v/>
      </c>
      <c r="M298" s="77">
        <f>(((Table134567891011121314151617343[[#This Row],[GBR]]-VLOOKUP($U$1,A:G,7,))/VLOOKUP($U$1,A:G,7,))*100)+100</f>
        <v/>
      </c>
      <c r="N298" s="77">
        <f>IF(VLOOKUP(A298,Database!$A:$AU,MATCH($N$1,Database!$A$1:$AU$1,0),FALSE)=0,#N/A,VLOOKUP(A298,Database!$A:$AU,MATCH($N$1,Database!$A$1:$AU$1,0),FALSE))</f>
        <v/>
      </c>
      <c r="O298" s="77">
        <f>(((Table134567891011121314151617343[[#This Row],[USA]]-VLOOKUP($U$1,A:N,14,))/VLOOKUP($U$1,A:N,14,))*100)+100</f>
        <v/>
      </c>
      <c r="P298" s="77">
        <f>IF(VLOOKUP(A298,Database!$A:$AS,MATCH($P$1,Database!$A$1:$AS$1,0),FALSE)=0,#N/A,VLOOKUP(A298,Database!$A:$AS,MATCH($P$1,Database!$A$1:$AS$1,0),FALSE))</f>
        <v/>
      </c>
      <c r="Q298" s="77">
        <f>(((Table134567891011121314151617343[[#This Row],[JPN]]-VLOOKUP($U$1,A:Q,16,))/VLOOKUP($U$1,A:Q,16,))*100)+100</f>
        <v/>
      </c>
    </row>
    <row r="299" customFormat="1" s="87">
      <c r="A299" s="21" t="n">
        <v>41913</v>
      </c>
      <c r="B299" s="77">
        <f>IF(VLOOKUP(A299,Database!$A:$AS,MATCH($B$1,Database!$A$1:$AS$1,0),FALSE)=0,#N/A,VLOOKUP(A299,Database!$A:$AS,MATCH($B$1,Database!$A$1:$AS$1,0),FALSE))</f>
        <v/>
      </c>
      <c r="C299" s="77">
        <f>IF(VLOOKUP(A299,Database!$A:$AS,MATCH($C$1,Database!$A$1:$AS$1,0),FALSE)=0,#N/A,VLOOKUP(A299,Database!$A:$AS,MATCH($C$1,Database!$A$1:$AS$1,0),FALSE))</f>
        <v/>
      </c>
      <c r="D299" s="77">
        <f>IF(VLOOKUP(A299,Database!$A:$AS,MATCH($D$1,Database!$A$1:$AS$1,0),FALSE)=0,#N/A,VLOOKUP(A299,Database!$A:$AS,MATCH($D$1,Database!$A$1:$AS$1,0),FALSE))</f>
        <v/>
      </c>
      <c r="E299" s="77">
        <f>IF(VLOOKUP(A299,Database!$A:$AS,MATCH($E$1,Database!$A$1:$AS$1,0),FALSE)=0,#N/A,VLOOKUP(A299,Database!$A:$AS,MATCH($E$1,Database!$A$1:$AS$1,0),FALSE))</f>
        <v/>
      </c>
      <c r="F299" s="77">
        <f>IF(VLOOKUP(A299,Database!$A:$AS,MATCH($F$1,Database!$A$1:$AS$1,0),FALSE)=0,#N/A,VLOOKUP(A299,Database!$A:$AS,MATCH($F$1,Database!$A$1:$AS$1,0),FALSE))</f>
        <v/>
      </c>
      <c r="G299" s="77">
        <f>IF(VLOOKUP(A299,Database!$A:$AS,MATCH($G$1,Database!$A$1:$AS$1,0),FALSE)=0,#N/A,VLOOKUP(A299,Database!$A:$AS,MATCH($G$1,Database!$A$1:$AS$1,0),FALSE))</f>
        <v/>
      </c>
      <c r="H299" s="77">
        <f>(((Table134567891011121314151617343[[#This Row],[ITA]]-VLOOKUP($U$1,A:B,2,))/VLOOKUP($U$1,A:B,2,))*100)+100</f>
        <v/>
      </c>
      <c r="I299" s="77">
        <f>(((Table134567891011121314151617343[[#This Row],[FRA]]-VLOOKUP($U$1,A:C,3,))/VLOOKUP($U$1,A:C,3,))*100)+100</f>
        <v/>
      </c>
      <c r="J299" s="77">
        <f>(((Table134567891011121314151617343[[#This Row],[DEU]]-VLOOKUP($U$1,A:D,4,))/VLOOKUP($U$1,A:D,4,))*100)+100</f>
        <v/>
      </c>
      <c r="K299" s="77">
        <f>(((Table134567891011121314151617343[[#This Row],[ESP]]-VLOOKUP($U$1,A:E,5,))/VLOOKUP($U$1,A:E,5,))*100)+100</f>
        <v/>
      </c>
      <c r="L299" s="77">
        <f>(((Table134567891011121314151617343[[#This Row],[EA19]]-VLOOKUP($U$1,A:F,6,))/VLOOKUP($U$1,A:F,6,))*100)+100</f>
        <v/>
      </c>
      <c r="M299" s="77">
        <f>(((Table134567891011121314151617343[[#This Row],[GBR]]-VLOOKUP($U$1,A:G,7,))/VLOOKUP($U$1,A:G,7,))*100)+100</f>
        <v/>
      </c>
      <c r="N299" s="77">
        <f>IF(VLOOKUP(A299,Database!$A:$AU,MATCH($N$1,Database!$A$1:$AU$1,0),FALSE)=0,#N/A,VLOOKUP(A299,Database!$A:$AU,MATCH($N$1,Database!$A$1:$AU$1,0),FALSE))</f>
        <v/>
      </c>
      <c r="O299" s="77">
        <f>(((Table134567891011121314151617343[[#This Row],[USA]]-VLOOKUP($U$1,A:N,14,))/VLOOKUP($U$1,A:N,14,))*100)+100</f>
        <v/>
      </c>
      <c r="P299" s="77">
        <f>IF(VLOOKUP(A299,Database!$A:$AS,MATCH($P$1,Database!$A$1:$AS$1,0),FALSE)=0,#N/A,VLOOKUP(A299,Database!$A:$AS,MATCH($P$1,Database!$A$1:$AS$1,0),FALSE))</f>
        <v/>
      </c>
      <c r="Q299" s="77">
        <f>(((Table134567891011121314151617343[[#This Row],[JPN]]-VLOOKUP($U$1,A:Q,16,))/VLOOKUP($U$1,A:Q,16,))*100)+100</f>
        <v/>
      </c>
    </row>
    <row r="300" customFormat="1" s="87">
      <c r="A300" s="21" t="n">
        <v>41944</v>
      </c>
      <c r="B300" s="77">
        <f>IF(VLOOKUP(A300,Database!$A:$AS,MATCH($B$1,Database!$A$1:$AS$1,0),FALSE)=0,#N/A,VLOOKUP(A300,Database!$A:$AS,MATCH($B$1,Database!$A$1:$AS$1,0),FALSE))</f>
        <v/>
      </c>
      <c r="C300" s="77">
        <f>IF(VLOOKUP(A300,Database!$A:$AS,MATCH($C$1,Database!$A$1:$AS$1,0),FALSE)=0,#N/A,VLOOKUP(A300,Database!$A:$AS,MATCH($C$1,Database!$A$1:$AS$1,0),FALSE))</f>
        <v/>
      </c>
      <c r="D300" s="77">
        <f>IF(VLOOKUP(A300,Database!$A:$AS,MATCH($D$1,Database!$A$1:$AS$1,0),FALSE)=0,#N/A,VLOOKUP(A300,Database!$A:$AS,MATCH($D$1,Database!$A$1:$AS$1,0),FALSE))</f>
        <v/>
      </c>
      <c r="E300" s="77">
        <f>IF(VLOOKUP(A300,Database!$A:$AS,MATCH($E$1,Database!$A$1:$AS$1,0),FALSE)=0,#N/A,VLOOKUP(A300,Database!$A:$AS,MATCH($E$1,Database!$A$1:$AS$1,0),FALSE))</f>
        <v/>
      </c>
      <c r="F300" s="77">
        <f>IF(VLOOKUP(A300,Database!$A:$AS,MATCH($F$1,Database!$A$1:$AS$1,0),FALSE)=0,#N/A,VLOOKUP(A300,Database!$A:$AS,MATCH($F$1,Database!$A$1:$AS$1,0),FALSE))</f>
        <v/>
      </c>
      <c r="G300" s="77">
        <f>IF(VLOOKUP(A300,Database!$A:$AS,MATCH($G$1,Database!$A$1:$AS$1,0),FALSE)=0,#N/A,VLOOKUP(A300,Database!$A:$AS,MATCH($G$1,Database!$A$1:$AS$1,0),FALSE))</f>
        <v/>
      </c>
      <c r="H300" s="77">
        <f>(((Table134567891011121314151617343[[#This Row],[ITA]]-VLOOKUP($U$1,A:B,2,))/VLOOKUP($U$1,A:B,2,))*100)+100</f>
        <v/>
      </c>
      <c r="I300" s="77">
        <f>(((Table134567891011121314151617343[[#This Row],[FRA]]-VLOOKUP($U$1,A:C,3,))/VLOOKUP($U$1,A:C,3,))*100)+100</f>
        <v/>
      </c>
      <c r="J300" s="77">
        <f>(((Table134567891011121314151617343[[#This Row],[DEU]]-VLOOKUP($U$1,A:D,4,))/VLOOKUP($U$1,A:D,4,))*100)+100</f>
        <v/>
      </c>
      <c r="K300" s="77">
        <f>(((Table134567891011121314151617343[[#This Row],[ESP]]-VLOOKUP($U$1,A:E,5,))/VLOOKUP($U$1,A:E,5,))*100)+100</f>
        <v/>
      </c>
      <c r="L300" s="77">
        <f>(((Table134567891011121314151617343[[#This Row],[EA19]]-VLOOKUP($U$1,A:F,6,))/VLOOKUP($U$1,A:F,6,))*100)+100</f>
        <v/>
      </c>
      <c r="M300" s="77">
        <f>(((Table134567891011121314151617343[[#This Row],[GBR]]-VLOOKUP($U$1,A:G,7,))/VLOOKUP($U$1,A:G,7,))*100)+100</f>
        <v/>
      </c>
      <c r="N300" s="77">
        <f>IF(VLOOKUP(A300,Database!$A:$AU,MATCH($N$1,Database!$A$1:$AU$1,0),FALSE)=0,#N/A,VLOOKUP(A300,Database!$A:$AU,MATCH($N$1,Database!$A$1:$AU$1,0),FALSE))</f>
        <v/>
      </c>
      <c r="O300" s="77">
        <f>(((Table134567891011121314151617343[[#This Row],[USA]]-VLOOKUP($U$1,A:N,14,))/VLOOKUP($U$1,A:N,14,))*100)+100</f>
        <v/>
      </c>
      <c r="P300" s="77">
        <f>IF(VLOOKUP(A300,Database!$A:$AS,MATCH($P$1,Database!$A$1:$AS$1,0),FALSE)=0,#N/A,VLOOKUP(A300,Database!$A:$AS,MATCH($P$1,Database!$A$1:$AS$1,0),FALSE))</f>
        <v/>
      </c>
      <c r="Q300" s="77">
        <f>(((Table134567891011121314151617343[[#This Row],[JPN]]-VLOOKUP($U$1,A:Q,16,))/VLOOKUP($U$1,A:Q,16,))*100)+100</f>
        <v/>
      </c>
    </row>
    <row r="301" customFormat="1" s="87">
      <c r="A301" s="21" t="n">
        <v>41974</v>
      </c>
      <c r="B301" s="77">
        <f>IF(VLOOKUP(A301,Database!$A:$AS,MATCH($B$1,Database!$A$1:$AS$1,0),FALSE)=0,#N/A,VLOOKUP(A301,Database!$A:$AS,MATCH($B$1,Database!$A$1:$AS$1,0),FALSE))</f>
        <v/>
      </c>
      <c r="C301" s="77">
        <f>IF(VLOOKUP(A301,Database!$A:$AS,MATCH($C$1,Database!$A$1:$AS$1,0),FALSE)=0,#N/A,VLOOKUP(A301,Database!$A:$AS,MATCH($C$1,Database!$A$1:$AS$1,0),FALSE))</f>
        <v/>
      </c>
      <c r="D301" s="77">
        <f>IF(VLOOKUP(A301,Database!$A:$AS,MATCH($D$1,Database!$A$1:$AS$1,0),FALSE)=0,#N/A,VLOOKUP(A301,Database!$A:$AS,MATCH($D$1,Database!$A$1:$AS$1,0),FALSE))</f>
        <v/>
      </c>
      <c r="E301" s="77">
        <f>IF(VLOOKUP(A301,Database!$A:$AS,MATCH($E$1,Database!$A$1:$AS$1,0),FALSE)=0,#N/A,VLOOKUP(A301,Database!$A:$AS,MATCH($E$1,Database!$A$1:$AS$1,0),FALSE))</f>
        <v/>
      </c>
      <c r="F301" s="77">
        <f>IF(VLOOKUP(A301,Database!$A:$AS,MATCH($F$1,Database!$A$1:$AS$1,0),FALSE)=0,#N/A,VLOOKUP(A301,Database!$A:$AS,MATCH($F$1,Database!$A$1:$AS$1,0),FALSE))</f>
        <v/>
      </c>
      <c r="G301" s="77">
        <f>IF(VLOOKUP(A301,Database!$A:$AS,MATCH($G$1,Database!$A$1:$AS$1,0),FALSE)=0,#N/A,VLOOKUP(A301,Database!$A:$AS,MATCH($G$1,Database!$A$1:$AS$1,0),FALSE))</f>
        <v/>
      </c>
      <c r="H301" s="77">
        <f>(((Table134567891011121314151617343[[#This Row],[ITA]]-VLOOKUP($U$1,A:B,2,))/VLOOKUP($U$1,A:B,2,))*100)+100</f>
        <v/>
      </c>
      <c r="I301" s="77">
        <f>(((Table134567891011121314151617343[[#This Row],[FRA]]-VLOOKUP($U$1,A:C,3,))/VLOOKUP($U$1,A:C,3,))*100)+100</f>
        <v/>
      </c>
      <c r="J301" s="77">
        <f>(((Table134567891011121314151617343[[#This Row],[DEU]]-VLOOKUP($U$1,A:D,4,))/VLOOKUP($U$1,A:D,4,))*100)+100</f>
        <v/>
      </c>
      <c r="K301" s="77">
        <f>(((Table134567891011121314151617343[[#This Row],[ESP]]-VLOOKUP($U$1,A:E,5,))/VLOOKUP($U$1,A:E,5,))*100)+100</f>
        <v/>
      </c>
      <c r="L301" s="77">
        <f>(((Table134567891011121314151617343[[#This Row],[EA19]]-VLOOKUP($U$1,A:F,6,))/VLOOKUP($U$1,A:F,6,))*100)+100</f>
        <v/>
      </c>
      <c r="M301" s="77">
        <f>(((Table134567891011121314151617343[[#This Row],[GBR]]-VLOOKUP($U$1,A:G,7,))/VLOOKUP($U$1,A:G,7,))*100)+100</f>
        <v/>
      </c>
      <c r="N301" s="77">
        <f>IF(VLOOKUP(A301,Database!$A:$AU,MATCH($N$1,Database!$A$1:$AU$1,0),FALSE)=0,#N/A,VLOOKUP(A301,Database!$A:$AU,MATCH($N$1,Database!$A$1:$AU$1,0),FALSE))</f>
        <v/>
      </c>
      <c r="O301" s="77">
        <f>(((Table134567891011121314151617343[[#This Row],[USA]]-VLOOKUP($U$1,A:N,14,))/VLOOKUP($U$1,A:N,14,))*100)+100</f>
        <v/>
      </c>
      <c r="P301" s="77">
        <f>IF(VLOOKUP(A301,Database!$A:$AS,MATCH($P$1,Database!$A$1:$AS$1,0),FALSE)=0,#N/A,VLOOKUP(A301,Database!$A:$AS,MATCH($P$1,Database!$A$1:$AS$1,0),FALSE))</f>
        <v/>
      </c>
      <c r="Q301" s="77">
        <f>(((Table134567891011121314151617343[[#This Row],[JPN]]-VLOOKUP($U$1,A:Q,16,))/VLOOKUP($U$1,A:Q,16,))*100)+100</f>
        <v/>
      </c>
    </row>
    <row r="302" customFormat="1" s="87">
      <c r="A302" s="21" t="n">
        <v>42005</v>
      </c>
      <c r="B302" s="77">
        <f>IF(VLOOKUP(A302,Database!$A:$AS,MATCH($B$1,Database!$A$1:$AS$1,0),FALSE)=0,#N/A,VLOOKUP(A302,Database!$A:$AS,MATCH($B$1,Database!$A$1:$AS$1,0),FALSE))</f>
        <v/>
      </c>
      <c r="C302" s="77">
        <f>IF(VLOOKUP(A302,Database!$A:$AS,MATCH($C$1,Database!$A$1:$AS$1,0),FALSE)=0,#N/A,VLOOKUP(A302,Database!$A:$AS,MATCH($C$1,Database!$A$1:$AS$1,0),FALSE))</f>
        <v/>
      </c>
      <c r="D302" s="77">
        <f>IF(VLOOKUP(A302,Database!$A:$AS,MATCH($D$1,Database!$A$1:$AS$1,0),FALSE)=0,#N/A,VLOOKUP(A302,Database!$A:$AS,MATCH($D$1,Database!$A$1:$AS$1,0),FALSE))</f>
        <v/>
      </c>
      <c r="E302" s="77">
        <f>IF(VLOOKUP(A302,Database!$A:$AS,MATCH($E$1,Database!$A$1:$AS$1,0),FALSE)=0,#N/A,VLOOKUP(A302,Database!$A:$AS,MATCH($E$1,Database!$A$1:$AS$1,0),FALSE))</f>
        <v/>
      </c>
      <c r="F302" s="77">
        <f>IF(VLOOKUP(A302,Database!$A:$AS,MATCH($F$1,Database!$A$1:$AS$1,0),FALSE)=0,#N/A,VLOOKUP(A302,Database!$A:$AS,MATCH($F$1,Database!$A$1:$AS$1,0),FALSE))</f>
        <v/>
      </c>
      <c r="G302" s="77">
        <f>IF(VLOOKUP(A302,Database!$A:$AS,MATCH($G$1,Database!$A$1:$AS$1,0),FALSE)=0,#N/A,VLOOKUP(A302,Database!$A:$AS,MATCH($G$1,Database!$A$1:$AS$1,0),FALSE))</f>
        <v/>
      </c>
      <c r="H302" s="77">
        <f>(((Table134567891011121314151617343[[#This Row],[ITA]]-VLOOKUP($U$1,A:B,2,))/VLOOKUP($U$1,A:B,2,))*100)+100</f>
        <v/>
      </c>
      <c r="I302" s="77">
        <f>(((Table134567891011121314151617343[[#This Row],[FRA]]-VLOOKUP($U$1,A:C,3,))/VLOOKUP($U$1,A:C,3,))*100)+100</f>
        <v/>
      </c>
      <c r="J302" s="77">
        <f>(((Table134567891011121314151617343[[#This Row],[DEU]]-VLOOKUP($U$1,A:D,4,))/VLOOKUP($U$1,A:D,4,))*100)+100</f>
        <v/>
      </c>
      <c r="K302" s="77">
        <f>(((Table134567891011121314151617343[[#This Row],[ESP]]-VLOOKUP($U$1,A:E,5,))/VLOOKUP($U$1,A:E,5,))*100)+100</f>
        <v/>
      </c>
      <c r="L302" s="77">
        <f>(((Table134567891011121314151617343[[#This Row],[EA19]]-VLOOKUP($U$1,A:F,6,))/VLOOKUP($U$1,A:F,6,))*100)+100</f>
        <v/>
      </c>
      <c r="M302" s="77">
        <f>(((Table134567891011121314151617343[[#This Row],[GBR]]-VLOOKUP($U$1,A:G,7,))/VLOOKUP($U$1,A:G,7,))*100)+100</f>
        <v/>
      </c>
      <c r="N302" s="77">
        <f>IF(VLOOKUP(A302,Database!$A:$AU,MATCH($N$1,Database!$A$1:$AU$1,0),FALSE)=0,#N/A,VLOOKUP(A302,Database!$A:$AU,MATCH($N$1,Database!$A$1:$AU$1,0),FALSE))</f>
        <v/>
      </c>
      <c r="O302" s="77">
        <f>(((Table134567891011121314151617343[[#This Row],[USA]]-VLOOKUP($U$1,A:N,14,))/VLOOKUP($U$1,A:N,14,))*100)+100</f>
        <v/>
      </c>
      <c r="P302" s="77">
        <f>IF(VLOOKUP(A302,Database!$A:$AS,MATCH($P$1,Database!$A$1:$AS$1,0),FALSE)=0,#N/A,VLOOKUP(A302,Database!$A:$AS,MATCH($P$1,Database!$A$1:$AS$1,0),FALSE))</f>
        <v/>
      </c>
      <c r="Q302" s="77">
        <f>(((Table134567891011121314151617343[[#This Row],[JPN]]-VLOOKUP($U$1,A:Q,16,))/VLOOKUP($U$1,A:Q,16,))*100)+100</f>
        <v/>
      </c>
    </row>
    <row r="303" customFormat="1" s="87">
      <c r="A303" s="21" t="n">
        <v>42036</v>
      </c>
      <c r="B303" s="77">
        <f>IF(VLOOKUP(A303,Database!$A:$AS,MATCH($B$1,Database!$A$1:$AS$1,0),FALSE)=0,#N/A,VLOOKUP(A303,Database!$A:$AS,MATCH($B$1,Database!$A$1:$AS$1,0),FALSE))</f>
        <v/>
      </c>
      <c r="C303" s="77">
        <f>IF(VLOOKUP(A303,Database!$A:$AS,MATCH($C$1,Database!$A$1:$AS$1,0),FALSE)=0,#N/A,VLOOKUP(A303,Database!$A:$AS,MATCH($C$1,Database!$A$1:$AS$1,0),FALSE))</f>
        <v/>
      </c>
      <c r="D303" s="77">
        <f>IF(VLOOKUP(A303,Database!$A:$AS,MATCH($D$1,Database!$A$1:$AS$1,0),FALSE)=0,#N/A,VLOOKUP(A303,Database!$A:$AS,MATCH($D$1,Database!$A$1:$AS$1,0),FALSE))</f>
        <v/>
      </c>
      <c r="E303" s="77">
        <f>IF(VLOOKUP(A303,Database!$A:$AS,MATCH($E$1,Database!$A$1:$AS$1,0),FALSE)=0,#N/A,VLOOKUP(A303,Database!$A:$AS,MATCH($E$1,Database!$A$1:$AS$1,0),FALSE))</f>
        <v/>
      </c>
      <c r="F303" s="77">
        <f>IF(VLOOKUP(A303,Database!$A:$AS,MATCH($F$1,Database!$A$1:$AS$1,0),FALSE)=0,#N/A,VLOOKUP(A303,Database!$A:$AS,MATCH($F$1,Database!$A$1:$AS$1,0),FALSE))</f>
        <v/>
      </c>
      <c r="G303" s="77">
        <f>IF(VLOOKUP(A303,Database!$A:$AS,MATCH($G$1,Database!$A$1:$AS$1,0),FALSE)=0,#N/A,VLOOKUP(A303,Database!$A:$AS,MATCH($G$1,Database!$A$1:$AS$1,0),FALSE))</f>
        <v/>
      </c>
      <c r="H303" s="77">
        <f>(((Table134567891011121314151617343[[#This Row],[ITA]]-VLOOKUP($U$1,A:B,2,))/VLOOKUP($U$1,A:B,2,))*100)+100</f>
        <v/>
      </c>
      <c r="I303" s="77">
        <f>(((Table134567891011121314151617343[[#This Row],[FRA]]-VLOOKUP($U$1,A:C,3,))/VLOOKUP($U$1,A:C,3,))*100)+100</f>
        <v/>
      </c>
      <c r="J303" s="77">
        <f>(((Table134567891011121314151617343[[#This Row],[DEU]]-VLOOKUP($U$1,A:D,4,))/VLOOKUP($U$1,A:D,4,))*100)+100</f>
        <v/>
      </c>
      <c r="K303" s="77">
        <f>(((Table134567891011121314151617343[[#This Row],[ESP]]-VLOOKUP($U$1,A:E,5,))/VLOOKUP($U$1,A:E,5,))*100)+100</f>
        <v/>
      </c>
      <c r="L303" s="77">
        <f>(((Table134567891011121314151617343[[#This Row],[EA19]]-VLOOKUP($U$1,A:F,6,))/VLOOKUP($U$1,A:F,6,))*100)+100</f>
        <v/>
      </c>
      <c r="M303" s="77">
        <f>(((Table134567891011121314151617343[[#This Row],[GBR]]-VLOOKUP($U$1,A:G,7,))/VLOOKUP($U$1,A:G,7,))*100)+100</f>
        <v/>
      </c>
      <c r="N303" s="77">
        <f>IF(VLOOKUP(A303,Database!$A:$AU,MATCH($N$1,Database!$A$1:$AU$1,0),FALSE)=0,#N/A,VLOOKUP(A303,Database!$A:$AU,MATCH($N$1,Database!$A$1:$AU$1,0),FALSE))</f>
        <v/>
      </c>
      <c r="O303" s="77">
        <f>(((Table134567891011121314151617343[[#This Row],[USA]]-VLOOKUP($U$1,A:N,14,))/VLOOKUP($U$1,A:N,14,))*100)+100</f>
        <v/>
      </c>
      <c r="P303" s="77">
        <f>IF(VLOOKUP(A303,Database!$A:$AS,MATCH($P$1,Database!$A$1:$AS$1,0),FALSE)=0,#N/A,VLOOKUP(A303,Database!$A:$AS,MATCH($P$1,Database!$A$1:$AS$1,0),FALSE))</f>
        <v/>
      </c>
      <c r="Q303" s="77">
        <f>(((Table134567891011121314151617343[[#This Row],[JPN]]-VLOOKUP($U$1,A:Q,16,))/VLOOKUP($U$1,A:Q,16,))*100)+100</f>
        <v/>
      </c>
    </row>
    <row r="304" customFormat="1" s="87">
      <c r="A304" s="21" t="n">
        <v>42064</v>
      </c>
      <c r="B304" s="77">
        <f>IF(VLOOKUP(A304,Database!$A:$AS,MATCH($B$1,Database!$A$1:$AS$1,0),FALSE)=0,#N/A,VLOOKUP(A304,Database!$A:$AS,MATCH($B$1,Database!$A$1:$AS$1,0),FALSE))</f>
        <v/>
      </c>
      <c r="C304" s="77">
        <f>IF(VLOOKUP(A304,Database!$A:$AS,MATCH($C$1,Database!$A$1:$AS$1,0),FALSE)=0,#N/A,VLOOKUP(A304,Database!$A:$AS,MATCH($C$1,Database!$A$1:$AS$1,0),FALSE))</f>
        <v/>
      </c>
      <c r="D304" s="77">
        <f>IF(VLOOKUP(A304,Database!$A:$AS,MATCH($D$1,Database!$A$1:$AS$1,0),FALSE)=0,#N/A,VLOOKUP(A304,Database!$A:$AS,MATCH($D$1,Database!$A$1:$AS$1,0),FALSE))</f>
        <v/>
      </c>
      <c r="E304" s="77">
        <f>IF(VLOOKUP(A304,Database!$A:$AS,MATCH($E$1,Database!$A$1:$AS$1,0),FALSE)=0,#N/A,VLOOKUP(A304,Database!$A:$AS,MATCH($E$1,Database!$A$1:$AS$1,0),FALSE))</f>
        <v/>
      </c>
      <c r="F304" s="77">
        <f>IF(VLOOKUP(A304,Database!$A:$AS,MATCH($F$1,Database!$A$1:$AS$1,0),FALSE)=0,#N/A,VLOOKUP(A304,Database!$A:$AS,MATCH($F$1,Database!$A$1:$AS$1,0),FALSE))</f>
        <v/>
      </c>
      <c r="G304" s="77">
        <f>IF(VLOOKUP(A304,Database!$A:$AS,MATCH($G$1,Database!$A$1:$AS$1,0),FALSE)=0,#N/A,VLOOKUP(A304,Database!$A:$AS,MATCH($G$1,Database!$A$1:$AS$1,0),FALSE))</f>
        <v/>
      </c>
      <c r="H304" s="77">
        <f>(((Table134567891011121314151617343[[#This Row],[ITA]]-VLOOKUP($U$1,A:B,2,))/VLOOKUP($U$1,A:B,2,))*100)+100</f>
        <v/>
      </c>
      <c r="I304" s="77">
        <f>(((Table134567891011121314151617343[[#This Row],[FRA]]-VLOOKUP($U$1,A:C,3,))/VLOOKUP($U$1,A:C,3,))*100)+100</f>
        <v/>
      </c>
      <c r="J304" s="77">
        <f>(((Table134567891011121314151617343[[#This Row],[DEU]]-VLOOKUP($U$1,A:D,4,))/VLOOKUP($U$1,A:D,4,))*100)+100</f>
        <v/>
      </c>
      <c r="K304" s="77">
        <f>(((Table134567891011121314151617343[[#This Row],[ESP]]-VLOOKUP($U$1,A:E,5,))/VLOOKUP($U$1,A:E,5,))*100)+100</f>
        <v/>
      </c>
      <c r="L304" s="77">
        <f>(((Table134567891011121314151617343[[#This Row],[EA19]]-VLOOKUP($U$1,A:F,6,))/VLOOKUP($U$1,A:F,6,))*100)+100</f>
        <v/>
      </c>
      <c r="M304" s="77">
        <f>(((Table134567891011121314151617343[[#This Row],[GBR]]-VLOOKUP($U$1,A:G,7,))/VLOOKUP($U$1,A:G,7,))*100)+100</f>
        <v/>
      </c>
      <c r="N304" s="77">
        <f>IF(VLOOKUP(A304,Database!$A:$AU,MATCH($N$1,Database!$A$1:$AU$1,0),FALSE)=0,#N/A,VLOOKUP(A304,Database!$A:$AU,MATCH($N$1,Database!$A$1:$AU$1,0),FALSE))</f>
        <v/>
      </c>
      <c r="O304" s="77">
        <f>(((Table134567891011121314151617343[[#This Row],[USA]]-VLOOKUP($U$1,A:N,14,))/VLOOKUP($U$1,A:N,14,))*100)+100</f>
        <v/>
      </c>
      <c r="P304" s="77">
        <f>IF(VLOOKUP(A304,Database!$A:$AS,MATCH($P$1,Database!$A$1:$AS$1,0),FALSE)=0,#N/A,VLOOKUP(A304,Database!$A:$AS,MATCH($P$1,Database!$A$1:$AS$1,0),FALSE))</f>
        <v/>
      </c>
      <c r="Q304" s="77">
        <f>(((Table134567891011121314151617343[[#This Row],[JPN]]-VLOOKUP($U$1,A:Q,16,))/VLOOKUP($U$1,A:Q,16,))*100)+100</f>
        <v/>
      </c>
    </row>
    <row r="305" customFormat="1" s="87">
      <c r="A305" s="21" t="n">
        <v>42095</v>
      </c>
      <c r="B305" s="77">
        <f>IF(VLOOKUP(A305,Database!$A:$AS,MATCH($B$1,Database!$A$1:$AS$1,0),FALSE)=0,#N/A,VLOOKUP(A305,Database!$A:$AS,MATCH($B$1,Database!$A$1:$AS$1,0),FALSE))</f>
        <v/>
      </c>
      <c r="C305" s="77">
        <f>IF(VLOOKUP(A305,Database!$A:$AS,MATCH($C$1,Database!$A$1:$AS$1,0),FALSE)=0,#N/A,VLOOKUP(A305,Database!$A:$AS,MATCH($C$1,Database!$A$1:$AS$1,0),FALSE))</f>
        <v/>
      </c>
      <c r="D305" s="77">
        <f>IF(VLOOKUP(A305,Database!$A:$AS,MATCH($D$1,Database!$A$1:$AS$1,0),FALSE)=0,#N/A,VLOOKUP(A305,Database!$A:$AS,MATCH($D$1,Database!$A$1:$AS$1,0),FALSE))</f>
        <v/>
      </c>
      <c r="E305" s="77">
        <f>IF(VLOOKUP(A305,Database!$A:$AS,MATCH($E$1,Database!$A$1:$AS$1,0),FALSE)=0,#N/A,VLOOKUP(A305,Database!$A:$AS,MATCH($E$1,Database!$A$1:$AS$1,0),FALSE))</f>
        <v/>
      </c>
      <c r="F305" s="77">
        <f>IF(VLOOKUP(A305,Database!$A:$AS,MATCH($F$1,Database!$A$1:$AS$1,0),FALSE)=0,#N/A,VLOOKUP(A305,Database!$A:$AS,MATCH($F$1,Database!$A$1:$AS$1,0),FALSE))</f>
        <v/>
      </c>
      <c r="G305" s="77">
        <f>IF(VLOOKUP(A305,Database!$A:$AS,MATCH($G$1,Database!$A$1:$AS$1,0),FALSE)=0,#N/A,VLOOKUP(A305,Database!$A:$AS,MATCH($G$1,Database!$A$1:$AS$1,0),FALSE))</f>
        <v/>
      </c>
      <c r="H305" s="77">
        <f>(((Table134567891011121314151617343[[#This Row],[ITA]]-VLOOKUP($U$1,A:B,2,))/VLOOKUP($U$1,A:B,2,))*100)+100</f>
        <v/>
      </c>
      <c r="I305" s="77">
        <f>(((Table134567891011121314151617343[[#This Row],[FRA]]-VLOOKUP($U$1,A:C,3,))/VLOOKUP($U$1,A:C,3,))*100)+100</f>
        <v/>
      </c>
      <c r="J305" s="77">
        <f>(((Table134567891011121314151617343[[#This Row],[DEU]]-VLOOKUP($U$1,A:D,4,))/VLOOKUP($U$1,A:D,4,))*100)+100</f>
        <v/>
      </c>
      <c r="K305" s="77">
        <f>(((Table134567891011121314151617343[[#This Row],[ESP]]-VLOOKUP($U$1,A:E,5,))/VLOOKUP($U$1,A:E,5,))*100)+100</f>
        <v/>
      </c>
      <c r="L305" s="77">
        <f>(((Table134567891011121314151617343[[#This Row],[EA19]]-VLOOKUP($U$1,A:F,6,))/VLOOKUP($U$1,A:F,6,))*100)+100</f>
        <v/>
      </c>
      <c r="M305" s="77">
        <f>(((Table134567891011121314151617343[[#This Row],[GBR]]-VLOOKUP($U$1,A:G,7,))/VLOOKUP($U$1,A:G,7,))*100)+100</f>
        <v/>
      </c>
      <c r="N305" s="77">
        <f>IF(VLOOKUP(A305,Database!$A:$AU,MATCH($N$1,Database!$A$1:$AU$1,0),FALSE)=0,#N/A,VLOOKUP(A305,Database!$A:$AU,MATCH($N$1,Database!$A$1:$AU$1,0),FALSE))</f>
        <v/>
      </c>
      <c r="O305" s="77">
        <f>(((Table134567891011121314151617343[[#This Row],[USA]]-VLOOKUP($U$1,A:N,14,))/VLOOKUP($U$1,A:N,14,))*100)+100</f>
        <v/>
      </c>
      <c r="P305" s="77">
        <f>IF(VLOOKUP(A305,Database!$A:$AS,MATCH($P$1,Database!$A$1:$AS$1,0),FALSE)=0,#N/A,VLOOKUP(A305,Database!$A:$AS,MATCH($P$1,Database!$A$1:$AS$1,0),FALSE))</f>
        <v/>
      </c>
      <c r="Q305" s="77">
        <f>(((Table134567891011121314151617343[[#This Row],[JPN]]-VLOOKUP($U$1,A:Q,16,))/VLOOKUP($U$1,A:Q,16,))*100)+100</f>
        <v/>
      </c>
    </row>
    <row r="306" customFormat="1" s="87">
      <c r="A306" s="21" t="n">
        <v>42125</v>
      </c>
      <c r="B306" s="77">
        <f>IF(VLOOKUP(A306,Database!$A:$AS,MATCH($B$1,Database!$A$1:$AS$1,0),FALSE)=0,#N/A,VLOOKUP(A306,Database!$A:$AS,MATCH($B$1,Database!$A$1:$AS$1,0),FALSE))</f>
        <v/>
      </c>
      <c r="C306" s="77">
        <f>IF(VLOOKUP(A306,Database!$A:$AS,MATCH($C$1,Database!$A$1:$AS$1,0),FALSE)=0,#N/A,VLOOKUP(A306,Database!$A:$AS,MATCH($C$1,Database!$A$1:$AS$1,0),FALSE))</f>
        <v/>
      </c>
      <c r="D306" s="77">
        <f>IF(VLOOKUP(A306,Database!$A:$AS,MATCH($D$1,Database!$A$1:$AS$1,0),FALSE)=0,#N/A,VLOOKUP(A306,Database!$A:$AS,MATCH($D$1,Database!$A$1:$AS$1,0),FALSE))</f>
        <v/>
      </c>
      <c r="E306" s="77">
        <f>IF(VLOOKUP(A306,Database!$A:$AS,MATCH($E$1,Database!$A$1:$AS$1,0),FALSE)=0,#N/A,VLOOKUP(A306,Database!$A:$AS,MATCH($E$1,Database!$A$1:$AS$1,0),FALSE))</f>
        <v/>
      </c>
      <c r="F306" s="77">
        <f>IF(VLOOKUP(A306,Database!$A:$AS,MATCH($F$1,Database!$A$1:$AS$1,0),FALSE)=0,#N/A,VLOOKUP(A306,Database!$A:$AS,MATCH($F$1,Database!$A$1:$AS$1,0),FALSE))</f>
        <v/>
      </c>
      <c r="G306" s="77">
        <f>IF(VLOOKUP(A306,Database!$A:$AS,MATCH($G$1,Database!$A$1:$AS$1,0),FALSE)=0,#N/A,VLOOKUP(A306,Database!$A:$AS,MATCH($G$1,Database!$A$1:$AS$1,0),FALSE))</f>
        <v/>
      </c>
      <c r="H306" s="77">
        <f>(((Table134567891011121314151617343[[#This Row],[ITA]]-VLOOKUP($U$1,A:B,2,))/VLOOKUP($U$1,A:B,2,))*100)+100</f>
        <v/>
      </c>
      <c r="I306" s="77">
        <f>(((Table134567891011121314151617343[[#This Row],[FRA]]-VLOOKUP($U$1,A:C,3,))/VLOOKUP($U$1,A:C,3,))*100)+100</f>
        <v/>
      </c>
      <c r="J306" s="77">
        <f>(((Table134567891011121314151617343[[#This Row],[DEU]]-VLOOKUP($U$1,A:D,4,))/VLOOKUP($U$1,A:D,4,))*100)+100</f>
        <v/>
      </c>
      <c r="K306" s="77">
        <f>(((Table134567891011121314151617343[[#This Row],[ESP]]-VLOOKUP($U$1,A:E,5,))/VLOOKUP($U$1,A:E,5,))*100)+100</f>
        <v/>
      </c>
      <c r="L306" s="77">
        <f>(((Table134567891011121314151617343[[#This Row],[EA19]]-VLOOKUP($U$1,A:F,6,))/VLOOKUP($U$1,A:F,6,))*100)+100</f>
        <v/>
      </c>
      <c r="M306" s="77">
        <f>(((Table134567891011121314151617343[[#This Row],[GBR]]-VLOOKUP($U$1,A:G,7,))/VLOOKUP($U$1,A:G,7,))*100)+100</f>
        <v/>
      </c>
      <c r="N306" s="77">
        <f>IF(VLOOKUP(A306,Database!$A:$AU,MATCH($N$1,Database!$A$1:$AU$1,0),FALSE)=0,#N/A,VLOOKUP(A306,Database!$A:$AU,MATCH($N$1,Database!$A$1:$AU$1,0),FALSE))</f>
        <v/>
      </c>
      <c r="O306" s="77">
        <f>(((Table134567891011121314151617343[[#This Row],[USA]]-VLOOKUP($U$1,A:N,14,))/VLOOKUP($U$1,A:N,14,))*100)+100</f>
        <v/>
      </c>
      <c r="P306" s="77">
        <f>IF(VLOOKUP(A306,Database!$A:$AS,MATCH($P$1,Database!$A$1:$AS$1,0),FALSE)=0,#N/A,VLOOKUP(A306,Database!$A:$AS,MATCH($P$1,Database!$A$1:$AS$1,0),FALSE))</f>
        <v/>
      </c>
      <c r="Q306" s="77">
        <f>(((Table134567891011121314151617343[[#This Row],[JPN]]-VLOOKUP($U$1,A:Q,16,))/VLOOKUP($U$1,A:Q,16,))*100)+100</f>
        <v/>
      </c>
    </row>
    <row r="307" customFormat="1" s="87">
      <c r="A307" s="21" t="n">
        <v>42156</v>
      </c>
      <c r="B307" s="77">
        <f>IF(VLOOKUP(A307,Database!$A:$AS,MATCH($B$1,Database!$A$1:$AS$1,0),FALSE)=0,#N/A,VLOOKUP(A307,Database!$A:$AS,MATCH($B$1,Database!$A$1:$AS$1,0),FALSE))</f>
        <v/>
      </c>
      <c r="C307" s="77">
        <f>IF(VLOOKUP(A307,Database!$A:$AS,MATCH($C$1,Database!$A$1:$AS$1,0),FALSE)=0,#N/A,VLOOKUP(A307,Database!$A:$AS,MATCH($C$1,Database!$A$1:$AS$1,0),FALSE))</f>
        <v/>
      </c>
      <c r="D307" s="77">
        <f>IF(VLOOKUP(A307,Database!$A:$AS,MATCH($D$1,Database!$A$1:$AS$1,0),FALSE)=0,#N/A,VLOOKUP(A307,Database!$A:$AS,MATCH($D$1,Database!$A$1:$AS$1,0),FALSE))</f>
        <v/>
      </c>
      <c r="E307" s="77">
        <f>IF(VLOOKUP(A307,Database!$A:$AS,MATCH($E$1,Database!$A$1:$AS$1,0),FALSE)=0,#N/A,VLOOKUP(A307,Database!$A:$AS,MATCH($E$1,Database!$A$1:$AS$1,0),FALSE))</f>
        <v/>
      </c>
      <c r="F307" s="77">
        <f>IF(VLOOKUP(A307,Database!$A:$AS,MATCH($F$1,Database!$A$1:$AS$1,0),FALSE)=0,#N/A,VLOOKUP(A307,Database!$A:$AS,MATCH($F$1,Database!$A$1:$AS$1,0),FALSE))</f>
        <v/>
      </c>
      <c r="G307" s="77">
        <f>IF(VLOOKUP(A307,Database!$A:$AS,MATCH($G$1,Database!$A$1:$AS$1,0),FALSE)=0,#N/A,VLOOKUP(A307,Database!$A:$AS,MATCH($G$1,Database!$A$1:$AS$1,0),FALSE))</f>
        <v/>
      </c>
      <c r="H307" s="77">
        <f>(((Table134567891011121314151617343[[#This Row],[ITA]]-VLOOKUP($U$1,A:B,2,))/VLOOKUP($U$1,A:B,2,))*100)+100</f>
        <v/>
      </c>
      <c r="I307" s="77">
        <f>(((Table134567891011121314151617343[[#This Row],[FRA]]-VLOOKUP($U$1,A:C,3,))/VLOOKUP($U$1,A:C,3,))*100)+100</f>
        <v/>
      </c>
      <c r="J307" s="77">
        <f>(((Table134567891011121314151617343[[#This Row],[DEU]]-VLOOKUP($U$1,A:D,4,))/VLOOKUP($U$1,A:D,4,))*100)+100</f>
        <v/>
      </c>
      <c r="K307" s="77">
        <f>(((Table134567891011121314151617343[[#This Row],[ESP]]-VLOOKUP($U$1,A:E,5,))/VLOOKUP($U$1,A:E,5,))*100)+100</f>
        <v/>
      </c>
      <c r="L307" s="77">
        <f>(((Table134567891011121314151617343[[#This Row],[EA19]]-VLOOKUP($U$1,A:F,6,))/VLOOKUP($U$1,A:F,6,))*100)+100</f>
        <v/>
      </c>
      <c r="M307" s="77">
        <f>(((Table134567891011121314151617343[[#This Row],[GBR]]-VLOOKUP($U$1,A:G,7,))/VLOOKUP($U$1,A:G,7,))*100)+100</f>
        <v/>
      </c>
      <c r="N307" s="77">
        <f>IF(VLOOKUP(A307,Database!$A:$AU,MATCH($N$1,Database!$A$1:$AU$1,0),FALSE)=0,#N/A,VLOOKUP(A307,Database!$A:$AU,MATCH($N$1,Database!$A$1:$AU$1,0),FALSE))</f>
        <v/>
      </c>
      <c r="O307" s="77">
        <f>(((Table134567891011121314151617343[[#This Row],[USA]]-VLOOKUP($U$1,A:N,14,))/VLOOKUP($U$1,A:N,14,))*100)+100</f>
        <v/>
      </c>
      <c r="P307" s="77">
        <f>IF(VLOOKUP(A307,Database!$A:$AS,MATCH($P$1,Database!$A$1:$AS$1,0),FALSE)=0,#N/A,VLOOKUP(A307,Database!$A:$AS,MATCH($P$1,Database!$A$1:$AS$1,0),FALSE))</f>
        <v/>
      </c>
      <c r="Q307" s="77">
        <f>(((Table134567891011121314151617343[[#This Row],[JPN]]-VLOOKUP($U$1,A:Q,16,))/VLOOKUP($U$1,A:Q,16,))*100)+100</f>
        <v/>
      </c>
    </row>
    <row r="308" customFormat="1" s="87">
      <c r="A308" s="21" t="n">
        <v>42186</v>
      </c>
      <c r="B308" s="77">
        <f>IF(VLOOKUP(A308,Database!$A:$AS,MATCH($B$1,Database!$A$1:$AS$1,0),FALSE)=0,#N/A,VLOOKUP(A308,Database!$A:$AS,MATCH($B$1,Database!$A$1:$AS$1,0),FALSE))</f>
        <v/>
      </c>
      <c r="C308" s="77">
        <f>IF(VLOOKUP(A308,Database!$A:$AS,MATCH($C$1,Database!$A$1:$AS$1,0),FALSE)=0,#N/A,VLOOKUP(A308,Database!$A:$AS,MATCH($C$1,Database!$A$1:$AS$1,0),FALSE))</f>
        <v/>
      </c>
      <c r="D308" s="77">
        <f>IF(VLOOKUP(A308,Database!$A:$AS,MATCH($D$1,Database!$A$1:$AS$1,0),FALSE)=0,#N/A,VLOOKUP(A308,Database!$A:$AS,MATCH($D$1,Database!$A$1:$AS$1,0),FALSE))</f>
        <v/>
      </c>
      <c r="E308" s="77">
        <f>IF(VLOOKUP(A308,Database!$A:$AS,MATCH($E$1,Database!$A$1:$AS$1,0),FALSE)=0,#N/A,VLOOKUP(A308,Database!$A:$AS,MATCH($E$1,Database!$A$1:$AS$1,0),FALSE))</f>
        <v/>
      </c>
      <c r="F308" s="77">
        <f>IF(VLOOKUP(A308,Database!$A:$AS,MATCH($F$1,Database!$A$1:$AS$1,0),FALSE)=0,#N/A,VLOOKUP(A308,Database!$A:$AS,MATCH($F$1,Database!$A$1:$AS$1,0),FALSE))</f>
        <v/>
      </c>
      <c r="G308" s="77">
        <f>IF(VLOOKUP(A308,Database!$A:$AS,MATCH($G$1,Database!$A$1:$AS$1,0),FALSE)=0,#N/A,VLOOKUP(A308,Database!$A:$AS,MATCH($G$1,Database!$A$1:$AS$1,0),FALSE))</f>
        <v/>
      </c>
      <c r="H308" s="77">
        <f>(((Table134567891011121314151617343[[#This Row],[ITA]]-VLOOKUP($U$1,A:B,2,))/VLOOKUP($U$1,A:B,2,))*100)+100</f>
        <v/>
      </c>
      <c r="I308" s="77">
        <f>(((Table134567891011121314151617343[[#This Row],[FRA]]-VLOOKUP($U$1,A:C,3,))/VLOOKUP($U$1,A:C,3,))*100)+100</f>
        <v/>
      </c>
      <c r="J308" s="77">
        <f>(((Table134567891011121314151617343[[#This Row],[DEU]]-VLOOKUP($U$1,A:D,4,))/VLOOKUP($U$1,A:D,4,))*100)+100</f>
        <v/>
      </c>
      <c r="K308" s="77">
        <f>(((Table134567891011121314151617343[[#This Row],[ESP]]-VLOOKUP($U$1,A:E,5,))/VLOOKUP($U$1,A:E,5,))*100)+100</f>
        <v/>
      </c>
      <c r="L308" s="77">
        <f>(((Table134567891011121314151617343[[#This Row],[EA19]]-VLOOKUP($U$1,A:F,6,))/VLOOKUP($U$1,A:F,6,))*100)+100</f>
        <v/>
      </c>
      <c r="M308" s="77">
        <f>(((Table134567891011121314151617343[[#This Row],[GBR]]-VLOOKUP($U$1,A:G,7,))/VLOOKUP($U$1,A:G,7,))*100)+100</f>
        <v/>
      </c>
      <c r="N308" s="77">
        <f>IF(VLOOKUP(A308,Database!$A:$AU,MATCH($N$1,Database!$A$1:$AU$1,0),FALSE)=0,#N/A,VLOOKUP(A308,Database!$A:$AU,MATCH($N$1,Database!$A$1:$AU$1,0),FALSE))</f>
        <v/>
      </c>
      <c r="O308" s="77">
        <f>(((Table134567891011121314151617343[[#This Row],[USA]]-VLOOKUP($U$1,A:N,14,))/VLOOKUP($U$1,A:N,14,))*100)+100</f>
        <v/>
      </c>
      <c r="P308" s="77">
        <f>IF(VLOOKUP(A308,Database!$A:$AS,MATCH($P$1,Database!$A$1:$AS$1,0),FALSE)=0,#N/A,VLOOKUP(A308,Database!$A:$AS,MATCH($P$1,Database!$A$1:$AS$1,0),FALSE))</f>
        <v/>
      </c>
      <c r="Q308" s="77">
        <f>(((Table134567891011121314151617343[[#This Row],[JPN]]-VLOOKUP($U$1,A:Q,16,))/VLOOKUP($U$1,A:Q,16,))*100)+100</f>
        <v/>
      </c>
    </row>
    <row r="309" customFormat="1" s="87">
      <c r="A309" s="21" t="n">
        <v>42217</v>
      </c>
      <c r="B309" s="77">
        <f>IF(VLOOKUP(A309,Database!$A:$AS,MATCH($B$1,Database!$A$1:$AS$1,0),FALSE)=0,#N/A,VLOOKUP(A309,Database!$A:$AS,MATCH($B$1,Database!$A$1:$AS$1,0),FALSE))</f>
        <v/>
      </c>
      <c r="C309" s="77">
        <f>IF(VLOOKUP(A309,Database!$A:$AS,MATCH($C$1,Database!$A$1:$AS$1,0),FALSE)=0,#N/A,VLOOKUP(A309,Database!$A:$AS,MATCH($C$1,Database!$A$1:$AS$1,0),FALSE))</f>
        <v/>
      </c>
      <c r="D309" s="77">
        <f>IF(VLOOKUP(A309,Database!$A:$AS,MATCH($D$1,Database!$A$1:$AS$1,0),FALSE)=0,#N/A,VLOOKUP(A309,Database!$A:$AS,MATCH($D$1,Database!$A$1:$AS$1,0),FALSE))</f>
        <v/>
      </c>
      <c r="E309" s="77">
        <f>IF(VLOOKUP(A309,Database!$A:$AS,MATCH($E$1,Database!$A$1:$AS$1,0),FALSE)=0,#N/A,VLOOKUP(A309,Database!$A:$AS,MATCH($E$1,Database!$A$1:$AS$1,0),FALSE))</f>
        <v/>
      </c>
      <c r="F309" s="77">
        <f>IF(VLOOKUP(A309,Database!$A:$AS,MATCH($F$1,Database!$A$1:$AS$1,0),FALSE)=0,#N/A,VLOOKUP(A309,Database!$A:$AS,MATCH($F$1,Database!$A$1:$AS$1,0),FALSE))</f>
        <v/>
      </c>
      <c r="G309" s="77">
        <f>IF(VLOOKUP(A309,Database!$A:$AS,MATCH($G$1,Database!$A$1:$AS$1,0),FALSE)=0,#N/A,VLOOKUP(A309,Database!$A:$AS,MATCH($G$1,Database!$A$1:$AS$1,0),FALSE))</f>
        <v/>
      </c>
      <c r="H309" s="77">
        <f>(((Table134567891011121314151617343[[#This Row],[ITA]]-VLOOKUP($U$1,A:B,2,))/VLOOKUP($U$1,A:B,2,))*100)+100</f>
        <v/>
      </c>
      <c r="I309" s="77">
        <f>(((Table134567891011121314151617343[[#This Row],[FRA]]-VLOOKUP($U$1,A:C,3,))/VLOOKUP($U$1,A:C,3,))*100)+100</f>
        <v/>
      </c>
      <c r="J309" s="77">
        <f>(((Table134567891011121314151617343[[#This Row],[DEU]]-VLOOKUP($U$1,A:D,4,))/VLOOKUP($U$1,A:D,4,))*100)+100</f>
        <v/>
      </c>
      <c r="K309" s="77">
        <f>(((Table134567891011121314151617343[[#This Row],[ESP]]-VLOOKUP($U$1,A:E,5,))/VLOOKUP($U$1,A:E,5,))*100)+100</f>
        <v/>
      </c>
      <c r="L309" s="77">
        <f>(((Table134567891011121314151617343[[#This Row],[EA19]]-VLOOKUP($U$1,A:F,6,))/VLOOKUP($U$1,A:F,6,))*100)+100</f>
        <v/>
      </c>
      <c r="M309" s="77">
        <f>(((Table134567891011121314151617343[[#This Row],[GBR]]-VLOOKUP($U$1,A:G,7,))/VLOOKUP($U$1,A:G,7,))*100)+100</f>
        <v/>
      </c>
      <c r="N309" s="77">
        <f>IF(VLOOKUP(A309,Database!$A:$AU,MATCH($N$1,Database!$A$1:$AU$1,0),FALSE)=0,#N/A,VLOOKUP(A309,Database!$A:$AU,MATCH($N$1,Database!$A$1:$AU$1,0),FALSE))</f>
        <v/>
      </c>
      <c r="O309" s="77">
        <f>(((Table134567891011121314151617343[[#This Row],[USA]]-VLOOKUP($U$1,A:N,14,))/VLOOKUP($U$1,A:N,14,))*100)+100</f>
        <v/>
      </c>
      <c r="P309" s="77">
        <f>IF(VLOOKUP(A309,Database!$A:$AS,MATCH($P$1,Database!$A$1:$AS$1,0),FALSE)=0,#N/A,VLOOKUP(A309,Database!$A:$AS,MATCH($P$1,Database!$A$1:$AS$1,0),FALSE))</f>
        <v/>
      </c>
      <c r="Q309" s="77">
        <f>(((Table134567891011121314151617343[[#This Row],[JPN]]-VLOOKUP($U$1,A:Q,16,))/VLOOKUP($U$1,A:Q,16,))*100)+100</f>
        <v/>
      </c>
    </row>
    <row r="310" customFormat="1" s="87">
      <c r="A310" s="21" t="n">
        <v>42248</v>
      </c>
      <c r="B310" s="77">
        <f>IF(VLOOKUP(A310,Database!$A:$AS,MATCH($B$1,Database!$A$1:$AS$1,0),FALSE)=0,#N/A,VLOOKUP(A310,Database!$A:$AS,MATCH($B$1,Database!$A$1:$AS$1,0),FALSE))</f>
        <v/>
      </c>
      <c r="C310" s="77">
        <f>IF(VLOOKUP(A310,Database!$A:$AS,MATCH($C$1,Database!$A$1:$AS$1,0),FALSE)=0,#N/A,VLOOKUP(A310,Database!$A:$AS,MATCH($C$1,Database!$A$1:$AS$1,0),FALSE))</f>
        <v/>
      </c>
      <c r="D310" s="77">
        <f>IF(VLOOKUP(A310,Database!$A:$AS,MATCH($D$1,Database!$A$1:$AS$1,0),FALSE)=0,#N/A,VLOOKUP(A310,Database!$A:$AS,MATCH($D$1,Database!$A$1:$AS$1,0),FALSE))</f>
        <v/>
      </c>
      <c r="E310" s="77">
        <f>IF(VLOOKUP(A310,Database!$A:$AS,MATCH($E$1,Database!$A$1:$AS$1,0),FALSE)=0,#N/A,VLOOKUP(A310,Database!$A:$AS,MATCH($E$1,Database!$A$1:$AS$1,0),FALSE))</f>
        <v/>
      </c>
      <c r="F310" s="77">
        <f>IF(VLOOKUP(A310,Database!$A:$AS,MATCH($F$1,Database!$A$1:$AS$1,0),FALSE)=0,#N/A,VLOOKUP(A310,Database!$A:$AS,MATCH($F$1,Database!$A$1:$AS$1,0),FALSE))</f>
        <v/>
      </c>
      <c r="G310" s="77">
        <f>IF(VLOOKUP(A310,Database!$A:$AS,MATCH($G$1,Database!$A$1:$AS$1,0),FALSE)=0,#N/A,VLOOKUP(A310,Database!$A:$AS,MATCH($G$1,Database!$A$1:$AS$1,0),FALSE))</f>
        <v/>
      </c>
      <c r="H310" s="77">
        <f>(((Table134567891011121314151617343[[#This Row],[ITA]]-VLOOKUP($U$1,A:B,2,))/VLOOKUP($U$1,A:B,2,))*100)+100</f>
        <v/>
      </c>
      <c r="I310" s="77">
        <f>(((Table134567891011121314151617343[[#This Row],[FRA]]-VLOOKUP($U$1,A:C,3,))/VLOOKUP($U$1,A:C,3,))*100)+100</f>
        <v/>
      </c>
      <c r="J310" s="77">
        <f>(((Table134567891011121314151617343[[#This Row],[DEU]]-VLOOKUP($U$1,A:D,4,))/VLOOKUP($U$1,A:D,4,))*100)+100</f>
        <v/>
      </c>
      <c r="K310" s="77">
        <f>(((Table134567891011121314151617343[[#This Row],[ESP]]-VLOOKUP($U$1,A:E,5,))/VLOOKUP($U$1,A:E,5,))*100)+100</f>
        <v/>
      </c>
      <c r="L310" s="77">
        <f>(((Table134567891011121314151617343[[#This Row],[EA19]]-VLOOKUP($U$1,A:F,6,))/VLOOKUP($U$1,A:F,6,))*100)+100</f>
        <v/>
      </c>
      <c r="M310" s="77">
        <f>(((Table134567891011121314151617343[[#This Row],[GBR]]-VLOOKUP($U$1,A:G,7,))/VLOOKUP($U$1,A:G,7,))*100)+100</f>
        <v/>
      </c>
      <c r="N310" s="77">
        <f>IF(VLOOKUP(A310,Database!$A:$AU,MATCH($N$1,Database!$A$1:$AU$1,0),FALSE)=0,#N/A,VLOOKUP(A310,Database!$A:$AU,MATCH($N$1,Database!$A$1:$AU$1,0),FALSE))</f>
        <v/>
      </c>
      <c r="O310" s="77">
        <f>(((Table134567891011121314151617343[[#This Row],[USA]]-VLOOKUP($U$1,A:N,14,))/VLOOKUP($U$1,A:N,14,))*100)+100</f>
        <v/>
      </c>
      <c r="P310" s="77">
        <f>IF(VLOOKUP(A310,Database!$A:$AS,MATCH($P$1,Database!$A$1:$AS$1,0),FALSE)=0,#N/A,VLOOKUP(A310,Database!$A:$AS,MATCH($P$1,Database!$A$1:$AS$1,0),FALSE))</f>
        <v/>
      </c>
      <c r="Q310" s="77">
        <f>(((Table134567891011121314151617343[[#This Row],[JPN]]-VLOOKUP($U$1,A:Q,16,))/VLOOKUP($U$1,A:Q,16,))*100)+100</f>
        <v/>
      </c>
    </row>
    <row r="311" customFormat="1" s="87">
      <c r="A311" s="21" t="n">
        <v>42278</v>
      </c>
      <c r="B311" s="77">
        <f>IF(VLOOKUP(A311,Database!$A:$AS,MATCH($B$1,Database!$A$1:$AS$1,0),FALSE)=0,#N/A,VLOOKUP(A311,Database!$A:$AS,MATCH($B$1,Database!$A$1:$AS$1,0),FALSE))</f>
        <v/>
      </c>
      <c r="C311" s="77">
        <f>IF(VLOOKUP(A311,Database!$A:$AS,MATCH($C$1,Database!$A$1:$AS$1,0),FALSE)=0,#N/A,VLOOKUP(A311,Database!$A:$AS,MATCH($C$1,Database!$A$1:$AS$1,0),FALSE))</f>
        <v/>
      </c>
      <c r="D311" s="77">
        <f>IF(VLOOKUP(A311,Database!$A:$AS,MATCH($D$1,Database!$A$1:$AS$1,0),FALSE)=0,#N/A,VLOOKUP(A311,Database!$A:$AS,MATCH($D$1,Database!$A$1:$AS$1,0),FALSE))</f>
        <v/>
      </c>
      <c r="E311" s="77">
        <f>IF(VLOOKUP(A311,Database!$A:$AS,MATCH($E$1,Database!$A$1:$AS$1,0),FALSE)=0,#N/A,VLOOKUP(A311,Database!$A:$AS,MATCH($E$1,Database!$A$1:$AS$1,0),FALSE))</f>
        <v/>
      </c>
      <c r="F311" s="77">
        <f>IF(VLOOKUP(A311,Database!$A:$AS,MATCH($F$1,Database!$A$1:$AS$1,0),FALSE)=0,#N/A,VLOOKUP(A311,Database!$A:$AS,MATCH($F$1,Database!$A$1:$AS$1,0),FALSE))</f>
        <v/>
      </c>
      <c r="G311" s="77">
        <f>IF(VLOOKUP(A311,Database!$A:$AS,MATCH($G$1,Database!$A$1:$AS$1,0),FALSE)=0,#N/A,VLOOKUP(A311,Database!$A:$AS,MATCH($G$1,Database!$A$1:$AS$1,0),FALSE))</f>
        <v/>
      </c>
      <c r="H311" s="77">
        <f>(((Table134567891011121314151617343[[#This Row],[ITA]]-VLOOKUP($U$1,A:B,2,))/VLOOKUP($U$1,A:B,2,))*100)+100</f>
        <v/>
      </c>
      <c r="I311" s="77">
        <f>(((Table134567891011121314151617343[[#This Row],[FRA]]-VLOOKUP($U$1,A:C,3,))/VLOOKUP($U$1,A:C,3,))*100)+100</f>
        <v/>
      </c>
      <c r="J311" s="77">
        <f>(((Table134567891011121314151617343[[#This Row],[DEU]]-VLOOKUP($U$1,A:D,4,))/VLOOKUP($U$1,A:D,4,))*100)+100</f>
        <v/>
      </c>
      <c r="K311" s="77">
        <f>(((Table134567891011121314151617343[[#This Row],[ESP]]-VLOOKUP($U$1,A:E,5,))/VLOOKUP($U$1,A:E,5,))*100)+100</f>
        <v/>
      </c>
      <c r="L311" s="77">
        <f>(((Table134567891011121314151617343[[#This Row],[EA19]]-VLOOKUP($U$1,A:F,6,))/VLOOKUP($U$1,A:F,6,))*100)+100</f>
        <v/>
      </c>
      <c r="M311" s="77">
        <f>(((Table134567891011121314151617343[[#This Row],[GBR]]-VLOOKUP($U$1,A:G,7,))/VLOOKUP($U$1,A:G,7,))*100)+100</f>
        <v/>
      </c>
      <c r="N311" s="77">
        <f>IF(VLOOKUP(A311,Database!$A:$AU,MATCH($N$1,Database!$A$1:$AU$1,0),FALSE)=0,#N/A,VLOOKUP(A311,Database!$A:$AU,MATCH($N$1,Database!$A$1:$AU$1,0),FALSE))</f>
        <v/>
      </c>
      <c r="O311" s="77">
        <f>(((Table134567891011121314151617343[[#This Row],[USA]]-VLOOKUP($U$1,A:N,14,))/VLOOKUP($U$1,A:N,14,))*100)+100</f>
        <v/>
      </c>
      <c r="P311" s="77">
        <f>IF(VLOOKUP(A311,Database!$A:$AS,MATCH($P$1,Database!$A$1:$AS$1,0),FALSE)=0,#N/A,VLOOKUP(A311,Database!$A:$AS,MATCH($P$1,Database!$A$1:$AS$1,0),FALSE))</f>
        <v/>
      </c>
      <c r="Q311" s="77">
        <f>(((Table134567891011121314151617343[[#This Row],[JPN]]-VLOOKUP($U$1,A:Q,16,))/VLOOKUP($U$1,A:Q,16,))*100)+100</f>
        <v/>
      </c>
    </row>
    <row r="312" customFormat="1" s="87">
      <c r="A312" s="21" t="n">
        <v>42309</v>
      </c>
      <c r="B312" s="77">
        <f>IF(VLOOKUP(A312,Database!$A:$AS,MATCH($B$1,Database!$A$1:$AS$1,0),FALSE)=0,#N/A,VLOOKUP(A312,Database!$A:$AS,MATCH($B$1,Database!$A$1:$AS$1,0),FALSE))</f>
        <v/>
      </c>
      <c r="C312" s="77">
        <f>IF(VLOOKUP(A312,Database!$A:$AS,MATCH($C$1,Database!$A$1:$AS$1,0),FALSE)=0,#N/A,VLOOKUP(A312,Database!$A:$AS,MATCH($C$1,Database!$A$1:$AS$1,0),FALSE))</f>
        <v/>
      </c>
      <c r="D312" s="77">
        <f>IF(VLOOKUP(A312,Database!$A:$AS,MATCH($D$1,Database!$A$1:$AS$1,0),FALSE)=0,#N/A,VLOOKUP(A312,Database!$A:$AS,MATCH($D$1,Database!$A$1:$AS$1,0),FALSE))</f>
        <v/>
      </c>
      <c r="E312" s="77">
        <f>IF(VLOOKUP(A312,Database!$A:$AS,MATCH($E$1,Database!$A$1:$AS$1,0),FALSE)=0,#N/A,VLOOKUP(A312,Database!$A:$AS,MATCH($E$1,Database!$A$1:$AS$1,0),FALSE))</f>
        <v/>
      </c>
      <c r="F312" s="77">
        <f>IF(VLOOKUP(A312,Database!$A:$AS,MATCH($F$1,Database!$A$1:$AS$1,0),FALSE)=0,#N/A,VLOOKUP(A312,Database!$A:$AS,MATCH($F$1,Database!$A$1:$AS$1,0),FALSE))</f>
        <v/>
      </c>
      <c r="G312" s="77">
        <f>IF(VLOOKUP(A312,Database!$A:$AS,MATCH($G$1,Database!$A$1:$AS$1,0),FALSE)=0,#N/A,VLOOKUP(A312,Database!$A:$AS,MATCH($G$1,Database!$A$1:$AS$1,0),FALSE))</f>
        <v/>
      </c>
      <c r="H312" s="77">
        <f>(((Table134567891011121314151617343[[#This Row],[ITA]]-VLOOKUP($U$1,A:B,2,))/VLOOKUP($U$1,A:B,2,))*100)+100</f>
        <v/>
      </c>
      <c r="I312" s="77">
        <f>(((Table134567891011121314151617343[[#This Row],[FRA]]-VLOOKUP($U$1,A:C,3,))/VLOOKUP($U$1,A:C,3,))*100)+100</f>
        <v/>
      </c>
      <c r="J312" s="77">
        <f>(((Table134567891011121314151617343[[#This Row],[DEU]]-VLOOKUP($U$1,A:D,4,))/VLOOKUP($U$1,A:D,4,))*100)+100</f>
        <v/>
      </c>
      <c r="K312" s="77">
        <f>(((Table134567891011121314151617343[[#This Row],[ESP]]-VLOOKUP($U$1,A:E,5,))/VLOOKUP($U$1,A:E,5,))*100)+100</f>
        <v/>
      </c>
      <c r="L312" s="77">
        <f>(((Table134567891011121314151617343[[#This Row],[EA19]]-VLOOKUP($U$1,A:F,6,))/VLOOKUP($U$1,A:F,6,))*100)+100</f>
        <v/>
      </c>
      <c r="M312" s="77">
        <f>(((Table134567891011121314151617343[[#This Row],[GBR]]-VLOOKUP($U$1,A:G,7,))/VLOOKUP($U$1,A:G,7,))*100)+100</f>
        <v/>
      </c>
      <c r="N312" s="77">
        <f>IF(VLOOKUP(A312,Database!$A:$AU,MATCH($N$1,Database!$A$1:$AU$1,0),FALSE)=0,#N/A,VLOOKUP(A312,Database!$A:$AU,MATCH($N$1,Database!$A$1:$AU$1,0),FALSE))</f>
        <v/>
      </c>
      <c r="O312" s="77">
        <f>(((Table134567891011121314151617343[[#This Row],[USA]]-VLOOKUP($U$1,A:N,14,))/VLOOKUP($U$1,A:N,14,))*100)+100</f>
        <v/>
      </c>
      <c r="P312" s="77">
        <f>IF(VLOOKUP(A312,Database!$A:$AS,MATCH($P$1,Database!$A$1:$AS$1,0),FALSE)=0,#N/A,VLOOKUP(A312,Database!$A:$AS,MATCH($P$1,Database!$A$1:$AS$1,0),FALSE))</f>
        <v/>
      </c>
      <c r="Q312" s="77">
        <f>(((Table134567891011121314151617343[[#This Row],[JPN]]-VLOOKUP($U$1,A:Q,16,))/VLOOKUP($U$1,A:Q,16,))*100)+100</f>
        <v/>
      </c>
    </row>
    <row r="313" customFormat="1" s="87">
      <c r="A313" s="21" t="n">
        <v>42339</v>
      </c>
      <c r="B313" s="77">
        <f>IF(VLOOKUP(A313,Database!$A:$AS,MATCH($B$1,Database!$A$1:$AS$1,0),FALSE)=0,#N/A,VLOOKUP(A313,Database!$A:$AS,MATCH($B$1,Database!$A$1:$AS$1,0),FALSE))</f>
        <v/>
      </c>
      <c r="C313" s="77">
        <f>IF(VLOOKUP(A313,Database!$A:$AS,MATCH($C$1,Database!$A$1:$AS$1,0),FALSE)=0,#N/A,VLOOKUP(A313,Database!$A:$AS,MATCH($C$1,Database!$A$1:$AS$1,0),FALSE))</f>
        <v/>
      </c>
      <c r="D313" s="77">
        <f>IF(VLOOKUP(A313,Database!$A:$AS,MATCH($D$1,Database!$A$1:$AS$1,0),FALSE)=0,#N/A,VLOOKUP(A313,Database!$A:$AS,MATCH($D$1,Database!$A$1:$AS$1,0),FALSE))</f>
        <v/>
      </c>
      <c r="E313" s="77">
        <f>IF(VLOOKUP(A313,Database!$A:$AS,MATCH($E$1,Database!$A$1:$AS$1,0),FALSE)=0,#N/A,VLOOKUP(A313,Database!$A:$AS,MATCH($E$1,Database!$A$1:$AS$1,0),FALSE))</f>
        <v/>
      </c>
      <c r="F313" s="77">
        <f>IF(VLOOKUP(A313,Database!$A:$AS,MATCH($F$1,Database!$A$1:$AS$1,0),FALSE)=0,#N/A,VLOOKUP(A313,Database!$A:$AS,MATCH($F$1,Database!$A$1:$AS$1,0),FALSE))</f>
        <v/>
      </c>
      <c r="G313" s="77">
        <f>IF(VLOOKUP(A313,Database!$A:$AS,MATCH($G$1,Database!$A$1:$AS$1,0),FALSE)=0,#N/A,VLOOKUP(A313,Database!$A:$AS,MATCH($G$1,Database!$A$1:$AS$1,0),FALSE))</f>
        <v/>
      </c>
      <c r="H313" s="77">
        <f>(((Table134567891011121314151617343[[#This Row],[ITA]]-VLOOKUP($U$1,A:B,2,))/VLOOKUP($U$1,A:B,2,))*100)+100</f>
        <v/>
      </c>
      <c r="I313" s="77">
        <f>(((Table134567891011121314151617343[[#This Row],[FRA]]-VLOOKUP($U$1,A:C,3,))/VLOOKUP($U$1,A:C,3,))*100)+100</f>
        <v/>
      </c>
      <c r="J313" s="77">
        <f>(((Table134567891011121314151617343[[#This Row],[DEU]]-VLOOKUP($U$1,A:D,4,))/VLOOKUP($U$1,A:D,4,))*100)+100</f>
        <v/>
      </c>
      <c r="K313" s="77">
        <f>(((Table134567891011121314151617343[[#This Row],[ESP]]-VLOOKUP($U$1,A:E,5,))/VLOOKUP($U$1,A:E,5,))*100)+100</f>
        <v/>
      </c>
      <c r="L313" s="77">
        <f>(((Table134567891011121314151617343[[#This Row],[EA19]]-VLOOKUP($U$1,A:F,6,))/VLOOKUP($U$1,A:F,6,))*100)+100</f>
        <v/>
      </c>
      <c r="M313" s="77">
        <f>(((Table134567891011121314151617343[[#This Row],[GBR]]-VLOOKUP($U$1,A:G,7,))/VLOOKUP($U$1,A:G,7,))*100)+100</f>
        <v/>
      </c>
      <c r="N313" s="77">
        <f>IF(VLOOKUP(A313,Database!$A:$AU,MATCH($N$1,Database!$A$1:$AU$1,0),FALSE)=0,#N/A,VLOOKUP(A313,Database!$A:$AU,MATCH($N$1,Database!$A$1:$AU$1,0),FALSE))</f>
        <v/>
      </c>
      <c r="O313" s="77">
        <f>(((Table134567891011121314151617343[[#This Row],[USA]]-VLOOKUP($U$1,A:N,14,))/VLOOKUP($U$1,A:N,14,))*100)+100</f>
        <v/>
      </c>
      <c r="P313" s="77">
        <f>IF(VLOOKUP(A313,Database!$A:$AS,MATCH($P$1,Database!$A$1:$AS$1,0),FALSE)=0,#N/A,VLOOKUP(A313,Database!$A:$AS,MATCH($P$1,Database!$A$1:$AS$1,0),FALSE))</f>
        <v/>
      </c>
      <c r="Q313" s="77">
        <f>(((Table134567891011121314151617343[[#This Row],[JPN]]-VLOOKUP($U$1,A:Q,16,))/VLOOKUP($U$1,A:Q,16,))*100)+100</f>
        <v/>
      </c>
    </row>
    <row r="314" customFormat="1" s="87">
      <c r="A314" s="21" t="n">
        <v>42370</v>
      </c>
      <c r="B314" s="77">
        <f>IF(VLOOKUP(A314,Database!$A:$AS,MATCH($B$1,Database!$A$1:$AS$1,0),FALSE)=0,#N/A,VLOOKUP(A314,Database!$A:$AS,MATCH($B$1,Database!$A$1:$AS$1,0),FALSE))</f>
        <v/>
      </c>
      <c r="C314" s="77">
        <f>IF(VLOOKUP(A314,Database!$A:$AS,MATCH($C$1,Database!$A$1:$AS$1,0),FALSE)=0,#N/A,VLOOKUP(A314,Database!$A:$AS,MATCH($C$1,Database!$A$1:$AS$1,0),FALSE))</f>
        <v/>
      </c>
      <c r="D314" s="77">
        <f>IF(VLOOKUP(A314,Database!$A:$AS,MATCH($D$1,Database!$A$1:$AS$1,0),FALSE)=0,#N/A,VLOOKUP(A314,Database!$A:$AS,MATCH($D$1,Database!$A$1:$AS$1,0),FALSE))</f>
        <v/>
      </c>
      <c r="E314" s="77">
        <f>IF(VLOOKUP(A314,Database!$A:$AS,MATCH($E$1,Database!$A$1:$AS$1,0),FALSE)=0,#N/A,VLOOKUP(A314,Database!$A:$AS,MATCH($E$1,Database!$A$1:$AS$1,0),FALSE))</f>
        <v/>
      </c>
      <c r="F314" s="77">
        <f>IF(VLOOKUP(A314,Database!$A:$AS,MATCH($F$1,Database!$A$1:$AS$1,0),FALSE)=0,#N/A,VLOOKUP(A314,Database!$A:$AS,MATCH($F$1,Database!$A$1:$AS$1,0),FALSE))</f>
        <v/>
      </c>
      <c r="G314" s="77">
        <f>IF(VLOOKUP(A314,Database!$A:$AS,MATCH($G$1,Database!$A$1:$AS$1,0),FALSE)=0,#N/A,VLOOKUP(A314,Database!$A:$AS,MATCH($G$1,Database!$A$1:$AS$1,0),FALSE))</f>
        <v/>
      </c>
      <c r="H314" s="77">
        <f>(((Table134567891011121314151617343[[#This Row],[ITA]]-VLOOKUP($U$1,A:B,2,))/VLOOKUP($U$1,A:B,2,))*100)+100</f>
        <v/>
      </c>
      <c r="I314" s="77">
        <f>(((Table134567891011121314151617343[[#This Row],[FRA]]-VLOOKUP($U$1,A:C,3,))/VLOOKUP($U$1,A:C,3,))*100)+100</f>
        <v/>
      </c>
      <c r="J314" s="77">
        <f>(((Table134567891011121314151617343[[#This Row],[DEU]]-VLOOKUP($U$1,A:D,4,))/VLOOKUP($U$1,A:D,4,))*100)+100</f>
        <v/>
      </c>
      <c r="K314" s="77">
        <f>(((Table134567891011121314151617343[[#This Row],[ESP]]-VLOOKUP($U$1,A:E,5,))/VLOOKUP($U$1,A:E,5,))*100)+100</f>
        <v/>
      </c>
      <c r="L314" s="77">
        <f>(((Table134567891011121314151617343[[#This Row],[EA19]]-VLOOKUP($U$1,A:F,6,))/VLOOKUP($U$1,A:F,6,))*100)+100</f>
        <v/>
      </c>
      <c r="M314" s="77">
        <f>(((Table134567891011121314151617343[[#This Row],[GBR]]-VLOOKUP($U$1,A:G,7,))/VLOOKUP($U$1,A:G,7,))*100)+100</f>
        <v/>
      </c>
      <c r="N314" s="77">
        <f>IF(VLOOKUP(A314,Database!$A:$AU,MATCH($N$1,Database!$A$1:$AU$1,0),FALSE)=0,#N/A,VLOOKUP(A314,Database!$A:$AU,MATCH($N$1,Database!$A$1:$AU$1,0),FALSE))</f>
        <v/>
      </c>
      <c r="O314" s="77">
        <f>(((Table134567891011121314151617343[[#This Row],[USA]]-VLOOKUP($U$1,A:N,14,))/VLOOKUP($U$1,A:N,14,))*100)+100</f>
        <v/>
      </c>
      <c r="P314" s="77">
        <f>IF(VLOOKUP(A314,Database!$A:$AS,MATCH($P$1,Database!$A$1:$AS$1,0),FALSE)=0,#N/A,VLOOKUP(A314,Database!$A:$AS,MATCH($P$1,Database!$A$1:$AS$1,0),FALSE))</f>
        <v/>
      </c>
      <c r="Q314" s="77">
        <f>(((Table134567891011121314151617343[[#This Row],[JPN]]-VLOOKUP($U$1,A:Q,16,))/VLOOKUP($U$1,A:Q,16,))*100)+100</f>
        <v/>
      </c>
    </row>
    <row r="315" customFormat="1" s="87">
      <c r="A315" s="21" t="n">
        <v>42401</v>
      </c>
      <c r="B315" s="77">
        <f>IF(VLOOKUP(A315,Database!$A:$AS,MATCH($B$1,Database!$A$1:$AS$1,0),FALSE)=0,#N/A,VLOOKUP(A315,Database!$A:$AS,MATCH($B$1,Database!$A$1:$AS$1,0),FALSE))</f>
        <v/>
      </c>
      <c r="C315" s="77">
        <f>IF(VLOOKUP(A315,Database!$A:$AS,MATCH($C$1,Database!$A$1:$AS$1,0),FALSE)=0,#N/A,VLOOKUP(A315,Database!$A:$AS,MATCH($C$1,Database!$A$1:$AS$1,0),FALSE))</f>
        <v/>
      </c>
      <c r="D315" s="77">
        <f>IF(VLOOKUP(A315,Database!$A:$AS,MATCH($D$1,Database!$A$1:$AS$1,0),FALSE)=0,#N/A,VLOOKUP(A315,Database!$A:$AS,MATCH($D$1,Database!$A$1:$AS$1,0),FALSE))</f>
        <v/>
      </c>
      <c r="E315" s="77">
        <f>IF(VLOOKUP(A315,Database!$A:$AS,MATCH($E$1,Database!$A$1:$AS$1,0),FALSE)=0,#N/A,VLOOKUP(A315,Database!$A:$AS,MATCH($E$1,Database!$A$1:$AS$1,0),FALSE))</f>
        <v/>
      </c>
      <c r="F315" s="77">
        <f>IF(VLOOKUP(A315,Database!$A:$AS,MATCH($F$1,Database!$A$1:$AS$1,0),FALSE)=0,#N/A,VLOOKUP(A315,Database!$A:$AS,MATCH($F$1,Database!$A$1:$AS$1,0),FALSE))</f>
        <v/>
      </c>
      <c r="G315" s="77">
        <f>IF(VLOOKUP(A315,Database!$A:$AS,MATCH($G$1,Database!$A$1:$AS$1,0),FALSE)=0,#N/A,VLOOKUP(A315,Database!$A:$AS,MATCH($G$1,Database!$A$1:$AS$1,0),FALSE))</f>
        <v/>
      </c>
      <c r="H315" s="77">
        <f>(((Table134567891011121314151617343[[#This Row],[ITA]]-VLOOKUP($U$1,A:B,2,))/VLOOKUP($U$1,A:B,2,))*100)+100</f>
        <v/>
      </c>
      <c r="I315" s="77">
        <f>(((Table134567891011121314151617343[[#This Row],[FRA]]-VLOOKUP($U$1,A:C,3,))/VLOOKUP($U$1,A:C,3,))*100)+100</f>
        <v/>
      </c>
      <c r="J315" s="77">
        <f>(((Table134567891011121314151617343[[#This Row],[DEU]]-VLOOKUP($U$1,A:D,4,))/VLOOKUP($U$1,A:D,4,))*100)+100</f>
        <v/>
      </c>
      <c r="K315" s="77">
        <f>(((Table134567891011121314151617343[[#This Row],[ESP]]-VLOOKUP($U$1,A:E,5,))/VLOOKUP($U$1,A:E,5,))*100)+100</f>
        <v/>
      </c>
      <c r="L315" s="77">
        <f>(((Table134567891011121314151617343[[#This Row],[EA19]]-VLOOKUP($U$1,A:F,6,))/VLOOKUP($U$1,A:F,6,))*100)+100</f>
        <v/>
      </c>
      <c r="M315" s="77">
        <f>(((Table134567891011121314151617343[[#This Row],[GBR]]-VLOOKUP($U$1,A:G,7,))/VLOOKUP($U$1,A:G,7,))*100)+100</f>
        <v/>
      </c>
      <c r="N315" s="77">
        <f>IF(VLOOKUP(A315,Database!$A:$AU,MATCH($N$1,Database!$A$1:$AU$1,0),FALSE)=0,#N/A,VLOOKUP(A315,Database!$A:$AU,MATCH($N$1,Database!$A$1:$AU$1,0),FALSE))</f>
        <v/>
      </c>
      <c r="O315" s="77">
        <f>(((Table134567891011121314151617343[[#This Row],[USA]]-VLOOKUP($U$1,A:N,14,))/VLOOKUP($U$1,A:N,14,))*100)+100</f>
        <v/>
      </c>
      <c r="P315" s="77">
        <f>IF(VLOOKUP(A315,Database!$A:$AS,MATCH($P$1,Database!$A$1:$AS$1,0),FALSE)=0,#N/A,VLOOKUP(A315,Database!$A:$AS,MATCH($P$1,Database!$A$1:$AS$1,0),FALSE))</f>
        <v/>
      </c>
      <c r="Q315" s="77">
        <f>(((Table134567891011121314151617343[[#This Row],[JPN]]-VLOOKUP($U$1,A:Q,16,))/VLOOKUP($U$1,A:Q,16,))*100)+100</f>
        <v/>
      </c>
    </row>
    <row r="316" customFormat="1" s="87">
      <c r="A316" s="21" t="n">
        <v>42430</v>
      </c>
      <c r="B316" s="77">
        <f>IF(VLOOKUP(A316,Database!$A:$AS,MATCH($B$1,Database!$A$1:$AS$1,0),FALSE)=0,#N/A,VLOOKUP(A316,Database!$A:$AS,MATCH($B$1,Database!$A$1:$AS$1,0),FALSE))</f>
        <v/>
      </c>
      <c r="C316" s="77">
        <f>IF(VLOOKUP(A316,Database!$A:$AS,MATCH($C$1,Database!$A$1:$AS$1,0),FALSE)=0,#N/A,VLOOKUP(A316,Database!$A:$AS,MATCH($C$1,Database!$A$1:$AS$1,0),FALSE))</f>
        <v/>
      </c>
      <c r="D316" s="77">
        <f>IF(VLOOKUP(A316,Database!$A:$AS,MATCH($D$1,Database!$A$1:$AS$1,0),FALSE)=0,#N/A,VLOOKUP(A316,Database!$A:$AS,MATCH($D$1,Database!$A$1:$AS$1,0),FALSE))</f>
        <v/>
      </c>
      <c r="E316" s="77">
        <f>IF(VLOOKUP(A316,Database!$A:$AS,MATCH($E$1,Database!$A$1:$AS$1,0),FALSE)=0,#N/A,VLOOKUP(A316,Database!$A:$AS,MATCH($E$1,Database!$A$1:$AS$1,0),FALSE))</f>
        <v/>
      </c>
      <c r="F316" s="77">
        <f>IF(VLOOKUP(A316,Database!$A:$AS,MATCH($F$1,Database!$A$1:$AS$1,0),FALSE)=0,#N/A,VLOOKUP(A316,Database!$A:$AS,MATCH($F$1,Database!$A$1:$AS$1,0),FALSE))</f>
        <v/>
      </c>
      <c r="G316" s="77">
        <f>IF(VLOOKUP(A316,Database!$A:$AS,MATCH($G$1,Database!$A$1:$AS$1,0),FALSE)=0,#N/A,VLOOKUP(A316,Database!$A:$AS,MATCH($G$1,Database!$A$1:$AS$1,0),FALSE))</f>
        <v/>
      </c>
      <c r="H316" s="77">
        <f>(((Table134567891011121314151617343[[#This Row],[ITA]]-VLOOKUP($U$1,A:B,2,))/VLOOKUP($U$1,A:B,2,))*100)+100</f>
        <v/>
      </c>
      <c r="I316" s="77">
        <f>(((Table134567891011121314151617343[[#This Row],[FRA]]-VLOOKUP($U$1,A:C,3,))/VLOOKUP($U$1,A:C,3,))*100)+100</f>
        <v/>
      </c>
      <c r="J316" s="77">
        <f>(((Table134567891011121314151617343[[#This Row],[DEU]]-VLOOKUP($U$1,A:D,4,))/VLOOKUP($U$1,A:D,4,))*100)+100</f>
        <v/>
      </c>
      <c r="K316" s="77">
        <f>(((Table134567891011121314151617343[[#This Row],[ESP]]-VLOOKUP($U$1,A:E,5,))/VLOOKUP($U$1,A:E,5,))*100)+100</f>
        <v/>
      </c>
      <c r="L316" s="77">
        <f>(((Table134567891011121314151617343[[#This Row],[EA19]]-VLOOKUP($U$1,A:F,6,))/VLOOKUP($U$1,A:F,6,))*100)+100</f>
        <v/>
      </c>
      <c r="M316" s="77">
        <f>(((Table134567891011121314151617343[[#This Row],[GBR]]-VLOOKUP($U$1,A:G,7,))/VLOOKUP($U$1,A:G,7,))*100)+100</f>
        <v/>
      </c>
      <c r="N316" s="77">
        <f>IF(VLOOKUP(A316,Database!$A:$AU,MATCH($N$1,Database!$A$1:$AU$1,0),FALSE)=0,#N/A,VLOOKUP(A316,Database!$A:$AU,MATCH($N$1,Database!$A$1:$AU$1,0),FALSE))</f>
        <v/>
      </c>
      <c r="O316" s="77">
        <f>(((Table134567891011121314151617343[[#This Row],[USA]]-VLOOKUP($U$1,A:N,14,))/VLOOKUP($U$1,A:N,14,))*100)+100</f>
        <v/>
      </c>
      <c r="P316" s="77">
        <f>IF(VLOOKUP(A316,Database!$A:$AS,MATCH($P$1,Database!$A$1:$AS$1,0),FALSE)=0,#N/A,VLOOKUP(A316,Database!$A:$AS,MATCH($P$1,Database!$A$1:$AS$1,0),FALSE))</f>
        <v/>
      </c>
      <c r="Q316" s="77">
        <f>(((Table134567891011121314151617343[[#This Row],[JPN]]-VLOOKUP($U$1,A:Q,16,))/VLOOKUP($U$1,A:Q,16,))*100)+100</f>
        <v/>
      </c>
    </row>
    <row r="317" customFormat="1" s="87">
      <c r="A317" s="21" t="n">
        <v>42461</v>
      </c>
      <c r="B317" s="77">
        <f>IF(VLOOKUP(A317,Database!$A:$AS,MATCH($B$1,Database!$A$1:$AS$1,0),FALSE)=0,#N/A,VLOOKUP(A317,Database!$A:$AS,MATCH($B$1,Database!$A$1:$AS$1,0),FALSE))</f>
        <v/>
      </c>
      <c r="C317" s="77">
        <f>IF(VLOOKUP(A317,Database!$A:$AS,MATCH($C$1,Database!$A$1:$AS$1,0),FALSE)=0,#N/A,VLOOKUP(A317,Database!$A:$AS,MATCH($C$1,Database!$A$1:$AS$1,0),FALSE))</f>
        <v/>
      </c>
      <c r="D317" s="77">
        <f>IF(VLOOKUP(A317,Database!$A:$AS,MATCH($D$1,Database!$A$1:$AS$1,0),FALSE)=0,#N/A,VLOOKUP(A317,Database!$A:$AS,MATCH($D$1,Database!$A$1:$AS$1,0),FALSE))</f>
        <v/>
      </c>
      <c r="E317" s="77">
        <f>IF(VLOOKUP(A317,Database!$A:$AS,MATCH($E$1,Database!$A$1:$AS$1,0),FALSE)=0,#N/A,VLOOKUP(A317,Database!$A:$AS,MATCH($E$1,Database!$A$1:$AS$1,0),FALSE))</f>
        <v/>
      </c>
      <c r="F317" s="77">
        <f>IF(VLOOKUP(A317,Database!$A:$AS,MATCH($F$1,Database!$A$1:$AS$1,0),FALSE)=0,#N/A,VLOOKUP(A317,Database!$A:$AS,MATCH($F$1,Database!$A$1:$AS$1,0),FALSE))</f>
        <v/>
      </c>
      <c r="G317" s="77">
        <f>IF(VLOOKUP(A317,Database!$A:$AS,MATCH($G$1,Database!$A$1:$AS$1,0),FALSE)=0,#N/A,VLOOKUP(A317,Database!$A:$AS,MATCH($G$1,Database!$A$1:$AS$1,0),FALSE))</f>
        <v/>
      </c>
      <c r="H317" s="77">
        <f>(((Table134567891011121314151617343[[#This Row],[ITA]]-VLOOKUP($U$1,A:B,2,))/VLOOKUP($U$1,A:B,2,))*100)+100</f>
        <v/>
      </c>
      <c r="I317" s="77">
        <f>(((Table134567891011121314151617343[[#This Row],[FRA]]-VLOOKUP($U$1,A:C,3,))/VLOOKUP($U$1,A:C,3,))*100)+100</f>
        <v/>
      </c>
      <c r="J317" s="77">
        <f>(((Table134567891011121314151617343[[#This Row],[DEU]]-VLOOKUP($U$1,A:D,4,))/VLOOKUP($U$1,A:D,4,))*100)+100</f>
        <v/>
      </c>
      <c r="K317" s="77">
        <f>(((Table134567891011121314151617343[[#This Row],[ESP]]-VLOOKUP($U$1,A:E,5,))/VLOOKUP($U$1,A:E,5,))*100)+100</f>
        <v/>
      </c>
      <c r="L317" s="77">
        <f>(((Table134567891011121314151617343[[#This Row],[EA19]]-VLOOKUP($U$1,A:F,6,))/VLOOKUP($U$1,A:F,6,))*100)+100</f>
        <v/>
      </c>
      <c r="M317" s="77">
        <f>(((Table134567891011121314151617343[[#This Row],[GBR]]-VLOOKUP($U$1,A:G,7,))/VLOOKUP($U$1,A:G,7,))*100)+100</f>
        <v/>
      </c>
      <c r="N317" s="77">
        <f>IF(VLOOKUP(A317,Database!$A:$AU,MATCH($N$1,Database!$A$1:$AU$1,0),FALSE)=0,#N/A,VLOOKUP(A317,Database!$A:$AU,MATCH($N$1,Database!$A$1:$AU$1,0),FALSE))</f>
        <v/>
      </c>
      <c r="O317" s="77">
        <f>(((Table134567891011121314151617343[[#This Row],[USA]]-VLOOKUP($U$1,A:N,14,))/VLOOKUP($U$1,A:N,14,))*100)+100</f>
        <v/>
      </c>
      <c r="P317" s="77">
        <f>IF(VLOOKUP(A317,Database!$A:$AS,MATCH($P$1,Database!$A$1:$AS$1,0),FALSE)=0,#N/A,VLOOKUP(A317,Database!$A:$AS,MATCH($P$1,Database!$A$1:$AS$1,0),FALSE))</f>
        <v/>
      </c>
      <c r="Q317" s="77">
        <f>(((Table134567891011121314151617343[[#This Row],[JPN]]-VLOOKUP($U$1,A:Q,16,))/VLOOKUP($U$1,A:Q,16,))*100)+100</f>
        <v/>
      </c>
    </row>
    <row r="318" customFormat="1" s="87">
      <c r="A318" s="21" t="n">
        <v>42491</v>
      </c>
      <c r="B318" s="77">
        <f>IF(VLOOKUP(A318,Database!$A:$AS,MATCH($B$1,Database!$A$1:$AS$1,0),FALSE)=0,#N/A,VLOOKUP(A318,Database!$A:$AS,MATCH($B$1,Database!$A$1:$AS$1,0),FALSE))</f>
        <v/>
      </c>
      <c r="C318" s="77">
        <f>IF(VLOOKUP(A318,Database!$A:$AS,MATCH($C$1,Database!$A$1:$AS$1,0),FALSE)=0,#N/A,VLOOKUP(A318,Database!$A:$AS,MATCH($C$1,Database!$A$1:$AS$1,0),FALSE))</f>
        <v/>
      </c>
      <c r="D318" s="77">
        <f>IF(VLOOKUP(A318,Database!$A:$AS,MATCH($D$1,Database!$A$1:$AS$1,0),FALSE)=0,#N/A,VLOOKUP(A318,Database!$A:$AS,MATCH($D$1,Database!$A$1:$AS$1,0),FALSE))</f>
        <v/>
      </c>
      <c r="E318" s="77">
        <f>IF(VLOOKUP(A318,Database!$A:$AS,MATCH($E$1,Database!$A$1:$AS$1,0),FALSE)=0,#N/A,VLOOKUP(A318,Database!$A:$AS,MATCH($E$1,Database!$A$1:$AS$1,0),FALSE))</f>
        <v/>
      </c>
      <c r="F318" s="77">
        <f>IF(VLOOKUP(A318,Database!$A:$AS,MATCH($F$1,Database!$A$1:$AS$1,0),FALSE)=0,#N/A,VLOOKUP(A318,Database!$A:$AS,MATCH($F$1,Database!$A$1:$AS$1,0),FALSE))</f>
        <v/>
      </c>
      <c r="G318" s="77">
        <f>IF(VLOOKUP(A318,Database!$A:$AS,MATCH($G$1,Database!$A$1:$AS$1,0),FALSE)=0,#N/A,VLOOKUP(A318,Database!$A:$AS,MATCH($G$1,Database!$A$1:$AS$1,0),FALSE))</f>
        <v/>
      </c>
      <c r="H318" s="77">
        <f>(((Table134567891011121314151617343[[#This Row],[ITA]]-VLOOKUP($U$1,A:B,2,))/VLOOKUP($U$1,A:B,2,))*100)+100</f>
        <v/>
      </c>
      <c r="I318" s="77">
        <f>(((Table134567891011121314151617343[[#This Row],[FRA]]-VLOOKUP($U$1,A:C,3,))/VLOOKUP($U$1,A:C,3,))*100)+100</f>
        <v/>
      </c>
      <c r="J318" s="77">
        <f>(((Table134567891011121314151617343[[#This Row],[DEU]]-VLOOKUP($U$1,A:D,4,))/VLOOKUP($U$1,A:D,4,))*100)+100</f>
        <v/>
      </c>
      <c r="K318" s="77">
        <f>(((Table134567891011121314151617343[[#This Row],[ESP]]-VLOOKUP($U$1,A:E,5,))/VLOOKUP($U$1,A:E,5,))*100)+100</f>
        <v/>
      </c>
      <c r="L318" s="77">
        <f>(((Table134567891011121314151617343[[#This Row],[EA19]]-VLOOKUP($U$1,A:F,6,))/VLOOKUP($U$1,A:F,6,))*100)+100</f>
        <v/>
      </c>
      <c r="M318" s="77">
        <f>(((Table134567891011121314151617343[[#This Row],[GBR]]-VLOOKUP($U$1,A:G,7,))/VLOOKUP($U$1,A:G,7,))*100)+100</f>
        <v/>
      </c>
      <c r="N318" s="77">
        <f>IF(VLOOKUP(A318,Database!$A:$AU,MATCH($N$1,Database!$A$1:$AU$1,0),FALSE)=0,#N/A,VLOOKUP(A318,Database!$A:$AU,MATCH($N$1,Database!$A$1:$AU$1,0),FALSE))</f>
        <v/>
      </c>
      <c r="O318" s="77">
        <f>(((Table134567891011121314151617343[[#This Row],[USA]]-VLOOKUP($U$1,A:N,14,))/VLOOKUP($U$1,A:N,14,))*100)+100</f>
        <v/>
      </c>
      <c r="P318" s="77">
        <f>IF(VLOOKUP(A318,Database!$A:$AS,MATCH($P$1,Database!$A$1:$AS$1,0),FALSE)=0,#N/A,VLOOKUP(A318,Database!$A:$AS,MATCH($P$1,Database!$A$1:$AS$1,0),FALSE))</f>
        <v/>
      </c>
      <c r="Q318" s="77">
        <f>(((Table134567891011121314151617343[[#This Row],[JPN]]-VLOOKUP($U$1,A:Q,16,))/VLOOKUP($U$1,A:Q,16,))*100)+100</f>
        <v/>
      </c>
    </row>
    <row r="319" customFormat="1" s="87">
      <c r="A319" s="21" t="n">
        <v>42522</v>
      </c>
      <c r="B319" s="77">
        <f>IF(VLOOKUP(A319,Database!$A:$AS,MATCH($B$1,Database!$A$1:$AS$1,0),FALSE)=0,#N/A,VLOOKUP(A319,Database!$A:$AS,MATCH($B$1,Database!$A$1:$AS$1,0),FALSE))</f>
        <v/>
      </c>
      <c r="C319" s="77">
        <f>IF(VLOOKUP(A319,Database!$A:$AS,MATCH($C$1,Database!$A$1:$AS$1,0),FALSE)=0,#N/A,VLOOKUP(A319,Database!$A:$AS,MATCH($C$1,Database!$A$1:$AS$1,0),FALSE))</f>
        <v/>
      </c>
      <c r="D319" s="77">
        <f>IF(VLOOKUP(A319,Database!$A:$AS,MATCH($D$1,Database!$A$1:$AS$1,0),FALSE)=0,#N/A,VLOOKUP(A319,Database!$A:$AS,MATCH($D$1,Database!$A$1:$AS$1,0),FALSE))</f>
        <v/>
      </c>
      <c r="E319" s="77">
        <f>IF(VLOOKUP(A319,Database!$A:$AS,MATCH($E$1,Database!$A$1:$AS$1,0),FALSE)=0,#N/A,VLOOKUP(A319,Database!$A:$AS,MATCH($E$1,Database!$A$1:$AS$1,0),FALSE))</f>
        <v/>
      </c>
      <c r="F319" s="77">
        <f>IF(VLOOKUP(A319,Database!$A:$AS,MATCH($F$1,Database!$A$1:$AS$1,0),FALSE)=0,#N/A,VLOOKUP(A319,Database!$A:$AS,MATCH($F$1,Database!$A$1:$AS$1,0),FALSE))</f>
        <v/>
      </c>
      <c r="G319" s="77">
        <f>IF(VLOOKUP(A319,Database!$A:$AS,MATCH($G$1,Database!$A$1:$AS$1,0),FALSE)=0,#N/A,VLOOKUP(A319,Database!$A:$AS,MATCH($G$1,Database!$A$1:$AS$1,0),FALSE))</f>
        <v/>
      </c>
      <c r="H319" s="77">
        <f>(((Table134567891011121314151617343[[#This Row],[ITA]]-VLOOKUP($U$1,A:B,2,))/VLOOKUP($U$1,A:B,2,))*100)+100</f>
        <v/>
      </c>
      <c r="I319" s="77">
        <f>(((Table134567891011121314151617343[[#This Row],[FRA]]-VLOOKUP($U$1,A:C,3,))/VLOOKUP($U$1,A:C,3,))*100)+100</f>
        <v/>
      </c>
      <c r="J319" s="77">
        <f>(((Table134567891011121314151617343[[#This Row],[DEU]]-VLOOKUP($U$1,A:D,4,))/VLOOKUP($U$1,A:D,4,))*100)+100</f>
        <v/>
      </c>
      <c r="K319" s="77">
        <f>(((Table134567891011121314151617343[[#This Row],[ESP]]-VLOOKUP($U$1,A:E,5,))/VLOOKUP($U$1,A:E,5,))*100)+100</f>
        <v/>
      </c>
      <c r="L319" s="77">
        <f>(((Table134567891011121314151617343[[#This Row],[EA19]]-VLOOKUP($U$1,A:F,6,))/VLOOKUP($U$1,A:F,6,))*100)+100</f>
        <v/>
      </c>
      <c r="M319" s="77">
        <f>(((Table134567891011121314151617343[[#This Row],[GBR]]-VLOOKUP($U$1,A:G,7,))/VLOOKUP($U$1,A:G,7,))*100)+100</f>
        <v/>
      </c>
      <c r="N319" s="77">
        <f>IF(VLOOKUP(A319,Database!$A:$AU,MATCH($N$1,Database!$A$1:$AU$1,0),FALSE)=0,#N/A,VLOOKUP(A319,Database!$A:$AU,MATCH($N$1,Database!$A$1:$AU$1,0),FALSE))</f>
        <v/>
      </c>
      <c r="O319" s="77">
        <f>(((Table134567891011121314151617343[[#This Row],[USA]]-VLOOKUP($U$1,A:N,14,))/VLOOKUP($U$1,A:N,14,))*100)+100</f>
        <v/>
      </c>
      <c r="P319" s="77">
        <f>IF(VLOOKUP(A319,Database!$A:$AS,MATCH($P$1,Database!$A$1:$AS$1,0),FALSE)=0,#N/A,VLOOKUP(A319,Database!$A:$AS,MATCH($P$1,Database!$A$1:$AS$1,0),FALSE))</f>
        <v/>
      </c>
      <c r="Q319" s="77">
        <f>(((Table134567891011121314151617343[[#This Row],[JPN]]-VLOOKUP($U$1,A:Q,16,))/VLOOKUP($U$1,A:Q,16,))*100)+100</f>
        <v/>
      </c>
    </row>
    <row r="320" customFormat="1" s="87">
      <c r="A320" s="21" t="n">
        <v>42552</v>
      </c>
      <c r="B320" s="77">
        <f>IF(VLOOKUP(A320,Database!$A:$AS,MATCH($B$1,Database!$A$1:$AS$1,0),FALSE)=0,#N/A,VLOOKUP(A320,Database!$A:$AS,MATCH($B$1,Database!$A$1:$AS$1,0),FALSE))</f>
        <v/>
      </c>
      <c r="C320" s="77">
        <f>IF(VLOOKUP(A320,Database!$A:$AS,MATCH($C$1,Database!$A$1:$AS$1,0),FALSE)=0,#N/A,VLOOKUP(A320,Database!$A:$AS,MATCH($C$1,Database!$A$1:$AS$1,0),FALSE))</f>
        <v/>
      </c>
      <c r="D320" s="77">
        <f>IF(VLOOKUP(A320,Database!$A:$AS,MATCH($D$1,Database!$A$1:$AS$1,0),FALSE)=0,#N/A,VLOOKUP(A320,Database!$A:$AS,MATCH($D$1,Database!$A$1:$AS$1,0),FALSE))</f>
        <v/>
      </c>
      <c r="E320" s="77">
        <f>IF(VLOOKUP(A320,Database!$A:$AS,MATCH($E$1,Database!$A$1:$AS$1,0),FALSE)=0,#N/A,VLOOKUP(A320,Database!$A:$AS,MATCH($E$1,Database!$A$1:$AS$1,0),FALSE))</f>
        <v/>
      </c>
      <c r="F320" s="77">
        <f>IF(VLOOKUP(A320,Database!$A:$AS,MATCH($F$1,Database!$A$1:$AS$1,0),FALSE)=0,#N/A,VLOOKUP(A320,Database!$A:$AS,MATCH($F$1,Database!$A$1:$AS$1,0),FALSE))</f>
        <v/>
      </c>
      <c r="G320" s="77">
        <f>IF(VLOOKUP(A320,Database!$A:$AS,MATCH($G$1,Database!$A$1:$AS$1,0),FALSE)=0,#N/A,VLOOKUP(A320,Database!$A:$AS,MATCH($G$1,Database!$A$1:$AS$1,0),FALSE))</f>
        <v/>
      </c>
      <c r="H320" s="77">
        <f>(((Table134567891011121314151617343[[#This Row],[ITA]]-VLOOKUP($U$1,A:B,2,))/VLOOKUP($U$1,A:B,2,))*100)+100</f>
        <v/>
      </c>
      <c r="I320" s="77">
        <f>(((Table134567891011121314151617343[[#This Row],[FRA]]-VLOOKUP($U$1,A:C,3,))/VLOOKUP($U$1,A:C,3,))*100)+100</f>
        <v/>
      </c>
      <c r="J320" s="77">
        <f>(((Table134567891011121314151617343[[#This Row],[DEU]]-VLOOKUP($U$1,A:D,4,))/VLOOKUP($U$1,A:D,4,))*100)+100</f>
        <v/>
      </c>
      <c r="K320" s="77">
        <f>(((Table134567891011121314151617343[[#This Row],[ESP]]-VLOOKUP($U$1,A:E,5,))/VLOOKUP($U$1,A:E,5,))*100)+100</f>
        <v/>
      </c>
      <c r="L320" s="77">
        <f>(((Table134567891011121314151617343[[#This Row],[EA19]]-VLOOKUP($U$1,A:F,6,))/VLOOKUP($U$1,A:F,6,))*100)+100</f>
        <v/>
      </c>
      <c r="M320" s="77">
        <f>(((Table134567891011121314151617343[[#This Row],[GBR]]-VLOOKUP($U$1,A:G,7,))/VLOOKUP($U$1,A:G,7,))*100)+100</f>
        <v/>
      </c>
      <c r="N320" s="77">
        <f>IF(VLOOKUP(A320,Database!$A:$AU,MATCH($N$1,Database!$A$1:$AU$1,0),FALSE)=0,#N/A,VLOOKUP(A320,Database!$A:$AU,MATCH($N$1,Database!$A$1:$AU$1,0),FALSE))</f>
        <v/>
      </c>
      <c r="O320" s="77">
        <f>(((Table134567891011121314151617343[[#This Row],[USA]]-VLOOKUP($U$1,A:N,14,))/VLOOKUP($U$1,A:N,14,))*100)+100</f>
        <v/>
      </c>
      <c r="P320" s="77">
        <f>IF(VLOOKUP(A320,Database!$A:$AS,MATCH($P$1,Database!$A$1:$AS$1,0),FALSE)=0,#N/A,VLOOKUP(A320,Database!$A:$AS,MATCH($P$1,Database!$A$1:$AS$1,0),FALSE))</f>
        <v/>
      </c>
      <c r="Q320" s="77">
        <f>(((Table134567891011121314151617343[[#This Row],[JPN]]-VLOOKUP($U$1,A:Q,16,))/VLOOKUP($U$1,A:Q,16,))*100)+100</f>
        <v/>
      </c>
    </row>
    <row r="321" customFormat="1" s="87">
      <c r="A321" s="21" t="n">
        <v>42583</v>
      </c>
      <c r="B321" s="77">
        <f>IF(VLOOKUP(A321,Database!$A:$AS,MATCH($B$1,Database!$A$1:$AS$1,0),FALSE)=0,#N/A,VLOOKUP(A321,Database!$A:$AS,MATCH($B$1,Database!$A$1:$AS$1,0),FALSE))</f>
        <v/>
      </c>
      <c r="C321" s="77">
        <f>IF(VLOOKUP(A321,Database!$A:$AS,MATCH($C$1,Database!$A$1:$AS$1,0),FALSE)=0,#N/A,VLOOKUP(A321,Database!$A:$AS,MATCH($C$1,Database!$A$1:$AS$1,0),FALSE))</f>
        <v/>
      </c>
      <c r="D321" s="77">
        <f>IF(VLOOKUP(A321,Database!$A:$AS,MATCH($D$1,Database!$A$1:$AS$1,0),FALSE)=0,#N/A,VLOOKUP(A321,Database!$A:$AS,MATCH($D$1,Database!$A$1:$AS$1,0),FALSE))</f>
        <v/>
      </c>
      <c r="E321" s="77">
        <f>IF(VLOOKUP(A321,Database!$A:$AS,MATCH($E$1,Database!$A$1:$AS$1,0),FALSE)=0,#N/A,VLOOKUP(A321,Database!$A:$AS,MATCH($E$1,Database!$A$1:$AS$1,0),FALSE))</f>
        <v/>
      </c>
      <c r="F321" s="77">
        <f>IF(VLOOKUP(A321,Database!$A:$AS,MATCH($F$1,Database!$A$1:$AS$1,0),FALSE)=0,#N/A,VLOOKUP(A321,Database!$A:$AS,MATCH($F$1,Database!$A$1:$AS$1,0),FALSE))</f>
        <v/>
      </c>
      <c r="G321" s="77">
        <f>IF(VLOOKUP(A321,Database!$A:$AS,MATCH($G$1,Database!$A$1:$AS$1,0),FALSE)=0,#N/A,VLOOKUP(A321,Database!$A:$AS,MATCH($G$1,Database!$A$1:$AS$1,0),FALSE))</f>
        <v/>
      </c>
      <c r="H321" s="77">
        <f>(((Table134567891011121314151617343[[#This Row],[ITA]]-VLOOKUP($U$1,A:B,2,))/VLOOKUP($U$1,A:B,2,))*100)+100</f>
        <v/>
      </c>
      <c r="I321" s="77">
        <f>(((Table134567891011121314151617343[[#This Row],[FRA]]-VLOOKUP($U$1,A:C,3,))/VLOOKUP($U$1,A:C,3,))*100)+100</f>
        <v/>
      </c>
      <c r="J321" s="77">
        <f>(((Table134567891011121314151617343[[#This Row],[DEU]]-VLOOKUP($U$1,A:D,4,))/VLOOKUP($U$1,A:D,4,))*100)+100</f>
        <v/>
      </c>
      <c r="K321" s="77">
        <f>(((Table134567891011121314151617343[[#This Row],[ESP]]-VLOOKUP($U$1,A:E,5,))/VLOOKUP($U$1,A:E,5,))*100)+100</f>
        <v/>
      </c>
      <c r="L321" s="77">
        <f>(((Table134567891011121314151617343[[#This Row],[EA19]]-VLOOKUP($U$1,A:F,6,))/VLOOKUP($U$1,A:F,6,))*100)+100</f>
        <v/>
      </c>
      <c r="M321" s="77">
        <f>(((Table134567891011121314151617343[[#This Row],[GBR]]-VLOOKUP($U$1,A:G,7,))/VLOOKUP($U$1,A:G,7,))*100)+100</f>
        <v/>
      </c>
      <c r="N321" s="77">
        <f>IF(VLOOKUP(A321,Database!$A:$AU,MATCH($N$1,Database!$A$1:$AU$1,0),FALSE)=0,#N/A,VLOOKUP(A321,Database!$A:$AU,MATCH($N$1,Database!$A$1:$AU$1,0),FALSE))</f>
        <v/>
      </c>
      <c r="O321" s="77">
        <f>(((Table134567891011121314151617343[[#This Row],[USA]]-VLOOKUP($U$1,A:N,14,))/VLOOKUP($U$1,A:N,14,))*100)+100</f>
        <v/>
      </c>
      <c r="P321" s="77">
        <f>IF(VLOOKUP(A321,Database!$A:$AS,MATCH($P$1,Database!$A$1:$AS$1,0),FALSE)=0,#N/A,VLOOKUP(A321,Database!$A:$AS,MATCH($P$1,Database!$A$1:$AS$1,0),FALSE))</f>
        <v/>
      </c>
      <c r="Q321" s="77">
        <f>(((Table134567891011121314151617343[[#This Row],[JPN]]-VLOOKUP($U$1,A:Q,16,))/VLOOKUP($U$1,A:Q,16,))*100)+100</f>
        <v/>
      </c>
    </row>
    <row r="322" customFormat="1" s="87">
      <c r="A322" s="21" t="n">
        <v>42614</v>
      </c>
      <c r="B322" s="77">
        <f>IF(VLOOKUP(A322,Database!$A:$AS,MATCH($B$1,Database!$A$1:$AS$1,0),FALSE)=0,#N/A,VLOOKUP(A322,Database!$A:$AS,MATCH($B$1,Database!$A$1:$AS$1,0),FALSE))</f>
        <v/>
      </c>
      <c r="C322" s="77">
        <f>IF(VLOOKUP(A322,Database!$A:$AS,MATCH($C$1,Database!$A$1:$AS$1,0),FALSE)=0,#N/A,VLOOKUP(A322,Database!$A:$AS,MATCH($C$1,Database!$A$1:$AS$1,0),FALSE))</f>
        <v/>
      </c>
      <c r="D322" s="77">
        <f>IF(VLOOKUP(A322,Database!$A:$AS,MATCH($D$1,Database!$A$1:$AS$1,0),FALSE)=0,#N/A,VLOOKUP(A322,Database!$A:$AS,MATCH($D$1,Database!$A$1:$AS$1,0),FALSE))</f>
        <v/>
      </c>
      <c r="E322" s="77">
        <f>IF(VLOOKUP(A322,Database!$A:$AS,MATCH($E$1,Database!$A$1:$AS$1,0),FALSE)=0,#N/A,VLOOKUP(A322,Database!$A:$AS,MATCH($E$1,Database!$A$1:$AS$1,0),FALSE))</f>
        <v/>
      </c>
      <c r="F322" s="77">
        <f>IF(VLOOKUP(A322,Database!$A:$AS,MATCH($F$1,Database!$A$1:$AS$1,0),FALSE)=0,#N/A,VLOOKUP(A322,Database!$A:$AS,MATCH($F$1,Database!$A$1:$AS$1,0),FALSE))</f>
        <v/>
      </c>
      <c r="G322" s="77">
        <f>IF(VLOOKUP(A322,Database!$A:$AS,MATCH($G$1,Database!$A$1:$AS$1,0),FALSE)=0,#N/A,VLOOKUP(A322,Database!$A:$AS,MATCH($G$1,Database!$A$1:$AS$1,0),FALSE))</f>
        <v/>
      </c>
      <c r="H322" s="77">
        <f>(((Table134567891011121314151617343[[#This Row],[ITA]]-VLOOKUP($U$1,A:B,2,))/VLOOKUP($U$1,A:B,2,))*100)+100</f>
        <v/>
      </c>
      <c r="I322" s="77">
        <f>(((Table134567891011121314151617343[[#This Row],[FRA]]-VLOOKUP($U$1,A:C,3,))/VLOOKUP($U$1,A:C,3,))*100)+100</f>
        <v/>
      </c>
      <c r="J322" s="77">
        <f>(((Table134567891011121314151617343[[#This Row],[DEU]]-VLOOKUP($U$1,A:D,4,))/VLOOKUP($U$1,A:D,4,))*100)+100</f>
        <v/>
      </c>
      <c r="K322" s="77">
        <f>(((Table134567891011121314151617343[[#This Row],[ESP]]-VLOOKUP($U$1,A:E,5,))/VLOOKUP($U$1,A:E,5,))*100)+100</f>
        <v/>
      </c>
      <c r="L322" s="77">
        <f>(((Table134567891011121314151617343[[#This Row],[EA19]]-VLOOKUP($U$1,A:F,6,))/VLOOKUP($U$1,A:F,6,))*100)+100</f>
        <v/>
      </c>
      <c r="M322" s="77">
        <f>(((Table134567891011121314151617343[[#This Row],[GBR]]-VLOOKUP($U$1,A:G,7,))/VLOOKUP($U$1,A:G,7,))*100)+100</f>
        <v/>
      </c>
      <c r="N322" s="77">
        <f>IF(VLOOKUP(A322,Database!$A:$AU,MATCH($N$1,Database!$A$1:$AU$1,0),FALSE)=0,#N/A,VLOOKUP(A322,Database!$A:$AU,MATCH($N$1,Database!$A$1:$AU$1,0),FALSE))</f>
        <v/>
      </c>
      <c r="O322" s="77">
        <f>(((Table134567891011121314151617343[[#This Row],[USA]]-VLOOKUP($U$1,A:N,14,))/VLOOKUP($U$1,A:N,14,))*100)+100</f>
        <v/>
      </c>
      <c r="P322" s="77">
        <f>IF(VLOOKUP(A322,Database!$A:$AS,MATCH($P$1,Database!$A$1:$AS$1,0),FALSE)=0,#N/A,VLOOKUP(A322,Database!$A:$AS,MATCH($P$1,Database!$A$1:$AS$1,0),FALSE))</f>
        <v/>
      </c>
      <c r="Q322" s="77">
        <f>(((Table134567891011121314151617343[[#This Row],[JPN]]-VLOOKUP($U$1,A:Q,16,))/VLOOKUP($U$1,A:Q,16,))*100)+100</f>
        <v/>
      </c>
    </row>
    <row r="323" customFormat="1" s="87">
      <c r="A323" s="21" t="n">
        <v>42644</v>
      </c>
      <c r="B323" s="77">
        <f>IF(VLOOKUP(A323,Database!$A:$AS,MATCH($B$1,Database!$A$1:$AS$1,0),FALSE)=0,#N/A,VLOOKUP(A323,Database!$A:$AS,MATCH($B$1,Database!$A$1:$AS$1,0),FALSE))</f>
        <v/>
      </c>
      <c r="C323" s="77">
        <f>IF(VLOOKUP(A323,Database!$A:$AS,MATCH($C$1,Database!$A$1:$AS$1,0),FALSE)=0,#N/A,VLOOKUP(A323,Database!$A:$AS,MATCH($C$1,Database!$A$1:$AS$1,0),FALSE))</f>
        <v/>
      </c>
      <c r="D323" s="77">
        <f>IF(VLOOKUP(A323,Database!$A:$AS,MATCH($D$1,Database!$A$1:$AS$1,0),FALSE)=0,#N/A,VLOOKUP(A323,Database!$A:$AS,MATCH($D$1,Database!$A$1:$AS$1,0),FALSE))</f>
        <v/>
      </c>
      <c r="E323" s="77">
        <f>IF(VLOOKUP(A323,Database!$A:$AS,MATCH($E$1,Database!$A$1:$AS$1,0),FALSE)=0,#N/A,VLOOKUP(A323,Database!$A:$AS,MATCH($E$1,Database!$A$1:$AS$1,0),FALSE))</f>
        <v/>
      </c>
      <c r="F323" s="77">
        <f>IF(VLOOKUP(A323,Database!$A:$AS,MATCH($F$1,Database!$A$1:$AS$1,0),FALSE)=0,#N/A,VLOOKUP(A323,Database!$A:$AS,MATCH($F$1,Database!$A$1:$AS$1,0),FALSE))</f>
        <v/>
      </c>
      <c r="G323" s="77">
        <f>IF(VLOOKUP(A323,Database!$A:$AS,MATCH($G$1,Database!$A$1:$AS$1,0),FALSE)=0,#N/A,VLOOKUP(A323,Database!$A:$AS,MATCH($G$1,Database!$A$1:$AS$1,0),FALSE))</f>
        <v/>
      </c>
      <c r="H323" s="77">
        <f>(((Table134567891011121314151617343[[#This Row],[ITA]]-VLOOKUP($U$1,A:B,2,))/VLOOKUP($U$1,A:B,2,))*100)+100</f>
        <v/>
      </c>
      <c r="I323" s="77">
        <f>(((Table134567891011121314151617343[[#This Row],[FRA]]-VLOOKUP($U$1,A:C,3,))/VLOOKUP($U$1,A:C,3,))*100)+100</f>
        <v/>
      </c>
      <c r="J323" s="77">
        <f>(((Table134567891011121314151617343[[#This Row],[DEU]]-VLOOKUP($U$1,A:D,4,))/VLOOKUP($U$1,A:D,4,))*100)+100</f>
        <v/>
      </c>
      <c r="K323" s="77">
        <f>(((Table134567891011121314151617343[[#This Row],[ESP]]-VLOOKUP($U$1,A:E,5,))/VLOOKUP($U$1,A:E,5,))*100)+100</f>
        <v/>
      </c>
      <c r="L323" s="77">
        <f>(((Table134567891011121314151617343[[#This Row],[EA19]]-VLOOKUP($U$1,A:F,6,))/VLOOKUP($U$1,A:F,6,))*100)+100</f>
        <v/>
      </c>
      <c r="M323" s="77">
        <f>(((Table134567891011121314151617343[[#This Row],[GBR]]-VLOOKUP($U$1,A:G,7,))/VLOOKUP($U$1,A:G,7,))*100)+100</f>
        <v/>
      </c>
      <c r="N323" s="77">
        <f>IF(VLOOKUP(A323,Database!$A:$AU,MATCH($N$1,Database!$A$1:$AU$1,0),FALSE)=0,#N/A,VLOOKUP(A323,Database!$A:$AU,MATCH($N$1,Database!$A$1:$AU$1,0),FALSE))</f>
        <v/>
      </c>
      <c r="O323" s="77">
        <f>(((Table134567891011121314151617343[[#This Row],[USA]]-VLOOKUP($U$1,A:N,14,))/VLOOKUP($U$1,A:N,14,))*100)+100</f>
        <v/>
      </c>
      <c r="P323" s="77">
        <f>IF(VLOOKUP(A323,Database!$A:$AS,MATCH($P$1,Database!$A$1:$AS$1,0),FALSE)=0,#N/A,VLOOKUP(A323,Database!$A:$AS,MATCH($P$1,Database!$A$1:$AS$1,0),FALSE))</f>
        <v/>
      </c>
      <c r="Q323" s="77">
        <f>(((Table134567891011121314151617343[[#This Row],[JPN]]-VLOOKUP($U$1,A:Q,16,))/VLOOKUP($U$1,A:Q,16,))*100)+100</f>
        <v/>
      </c>
    </row>
    <row r="324" customFormat="1" s="87">
      <c r="A324" s="21" t="n">
        <v>42675</v>
      </c>
      <c r="B324" s="77">
        <f>IF(VLOOKUP(A324,Database!$A:$AS,MATCH($B$1,Database!$A$1:$AS$1,0),FALSE)=0,#N/A,VLOOKUP(A324,Database!$A:$AS,MATCH($B$1,Database!$A$1:$AS$1,0),FALSE))</f>
        <v/>
      </c>
      <c r="C324" s="77">
        <f>IF(VLOOKUP(A324,Database!$A:$AS,MATCH($C$1,Database!$A$1:$AS$1,0),FALSE)=0,#N/A,VLOOKUP(A324,Database!$A:$AS,MATCH($C$1,Database!$A$1:$AS$1,0),FALSE))</f>
        <v/>
      </c>
      <c r="D324" s="77">
        <f>IF(VLOOKUP(A324,Database!$A:$AS,MATCH($D$1,Database!$A$1:$AS$1,0),FALSE)=0,#N/A,VLOOKUP(A324,Database!$A:$AS,MATCH($D$1,Database!$A$1:$AS$1,0),FALSE))</f>
        <v/>
      </c>
      <c r="E324" s="77">
        <f>IF(VLOOKUP(A324,Database!$A:$AS,MATCH($E$1,Database!$A$1:$AS$1,0),FALSE)=0,#N/A,VLOOKUP(A324,Database!$A:$AS,MATCH($E$1,Database!$A$1:$AS$1,0),FALSE))</f>
        <v/>
      </c>
      <c r="F324" s="77">
        <f>IF(VLOOKUP(A324,Database!$A:$AS,MATCH($F$1,Database!$A$1:$AS$1,0),FALSE)=0,#N/A,VLOOKUP(A324,Database!$A:$AS,MATCH($F$1,Database!$A$1:$AS$1,0),FALSE))</f>
        <v/>
      </c>
      <c r="G324" s="77">
        <f>IF(VLOOKUP(A324,Database!$A:$AS,MATCH($G$1,Database!$A$1:$AS$1,0),FALSE)=0,#N/A,VLOOKUP(A324,Database!$A:$AS,MATCH($G$1,Database!$A$1:$AS$1,0),FALSE))</f>
        <v/>
      </c>
      <c r="H324" s="77">
        <f>(((Table134567891011121314151617343[[#This Row],[ITA]]-VLOOKUP($U$1,A:B,2,))/VLOOKUP($U$1,A:B,2,))*100)+100</f>
        <v/>
      </c>
      <c r="I324" s="77">
        <f>(((Table134567891011121314151617343[[#This Row],[FRA]]-VLOOKUP($U$1,A:C,3,))/VLOOKUP($U$1,A:C,3,))*100)+100</f>
        <v/>
      </c>
      <c r="J324" s="77">
        <f>(((Table134567891011121314151617343[[#This Row],[DEU]]-VLOOKUP($U$1,A:D,4,))/VLOOKUP($U$1,A:D,4,))*100)+100</f>
        <v/>
      </c>
      <c r="K324" s="77">
        <f>(((Table134567891011121314151617343[[#This Row],[ESP]]-VLOOKUP($U$1,A:E,5,))/VLOOKUP($U$1,A:E,5,))*100)+100</f>
        <v/>
      </c>
      <c r="L324" s="77">
        <f>(((Table134567891011121314151617343[[#This Row],[EA19]]-VLOOKUP($U$1,A:F,6,))/VLOOKUP($U$1,A:F,6,))*100)+100</f>
        <v/>
      </c>
      <c r="M324" s="77">
        <f>(((Table134567891011121314151617343[[#This Row],[GBR]]-VLOOKUP($U$1,A:G,7,))/VLOOKUP($U$1,A:G,7,))*100)+100</f>
        <v/>
      </c>
      <c r="N324" s="77">
        <f>IF(VLOOKUP(A324,Database!$A:$AU,MATCH($N$1,Database!$A$1:$AU$1,0),FALSE)=0,#N/A,VLOOKUP(A324,Database!$A:$AU,MATCH($N$1,Database!$A$1:$AU$1,0),FALSE))</f>
        <v/>
      </c>
      <c r="O324" s="77">
        <f>(((Table134567891011121314151617343[[#This Row],[USA]]-VLOOKUP($U$1,A:N,14,))/VLOOKUP($U$1,A:N,14,))*100)+100</f>
        <v/>
      </c>
      <c r="P324" s="77">
        <f>IF(VLOOKUP(A324,Database!$A:$AS,MATCH($P$1,Database!$A$1:$AS$1,0),FALSE)=0,#N/A,VLOOKUP(A324,Database!$A:$AS,MATCH($P$1,Database!$A$1:$AS$1,0),FALSE))</f>
        <v/>
      </c>
      <c r="Q324" s="77">
        <f>(((Table134567891011121314151617343[[#This Row],[JPN]]-VLOOKUP($U$1,A:Q,16,))/VLOOKUP($U$1,A:Q,16,))*100)+100</f>
        <v/>
      </c>
    </row>
    <row r="325" customFormat="1" s="87">
      <c r="A325" s="21" t="n">
        <v>42705</v>
      </c>
      <c r="B325" s="77">
        <f>IF(VLOOKUP(A325,Database!$A:$AS,MATCH($B$1,Database!$A$1:$AS$1,0),FALSE)=0,#N/A,VLOOKUP(A325,Database!$A:$AS,MATCH($B$1,Database!$A$1:$AS$1,0),FALSE))</f>
        <v/>
      </c>
      <c r="C325" s="77">
        <f>IF(VLOOKUP(A325,Database!$A:$AS,MATCH($C$1,Database!$A$1:$AS$1,0),FALSE)=0,#N/A,VLOOKUP(A325,Database!$A:$AS,MATCH($C$1,Database!$A$1:$AS$1,0),FALSE))</f>
        <v/>
      </c>
      <c r="D325" s="77">
        <f>IF(VLOOKUP(A325,Database!$A:$AS,MATCH($D$1,Database!$A$1:$AS$1,0),FALSE)=0,#N/A,VLOOKUP(A325,Database!$A:$AS,MATCH($D$1,Database!$A$1:$AS$1,0),FALSE))</f>
        <v/>
      </c>
      <c r="E325" s="77">
        <f>IF(VLOOKUP(A325,Database!$A:$AS,MATCH($E$1,Database!$A$1:$AS$1,0),FALSE)=0,#N/A,VLOOKUP(A325,Database!$A:$AS,MATCH($E$1,Database!$A$1:$AS$1,0),FALSE))</f>
        <v/>
      </c>
      <c r="F325" s="77">
        <f>IF(VLOOKUP(A325,Database!$A:$AS,MATCH($F$1,Database!$A$1:$AS$1,0),FALSE)=0,#N/A,VLOOKUP(A325,Database!$A:$AS,MATCH($F$1,Database!$A$1:$AS$1,0),FALSE))</f>
        <v/>
      </c>
      <c r="G325" s="77">
        <f>IF(VLOOKUP(A325,Database!$A:$AS,MATCH($G$1,Database!$A$1:$AS$1,0),FALSE)=0,#N/A,VLOOKUP(A325,Database!$A:$AS,MATCH($G$1,Database!$A$1:$AS$1,0),FALSE))</f>
        <v/>
      </c>
      <c r="H325" s="77">
        <f>(((Table134567891011121314151617343[[#This Row],[ITA]]-VLOOKUP($U$1,A:B,2,))/VLOOKUP($U$1,A:B,2,))*100)+100</f>
        <v/>
      </c>
      <c r="I325" s="77">
        <f>(((Table134567891011121314151617343[[#This Row],[FRA]]-VLOOKUP($U$1,A:C,3,))/VLOOKUP($U$1,A:C,3,))*100)+100</f>
        <v/>
      </c>
      <c r="J325" s="77">
        <f>(((Table134567891011121314151617343[[#This Row],[DEU]]-VLOOKUP($U$1,A:D,4,))/VLOOKUP($U$1,A:D,4,))*100)+100</f>
        <v/>
      </c>
      <c r="K325" s="77">
        <f>(((Table134567891011121314151617343[[#This Row],[ESP]]-VLOOKUP($U$1,A:E,5,))/VLOOKUP($U$1,A:E,5,))*100)+100</f>
        <v/>
      </c>
      <c r="L325" s="77">
        <f>(((Table134567891011121314151617343[[#This Row],[EA19]]-VLOOKUP($U$1,A:F,6,))/VLOOKUP($U$1,A:F,6,))*100)+100</f>
        <v/>
      </c>
      <c r="M325" s="77">
        <f>(((Table134567891011121314151617343[[#This Row],[GBR]]-VLOOKUP($U$1,A:G,7,))/VLOOKUP($U$1,A:G,7,))*100)+100</f>
        <v/>
      </c>
      <c r="N325" s="77">
        <f>IF(VLOOKUP(A325,Database!$A:$AU,MATCH($N$1,Database!$A$1:$AU$1,0),FALSE)=0,#N/A,VLOOKUP(A325,Database!$A:$AU,MATCH($N$1,Database!$A$1:$AU$1,0),FALSE))</f>
        <v/>
      </c>
      <c r="O325" s="77">
        <f>(((Table134567891011121314151617343[[#This Row],[USA]]-VLOOKUP($U$1,A:N,14,))/VLOOKUP($U$1,A:N,14,))*100)+100</f>
        <v/>
      </c>
      <c r="P325" s="77">
        <f>IF(VLOOKUP(A325,Database!$A:$AS,MATCH($P$1,Database!$A$1:$AS$1,0),FALSE)=0,#N/A,VLOOKUP(A325,Database!$A:$AS,MATCH($P$1,Database!$A$1:$AS$1,0),FALSE))</f>
        <v/>
      </c>
      <c r="Q325" s="77">
        <f>(((Table134567891011121314151617343[[#This Row],[JPN]]-VLOOKUP($U$1,A:Q,16,))/VLOOKUP($U$1,A:Q,16,))*100)+100</f>
        <v/>
      </c>
    </row>
    <row r="326" customFormat="1" s="87">
      <c r="A326" s="21" t="n">
        <v>42736</v>
      </c>
      <c r="B326" s="77">
        <f>IF(VLOOKUP(A326,Database!$A:$AS,MATCH($B$1,Database!$A$1:$AS$1,0),FALSE)=0,#N/A,VLOOKUP(A326,Database!$A:$AS,MATCH($B$1,Database!$A$1:$AS$1,0),FALSE))</f>
        <v/>
      </c>
      <c r="C326" s="77">
        <f>IF(VLOOKUP(A326,Database!$A:$AS,MATCH($C$1,Database!$A$1:$AS$1,0),FALSE)=0,#N/A,VLOOKUP(A326,Database!$A:$AS,MATCH($C$1,Database!$A$1:$AS$1,0),FALSE))</f>
        <v/>
      </c>
      <c r="D326" s="77">
        <f>IF(VLOOKUP(A326,Database!$A:$AS,MATCH($D$1,Database!$A$1:$AS$1,0),FALSE)=0,#N/A,VLOOKUP(A326,Database!$A:$AS,MATCH($D$1,Database!$A$1:$AS$1,0),FALSE))</f>
        <v/>
      </c>
      <c r="E326" s="77">
        <f>IF(VLOOKUP(A326,Database!$A:$AS,MATCH($E$1,Database!$A$1:$AS$1,0),FALSE)=0,#N/A,VLOOKUP(A326,Database!$A:$AS,MATCH($E$1,Database!$A$1:$AS$1,0),FALSE))</f>
        <v/>
      </c>
      <c r="F326" s="77">
        <f>IF(VLOOKUP(A326,Database!$A:$AS,MATCH($F$1,Database!$A$1:$AS$1,0),FALSE)=0,#N/A,VLOOKUP(A326,Database!$A:$AS,MATCH($F$1,Database!$A$1:$AS$1,0),FALSE))</f>
        <v/>
      </c>
      <c r="G326" s="77">
        <f>IF(VLOOKUP(A326,Database!$A:$AS,MATCH($G$1,Database!$A$1:$AS$1,0),FALSE)=0,#N/A,VLOOKUP(A326,Database!$A:$AS,MATCH($G$1,Database!$A$1:$AS$1,0),FALSE))</f>
        <v/>
      </c>
      <c r="H326" s="77">
        <f>(((Table134567891011121314151617343[[#This Row],[ITA]]-VLOOKUP($U$1,A:B,2,))/VLOOKUP($U$1,A:B,2,))*100)+100</f>
        <v/>
      </c>
      <c r="I326" s="77">
        <f>(((Table134567891011121314151617343[[#This Row],[FRA]]-VLOOKUP($U$1,A:C,3,))/VLOOKUP($U$1,A:C,3,))*100)+100</f>
        <v/>
      </c>
      <c r="J326" s="77">
        <f>(((Table134567891011121314151617343[[#This Row],[DEU]]-VLOOKUP($U$1,A:D,4,))/VLOOKUP($U$1,A:D,4,))*100)+100</f>
        <v/>
      </c>
      <c r="K326" s="77">
        <f>(((Table134567891011121314151617343[[#This Row],[ESP]]-VLOOKUP($U$1,A:E,5,))/VLOOKUP($U$1,A:E,5,))*100)+100</f>
        <v/>
      </c>
      <c r="L326" s="77">
        <f>(((Table134567891011121314151617343[[#This Row],[EA19]]-VLOOKUP($U$1,A:F,6,))/VLOOKUP($U$1,A:F,6,))*100)+100</f>
        <v/>
      </c>
      <c r="M326" s="77">
        <f>(((Table134567891011121314151617343[[#This Row],[GBR]]-VLOOKUP($U$1,A:G,7,))/VLOOKUP($U$1,A:G,7,))*100)+100</f>
        <v/>
      </c>
      <c r="N326" s="77">
        <f>IF(VLOOKUP(A326,Database!$A:$AU,MATCH($N$1,Database!$A$1:$AU$1,0),FALSE)=0,#N/A,VLOOKUP(A326,Database!$A:$AU,MATCH($N$1,Database!$A$1:$AU$1,0),FALSE))</f>
        <v/>
      </c>
      <c r="O326" s="77">
        <f>(((Table134567891011121314151617343[[#This Row],[USA]]-VLOOKUP($U$1,A:N,14,))/VLOOKUP($U$1,A:N,14,))*100)+100</f>
        <v/>
      </c>
      <c r="P326" s="77">
        <f>IF(VLOOKUP(A326,Database!$A:$AS,MATCH($P$1,Database!$A$1:$AS$1,0),FALSE)=0,#N/A,VLOOKUP(A326,Database!$A:$AS,MATCH($P$1,Database!$A$1:$AS$1,0),FALSE))</f>
        <v/>
      </c>
      <c r="Q326" s="77">
        <f>(((Table134567891011121314151617343[[#This Row],[JPN]]-VLOOKUP($U$1,A:Q,16,))/VLOOKUP($U$1,A:Q,16,))*100)+100</f>
        <v/>
      </c>
    </row>
    <row r="327" customFormat="1" s="87">
      <c r="A327" s="21" t="n">
        <v>42767</v>
      </c>
      <c r="B327" s="77">
        <f>IF(VLOOKUP(A327,Database!$A:$AS,MATCH($B$1,Database!$A$1:$AS$1,0),FALSE)=0,#N/A,VLOOKUP(A327,Database!$A:$AS,MATCH($B$1,Database!$A$1:$AS$1,0),FALSE))</f>
        <v/>
      </c>
      <c r="C327" s="77">
        <f>IF(VLOOKUP(A327,Database!$A:$AS,MATCH($C$1,Database!$A$1:$AS$1,0),FALSE)=0,#N/A,VLOOKUP(A327,Database!$A:$AS,MATCH($C$1,Database!$A$1:$AS$1,0),FALSE))</f>
        <v/>
      </c>
      <c r="D327" s="77">
        <f>IF(VLOOKUP(A327,Database!$A:$AS,MATCH($D$1,Database!$A$1:$AS$1,0),FALSE)=0,#N/A,VLOOKUP(A327,Database!$A:$AS,MATCH($D$1,Database!$A$1:$AS$1,0),FALSE))</f>
        <v/>
      </c>
      <c r="E327" s="77">
        <f>IF(VLOOKUP(A327,Database!$A:$AS,MATCH($E$1,Database!$A$1:$AS$1,0),FALSE)=0,#N/A,VLOOKUP(A327,Database!$A:$AS,MATCH($E$1,Database!$A$1:$AS$1,0),FALSE))</f>
        <v/>
      </c>
      <c r="F327" s="77">
        <f>IF(VLOOKUP(A327,Database!$A:$AS,MATCH($F$1,Database!$A$1:$AS$1,0),FALSE)=0,#N/A,VLOOKUP(A327,Database!$A:$AS,MATCH($F$1,Database!$A$1:$AS$1,0),FALSE))</f>
        <v/>
      </c>
      <c r="G327" s="77">
        <f>IF(VLOOKUP(A327,Database!$A:$AS,MATCH($G$1,Database!$A$1:$AS$1,0),FALSE)=0,#N/A,VLOOKUP(A327,Database!$A:$AS,MATCH($G$1,Database!$A$1:$AS$1,0),FALSE))</f>
        <v/>
      </c>
      <c r="H327" s="77">
        <f>(((Table134567891011121314151617343[[#This Row],[ITA]]-VLOOKUP($U$1,A:B,2,))/VLOOKUP($U$1,A:B,2,))*100)+100</f>
        <v/>
      </c>
      <c r="I327" s="77">
        <f>(((Table134567891011121314151617343[[#This Row],[FRA]]-VLOOKUP($U$1,A:C,3,))/VLOOKUP($U$1,A:C,3,))*100)+100</f>
        <v/>
      </c>
      <c r="J327" s="77">
        <f>(((Table134567891011121314151617343[[#This Row],[DEU]]-VLOOKUP($U$1,A:D,4,))/VLOOKUP($U$1,A:D,4,))*100)+100</f>
        <v/>
      </c>
      <c r="K327" s="77">
        <f>(((Table134567891011121314151617343[[#This Row],[ESP]]-VLOOKUP($U$1,A:E,5,))/VLOOKUP($U$1,A:E,5,))*100)+100</f>
        <v/>
      </c>
      <c r="L327" s="77">
        <f>(((Table134567891011121314151617343[[#This Row],[EA19]]-VLOOKUP($U$1,A:F,6,))/VLOOKUP($U$1,A:F,6,))*100)+100</f>
        <v/>
      </c>
      <c r="M327" s="77">
        <f>(((Table134567891011121314151617343[[#This Row],[GBR]]-VLOOKUP($U$1,A:G,7,))/VLOOKUP($U$1,A:G,7,))*100)+100</f>
        <v/>
      </c>
      <c r="N327" s="77">
        <f>IF(VLOOKUP(A327,Database!$A:$AU,MATCH($N$1,Database!$A$1:$AU$1,0),FALSE)=0,#N/A,VLOOKUP(A327,Database!$A:$AU,MATCH($N$1,Database!$A$1:$AU$1,0),FALSE))</f>
        <v/>
      </c>
      <c r="O327" s="77">
        <f>(((Table134567891011121314151617343[[#This Row],[USA]]-VLOOKUP($U$1,A:N,14,))/VLOOKUP($U$1,A:N,14,))*100)+100</f>
        <v/>
      </c>
      <c r="P327" s="77">
        <f>IF(VLOOKUP(A327,Database!$A:$AS,MATCH($P$1,Database!$A$1:$AS$1,0),FALSE)=0,#N/A,VLOOKUP(A327,Database!$A:$AS,MATCH($P$1,Database!$A$1:$AS$1,0),FALSE))</f>
        <v/>
      </c>
      <c r="Q327" s="77">
        <f>(((Table134567891011121314151617343[[#This Row],[JPN]]-VLOOKUP($U$1,A:Q,16,))/VLOOKUP($U$1,A:Q,16,))*100)+100</f>
        <v/>
      </c>
    </row>
    <row r="328" customFormat="1" s="87">
      <c r="A328" s="21" t="n">
        <v>42795</v>
      </c>
      <c r="B328" s="77">
        <f>IF(VLOOKUP(A328,Database!$A:$AS,MATCH($B$1,Database!$A$1:$AS$1,0),FALSE)=0,#N/A,VLOOKUP(A328,Database!$A:$AS,MATCH($B$1,Database!$A$1:$AS$1,0),FALSE))</f>
        <v/>
      </c>
      <c r="C328" s="77">
        <f>IF(VLOOKUP(A328,Database!$A:$AS,MATCH($C$1,Database!$A$1:$AS$1,0),FALSE)=0,#N/A,VLOOKUP(A328,Database!$A:$AS,MATCH($C$1,Database!$A$1:$AS$1,0),FALSE))</f>
        <v/>
      </c>
      <c r="D328" s="77">
        <f>IF(VLOOKUP(A328,Database!$A:$AS,MATCH($D$1,Database!$A$1:$AS$1,0),FALSE)=0,#N/A,VLOOKUP(A328,Database!$A:$AS,MATCH($D$1,Database!$A$1:$AS$1,0),FALSE))</f>
        <v/>
      </c>
      <c r="E328" s="77">
        <f>IF(VLOOKUP(A328,Database!$A:$AS,MATCH($E$1,Database!$A$1:$AS$1,0),FALSE)=0,#N/A,VLOOKUP(A328,Database!$A:$AS,MATCH($E$1,Database!$A$1:$AS$1,0),FALSE))</f>
        <v/>
      </c>
      <c r="F328" s="77">
        <f>IF(VLOOKUP(A328,Database!$A:$AS,MATCH($F$1,Database!$A$1:$AS$1,0),FALSE)=0,#N/A,VLOOKUP(A328,Database!$A:$AS,MATCH($F$1,Database!$A$1:$AS$1,0),FALSE))</f>
        <v/>
      </c>
      <c r="G328" s="77">
        <f>IF(VLOOKUP(A328,Database!$A:$AS,MATCH($G$1,Database!$A$1:$AS$1,0),FALSE)=0,#N/A,VLOOKUP(A328,Database!$A:$AS,MATCH($G$1,Database!$A$1:$AS$1,0),FALSE))</f>
        <v/>
      </c>
      <c r="H328" s="77">
        <f>(((Table134567891011121314151617343[[#This Row],[ITA]]-VLOOKUP($U$1,A:B,2,))/VLOOKUP($U$1,A:B,2,))*100)+100</f>
        <v/>
      </c>
      <c r="I328" s="77">
        <f>(((Table134567891011121314151617343[[#This Row],[FRA]]-VLOOKUP($U$1,A:C,3,))/VLOOKUP($U$1,A:C,3,))*100)+100</f>
        <v/>
      </c>
      <c r="J328" s="77">
        <f>(((Table134567891011121314151617343[[#This Row],[DEU]]-VLOOKUP($U$1,A:D,4,))/VLOOKUP($U$1,A:D,4,))*100)+100</f>
        <v/>
      </c>
      <c r="K328" s="77">
        <f>(((Table134567891011121314151617343[[#This Row],[ESP]]-VLOOKUP($U$1,A:E,5,))/VLOOKUP($U$1,A:E,5,))*100)+100</f>
        <v/>
      </c>
      <c r="L328" s="77">
        <f>(((Table134567891011121314151617343[[#This Row],[EA19]]-VLOOKUP($U$1,A:F,6,))/VLOOKUP($U$1,A:F,6,))*100)+100</f>
        <v/>
      </c>
      <c r="M328" s="77">
        <f>(((Table134567891011121314151617343[[#This Row],[GBR]]-VLOOKUP($U$1,A:G,7,))/VLOOKUP($U$1,A:G,7,))*100)+100</f>
        <v/>
      </c>
      <c r="N328" s="77">
        <f>IF(VLOOKUP(A328,Database!$A:$AU,MATCH($N$1,Database!$A$1:$AU$1,0),FALSE)=0,#N/A,VLOOKUP(A328,Database!$A:$AU,MATCH($N$1,Database!$A$1:$AU$1,0),FALSE))</f>
        <v/>
      </c>
      <c r="O328" s="77">
        <f>(((Table134567891011121314151617343[[#This Row],[USA]]-VLOOKUP($U$1,A:N,14,))/VLOOKUP($U$1,A:N,14,))*100)+100</f>
        <v/>
      </c>
      <c r="P328" s="77">
        <f>IF(VLOOKUP(A328,Database!$A:$AS,MATCH($P$1,Database!$A$1:$AS$1,0),FALSE)=0,#N/A,VLOOKUP(A328,Database!$A:$AS,MATCH($P$1,Database!$A$1:$AS$1,0),FALSE))</f>
        <v/>
      </c>
      <c r="Q328" s="77">
        <f>(((Table134567891011121314151617343[[#This Row],[JPN]]-VLOOKUP($U$1,A:Q,16,))/VLOOKUP($U$1,A:Q,16,))*100)+100</f>
        <v/>
      </c>
    </row>
    <row r="329" customFormat="1" s="87">
      <c r="A329" s="21" t="n">
        <v>42826</v>
      </c>
      <c r="B329" s="77">
        <f>IF(VLOOKUP(A329,Database!$A:$AS,MATCH($B$1,Database!$A$1:$AS$1,0),FALSE)=0,#N/A,VLOOKUP(A329,Database!$A:$AS,MATCH($B$1,Database!$A$1:$AS$1,0),FALSE))</f>
        <v/>
      </c>
      <c r="C329" s="77">
        <f>IF(VLOOKUP(A329,Database!$A:$AS,MATCH($C$1,Database!$A$1:$AS$1,0),FALSE)=0,#N/A,VLOOKUP(A329,Database!$A:$AS,MATCH($C$1,Database!$A$1:$AS$1,0),FALSE))</f>
        <v/>
      </c>
      <c r="D329" s="77">
        <f>IF(VLOOKUP(A329,Database!$A:$AS,MATCH($D$1,Database!$A$1:$AS$1,0),FALSE)=0,#N/A,VLOOKUP(A329,Database!$A:$AS,MATCH($D$1,Database!$A$1:$AS$1,0),FALSE))</f>
        <v/>
      </c>
      <c r="E329" s="77">
        <f>IF(VLOOKUP(A329,Database!$A:$AS,MATCH($E$1,Database!$A$1:$AS$1,0),FALSE)=0,#N/A,VLOOKUP(A329,Database!$A:$AS,MATCH($E$1,Database!$A$1:$AS$1,0),FALSE))</f>
        <v/>
      </c>
      <c r="F329" s="77">
        <f>IF(VLOOKUP(A329,Database!$A:$AS,MATCH($F$1,Database!$A$1:$AS$1,0),FALSE)=0,#N/A,VLOOKUP(A329,Database!$A:$AS,MATCH($F$1,Database!$A$1:$AS$1,0),FALSE))</f>
        <v/>
      </c>
      <c r="G329" s="77">
        <f>IF(VLOOKUP(A329,Database!$A:$AS,MATCH($G$1,Database!$A$1:$AS$1,0),FALSE)=0,#N/A,VLOOKUP(A329,Database!$A:$AS,MATCH($G$1,Database!$A$1:$AS$1,0),FALSE))</f>
        <v/>
      </c>
      <c r="H329" s="77">
        <f>(((Table134567891011121314151617343[[#This Row],[ITA]]-VLOOKUP($U$1,A:B,2,))/VLOOKUP($U$1,A:B,2,))*100)+100</f>
        <v/>
      </c>
      <c r="I329" s="77">
        <f>(((Table134567891011121314151617343[[#This Row],[FRA]]-VLOOKUP($U$1,A:C,3,))/VLOOKUP($U$1,A:C,3,))*100)+100</f>
        <v/>
      </c>
      <c r="J329" s="77">
        <f>(((Table134567891011121314151617343[[#This Row],[DEU]]-VLOOKUP($U$1,A:D,4,))/VLOOKUP($U$1,A:D,4,))*100)+100</f>
        <v/>
      </c>
      <c r="K329" s="77">
        <f>(((Table134567891011121314151617343[[#This Row],[ESP]]-VLOOKUP($U$1,A:E,5,))/VLOOKUP($U$1,A:E,5,))*100)+100</f>
        <v/>
      </c>
      <c r="L329" s="77">
        <f>(((Table134567891011121314151617343[[#This Row],[EA19]]-VLOOKUP($U$1,A:F,6,))/VLOOKUP($U$1,A:F,6,))*100)+100</f>
        <v/>
      </c>
      <c r="M329" s="77">
        <f>(((Table134567891011121314151617343[[#This Row],[GBR]]-VLOOKUP($U$1,A:G,7,))/VLOOKUP($U$1,A:G,7,))*100)+100</f>
        <v/>
      </c>
      <c r="N329" s="77">
        <f>IF(VLOOKUP(A329,Database!$A:$AU,MATCH($N$1,Database!$A$1:$AU$1,0),FALSE)=0,#N/A,VLOOKUP(A329,Database!$A:$AU,MATCH($N$1,Database!$A$1:$AU$1,0),FALSE))</f>
        <v/>
      </c>
      <c r="O329" s="77">
        <f>(((Table134567891011121314151617343[[#This Row],[USA]]-VLOOKUP($U$1,A:N,14,))/VLOOKUP($U$1,A:N,14,))*100)+100</f>
        <v/>
      </c>
      <c r="P329" s="77">
        <f>IF(VLOOKUP(A329,Database!$A:$AS,MATCH($P$1,Database!$A$1:$AS$1,0),FALSE)=0,#N/A,VLOOKUP(A329,Database!$A:$AS,MATCH($P$1,Database!$A$1:$AS$1,0),FALSE))</f>
        <v/>
      </c>
      <c r="Q329" s="77">
        <f>(((Table134567891011121314151617343[[#This Row],[JPN]]-VLOOKUP($U$1,A:Q,16,))/VLOOKUP($U$1,A:Q,16,))*100)+100</f>
        <v/>
      </c>
    </row>
    <row r="330" customFormat="1" s="87">
      <c r="A330" s="21" t="n">
        <v>42856</v>
      </c>
      <c r="B330" s="77">
        <f>IF(VLOOKUP(A330,Database!$A:$AS,MATCH($B$1,Database!$A$1:$AS$1,0),FALSE)=0,#N/A,VLOOKUP(A330,Database!$A:$AS,MATCH($B$1,Database!$A$1:$AS$1,0),FALSE))</f>
        <v/>
      </c>
      <c r="C330" s="77">
        <f>IF(VLOOKUP(A330,Database!$A:$AS,MATCH($C$1,Database!$A$1:$AS$1,0),FALSE)=0,#N/A,VLOOKUP(A330,Database!$A:$AS,MATCH($C$1,Database!$A$1:$AS$1,0),FALSE))</f>
        <v/>
      </c>
      <c r="D330" s="77">
        <f>IF(VLOOKUP(A330,Database!$A:$AS,MATCH($D$1,Database!$A$1:$AS$1,0),FALSE)=0,#N/A,VLOOKUP(A330,Database!$A:$AS,MATCH($D$1,Database!$A$1:$AS$1,0),FALSE))</f>
        <v/>
      </c>
      <c r="E330" s="77">
        <f>IF(VLOOKUP(A330,Database!$A:$AS,MATCH($E$1,Database!$A$1:$AS$1,0),FALSE)=0,#N/A,VLOOKUP(A330,Database!$A:$AS,MATCH($E$1,Database!$A$1:$AS$1,0),FALSE))</f>
        <v/>
      </c>
      <c r="F330" s="77">
        <f>IF(VLOOKUP(A330,Database!$A:$AS,MATCH($F$1,Database!$A$1:$AS$1,0),FALSE)=0,#N/A,VLOOKUP(A330,Database!$A:$AS,MATCH($F$1,Database!$A$1:$AS$1,0),FALSE))</f>
        <v/>
      </c>
      <c r="G330" s="77">
        <f>IF(VLOOKUP(A330,Database!$A:$AS,MATCH($G$1,Database!$A$1:$AS$1,0),FALSE)=0,#N/A,VLOOKUP(A330,Database!$A:$AS,MATCH($G$1,Database!$A$1:$AS$1,0),FALSE))</f>
        <v/>
      </c>
      <c r="H330" s="77">
        <f>(((Table134567891011121314151617343[[#This Row],[ITA]]-VLOOKUP($U$1,A:B,2,))/VLOOKUP($U$1,A:B,2,))*100)+100</f>
        <v/>
      </c>
      <c r="I330" s="77">
        <f>(((Table134567891011121314151617343[[#This Row],[FRA]]-VLOOKUP($U$1,A:C,3,))/VLOOKUP($U$1,A:C,3,))*100)+100</f>
        <v/>
      </c>
      <c r="J330" s="77">
        <f>(((Table134567891011121314151617343[[#This Row],[DEU]]-VLOOKUP($U$1,A:D,4,))/VLOOKUP($U$1,A:D,4,))*100)+100</f>
        <v/>
      </c>
      <c r="K330" s="77">
        <f>(((Table134567891011121314151617343[[#This Row],[ESP]]-VLOOKUP($U$1,A:E,5,))/VLOOKUP($U$1,A:E,5,))*100)+100</f>
        <v/>
      </c>
      <c r="L330" s="77">
        <f>(((Table134567891011121314151617343[[#This Row],[EA19]]-VLOOKUP($U$1,A:F,6,))/VLOOKUP($U$1,A:F,6,))*100)+100</f>
        <v/>
      </c>
      <c r="M330" s="77">
        <f>(((Table134567891011121314151617343[[#This Row],[GBR]]-VLOOKUP($U$1,A:G,7,))/VLOOKUP($U$1,A:G,7,))*100)+100</f>
        <v/>
      </c>
      <c r="N330" s="77">
        <f>IF(VLOOKUP(A330,Database!$A:$AU,MATCH($N$1,Database!$A$1:$AU$1,0),FALSE)=0,#N/A,VLOOKUP(A330,Database!$A:$AU,MATCH($N$1,Database!$A$1:$AU$1,0),FALSE))</f>
        <v/>
      </c>
      <c r="O330" s="77">
        <f>(((Table134567891011121314151617343[[#This Row],[USA]]-VLOOKUP($U$1,A:N,14,))/VLOOKUP($U$1,A:N,14,))*100)+100</f>
        <v/>
      </c>
      <c r="P330" s="77">
        <f>IF(VLOOKUP(A330,Database!$A:$AS,MATCH($P$1,Database!$A$1:$AS$1,0),FALSE)=0,#N/A,VLOOKUP(A330,Database!$A:$AS,MATCH($P$1,Database!$A$1:$AS$1,0),FALSE))</f>
        <v/>
      </c>
      <c r="Q330" s="77">
        <f>(((Table134567891011121314151617343[[#This Row],[JPN]]-VLOOKUP($U$1,A:Q,16,))/VLOOKUP($U$1,A:Q,16,))*100)+100</f>
        <v/>
      </c>
    </row>
    <row r="331" customFormat="1" s="87">
      <c r="A331" s="21" t="n">
        <v>42887</v>
      </c>
      <c r="B331" s="77">
        <f>IF(VLOOKUP(A331,Database!$A:$AS,MATCH($B$1,Database!$A$1:$AS$1,0),FALSE)=0,#N/A,VLOOKUP(A331,Database!$A:$AS,MATCH($B$1,Database!$A$1:$AS$1,0),FALSE))</f>
        <v/>
      </c>
      <c r="C331" s="77">
        <f>IF(VLOOKUP(A331,Database!$A:$AS,MATCH($C$1,Database!$A$1:$AS$1,0),FALSE)=0,#N/A,VLOOKUP(A331,Database!$A:$AS,MATCH($C$1,Database!$A$1:$AS$1,0),FALSE))</f>
        <v/>
      </c>
      <c r="D331" s="77">
        <f>IF(VLOOKUP(A331,Database!$A:$AS,MATCH($D$1,Database!$A$1:$AS$1,0),FALSE)=0,#N/A,VLOOKUP(A331,Database!$A:$AS,MATCH($D$1,Database!$A$1:$AS$1,0),FALSE))</f>
        <v/>
      </c>
      <c r="E331" s="77">
        <f>IF(VLOOKUP(A331,Database!$A:$AS,MATCH($E$1,Database!$A$1:$AS$1,0),FALSE)=0,#N/A,VLOOKUP(A331,Database!$A:$AS,MATCH($E$1,Database!$A$1:$AS$1,0),FALSE))</f>
        <v/>
      </c>
      <c r="F331" s="77">
        <f>IF(VLOOKUP(A331,Database!$A:$AS,MATCH($F$1,Database!$A$1:$AS$1,0),FALSE)=0,#N/A,VLOOKUP(A331,Database!$A:$AS,MATCH($F$1,Database!$A$1:$AS$1,0),FALSE))</f>
        <v/>
      </c>
      <c r="G331" s="77">
        <f>IF(VLOOKUP(A331,Database!$A:$AS,MATCH($G$1,Database!$A$1:$AS$1,0),FALSE)=0,#N/A,VLOOKUP(A331,Database!$A:$AS,MATCH($G$1,Database!$A$1:$AS$1,0),FALSE))</f>
        <v/>
      </c>
      <c r="H331" s="77">
        <f>(((Table134567891011121314151617343[[#This Row],[ITA]]-VLOOKUP($U$1,A:B,2,))/VLOOKUP($U$1,A:B,2,))*100)+100</f>
        <v/>
      </c>
      <c r="I331" s="77">
        <f>(((Table134567891011121314151617343[[#This Row],[FRA]]-VLOOKUP($U$1,A:C,3,))/VLOOKUP($U$1,A:C,3,))*100)+100</f>
        <v/>
      </c>
      <c r="J331" s="77">
        <f>(((Table134567891011121314151617343[[#This Row],[DEU]]-VLOOKUP($U$1,A:D,4,))/VLOOKUP($U$1,A:D,4,))*100)+100</f>
        <v/>
      </c>
      <c r="K331" s="77">
        <f>(((Table134567891011121314151617343[[#This Row],[ESP]]-VLOOKUP($U$1,A:E,5,))/VLOOKUP($U$1,A:E,5,))*100)+100</f>
        <v/>
      </c>
      <c r="L331" s="77">
        <f>(((Table134567891011121314151617343[[#This Row],[EA19]]-VLOOKUP($U$1,A:F,6,))/VLOOKUP($U$1,A:F,6,))*100)+100</f>
        <v/>
      </c>
      <c r="M331" s="77">
        <f>(((Table134567891011121314151617343[[#This Row],[GBR]]-VLOOKUP($U$1,A:G,7,))/VLOOKUP($U$1,A:G,7,))*100)+100</f>
        <v/>
      </c>
      <c r="N331" s="77">
        <f>IF(VLOOKUP(A331,Database!$A:$AU,MATCH($N$1,Database!$A$1:$AU$1,0),FALSE)=0,#N/A,VLOOKUP(A331,Database!$A:$AU,MATCH($N$1,Database!$A$1:$AU$1,0),FALSE))</f>
        <v/>
      </c>
      <c r="O331" s="77">
        <f>(((Table134567891011121314151617343[[#This Row],[USA]]-VLOOKUP($U$1,A:N,14,))/VLOOKUP($U$1,A:N,14,))*100)+100</f>
        <v/>
      </c>
      <c r="P331" s="77">
        <f>IF(VLOOKUP(A331,Database!$A:$AS,MATCH($P$1,Database!$A$1:$AS$1,0),FALSE)=0,#N/A,VLOOKUP(A331,Database!$A:$AS,MATCH($P$1,Database!$A$1:$AS$1,0),FALSE))</f>
        <v/>
      </c>
      <c r="Q331" s="77">
        <f>(((Table134567891011121314151617343[[#This Row],[JPN]]-VLOOKUP($U$1,A:Q,16,))/VLOOKUP($U$1,A:Q,16,))*100)+100</f>
        <v/>
      </c>
    </row>
    <row r="332" customFormat="1" s="87">
      <c r="A332" s="21" t="n">
        <v>42917</v>
      </c>
      <c r="B332" s="77">
        <f>IF(VLOOKUP(A332,Database!$A:$AS,MATCH($B$1,Database!$A$1:$AS$1,0),FALSE)=0,#N/A,VLOOKUP(A332,Database!$A:$AS,MATCH($B$1,Database!$A$1:$AS$1,0),FALSE))</f>
        <v/>
      </c>
      <c r="C332" s="77">
        <f>IF(VLOOKUP(A332,Database!$A:$AS,MATCH($C$1,Database!$A$1:$AS$1,0),FALSE)=0,#N/A,VLOOKUP(A332,Database!$A:$AS,MATCH($C$1,Database!$A$1:$AS$1,0),FALSE))</f>
        <v/>
      </c>
      <c r="D332" s="77">
        <f>IF(VLOOKUP(A332,Database!$A:$AS,MATCH($D$1,Database!$A$1:$AS$1,0),FALSE)=0,#N/A,VLOOKUP(A332,Database!$A:$AS,MATCH($D$1,Database!$A$1:$AS$1,0),FALSE))</f>
        <v/>
      </c>
      <c r="E332" s="77">
        <f>IF(VLOOKUP(A332,Database!$A:$AS,MATCH($E$1,Database!$A$1:$AS$1,0),FALSE)=0,#N/A,VLOOKUP(A332,Database!$A:$AS,MATCH($E$1,Database!$A$1:$AS$1,0),FALSE))</f>
        <v/>
      </c>
      <c r="F332" s="77">
        <f>IF(VLOOKUP(A332,Database!$A:$AS,MATCH($F$1,Database!$A$1:$AS$1,0),FALSE)=0,#N/A,VLOOKUP(A332,Database!$A:$AS,MATCH($F$1,Database!$A$1:$AS$1,0),FALSE))</f>
        <v/>
      </c>
      <c r="G332" s="77">
        <f>IF(VLOOKUP(A332,Database!$A:$AS,MATCH($G$1,Database!$A$1:$AS$1,0),FALSE)=0,#N/A,VLOOKUP(A332,Database!$A:$AS,MATCH($G$1,Database!$A$1:$AS$1,0),FALSE))</f>
        <v/>
      </c>
      <c r="H332" s="77">
        <f>(((Table134567891011121314151617343[[#This Row],[ITA]]-VLOOKUP($U$1,A:B,2,))/VLOOKUP($U$1,A:B,2,))*100)+100</f>
        <v/>
      </c>
      <c r="I332" s="77">
        <f>(((Table134567891011121314151617343[[#This Row],[FRA]]-VLOOKUP($U$1,A:C,3,))/VLOOKUP($U$1,A:C,3,))*100)+100</f>
        <v/>
      </c>
      <c r="J332" s="77">
        <f>(((Table134567891011121314151617343[[#This Row],[DEU]]-VLOOKUP($U$1,A:D,4,))/VLOOKUP($U$1,A:D,4,))*100)+100</f>
        <v/>
      </c>
      <c r="K332" s="77">
        <f>(((Table134567891011121314151617343[[#This Row],[ESP]]-VLOOKUP($U$1,A:E,5,))/VLOOKUP($U$1,A:E,5,))*100)+100</f>
        <v/>
      </c>
      <c r="L332" s="77">
        <f>(((Table134567891011121314151617343[[#This Row],[EA19]]-VLOOKUP($U$1,A:F,6,))/VLOOKUP($U$1,A:F,6,))*100)+100</f>
        <v/>
      </c>
      <c r="M332" s="77">
        <f>(((Table134567891011121314151617343[[#This Row],[GBR]]-VLOOKUP($U$1,A:G,7,))/VLOOKUP($U$1,A:G,7,))*100)+100</f>
        <v/>
      </c>
      <c r="N332" s="77">
        <f>IF(VLOOKUP(A332,Database!$A:$AU,MATCH($N$1,Database!$A$1:$AU$1,0),FALSE)=0,#N/A,VLOOKUP(A332,Database!$A:$AU,MATCH($N$1,Database!$A$1:$AU$1,0),FALSE))</f>
        <v/>
      </c>
      <c r="O332" s="77">
        <f>(((Table134567891011121314151617343[[#This Row],[USA]]-VLOOKUP($U$1,A:N,14,))/VLOOKUP($U$1,A:N,14,))*100)+100</f>
        <v/>
      </c>
      <c r="P332" s="77">
        <f>IF(VLOOKUP(A332,Database!$A:$AS,MATCH($P$1,Database!$A$1:$AS$1,0),FALSE)=0,#N/A,VLOOKUP(A332,Database!$A:$AS,MATCH($P$1,Database!$A$1:$AS$1,0),FALSE))</f>
        <v/>
      </c>
      <c r="Q332" s="77">
        <f>(((Table134567891011121314151617343[[#This Row],[JPN]]-VLOOKUP($U$1,A:Q,16,))/VLOOKUP($U$1,A:Q,16,))*100)+100</f>
        <v/>
      </c>
    </row>
    <row r="333" customFormat="1" s="87">
      <c r="A333" s="21" t="n">
        <v>42948</v>
      </c>
      <c r="B333" s="77">
        <f>IF(VLOOKUP(A333,Database!$A:$AS,MATCH($B$1,Database!$A$1:$AS$1,0),FALSE)=0,#N/A,VLOOKUP(A333,Database!$A:$AS,MATCH($B$1,Database!$A$1:$AS$1,0),FALSE))</f>
        <v/>
      </c>
      <c r="C333" s="77">
        <f>IF(VLOOKUP(A333,Database!$A:$AS,MATCH($C$1,Database!$A$1:$AS$1,0),FALSE)=0,#N/A,VLOOKUP(A333,Database!$A:$AS,MATCH($C$1,Database!$A$1:$AS$1,0),FALSE))</f>
        <v/>
      </c>
      <c r="D333" s="77">
        <f>IF(VLOOKUP(A333,Database!$A:$AS,MATCH($D$1,Database!$A$1:$AS$1,0),FALSE)=0,#N/A,VLOOKUP(A333,Database!$A:$AS,MATCH($D$1,Database!$A$1:$AS$1,0),FALSE))</f>
        <v/>
      </c>
      <c r="E333" s="77">
        <f>IF(VLOOKUP(A333,Database!$A:$AS,MATCH($E$1,Database!$A$1:$AS$1,0),FALSE)=0,#N/A,VLOOKUP(A333,Database!$A:$AS,MATCH($E$1,Database!$A$1:$AS$1,0),FALSE))</f>
        <v/>
      </c>
      <c r="F333" s="77">
        <f>IF(VLOOKUP(A333,Database!$A:$AS,MATCH($F$1,Database!$A$1:$AS$1,0),FALSE)=0,#N/A,VLOOKUP(A333,Database!$A:$AS,MATCH($F$1,Database!$A$1:$AS$1,0),FALSE))</f>
        <v/>
      </c>
      <c r="G333" s="77">
        <f>IF(VLOOKUP(A333,Database!$A:$AS,MATCH($G$1,Database!$A$1:$AS$1,0),FALSE)=0,#N/A,VLOOKUP(A333,Database!$A:$AS,MATCH($G$1,Database!$A$1:$AS$1,0),FALSE))</f>
        <v/>
      </c>
      <c r="H333" s="77">
        <f>(((Table134567891011121314151617343[[#This Row],[ITA]]-VLOOKUP($U$1,A:B,2,))/VLOOKUP($U$1,A:B,2,))*100)+100</f>
        <v/>
      </c>
      <c r="I333" s="77">
        <f>(((Table134567891011121314151617343[[#This Row],[FRA]]-VLOOKUP($U$1,A:C,3,))/VLOOKUP($U$1,A:C,3,))*100)+100</f>
        <v/>
      </c>
      <c r="J333" s="77">
        <f>(((Table134567891011121314151617343[[#This Row],[DEU]]-VLOOKUP($U$1,A:D,4,))/VLOOKUP($U$1,A:D,4,))*100)+100</f>
        <v/>
      </c>
      <c r="K333" s="77">
        <f>(((Table134567891011121314151617343[[#This Row],[ESP]]-VLOOKUP($U$1,A:E,5,))/VLOOKUP($U$1,A:E,5,))*100)+100</f>
        <v/>
      </c>
      <c r="L333" s="77">
        <f>(((Table134567891011121314151617343[[#This Row],[EA19]]-VLOOKUP($U$1,A:F,6,))/VLOOKUP($U$1,A:F,6,))*100)+100</f>
        <v/>
      </c>
      <c r="M333" s="77">
        <f>(((Table134567891011121314151617343[[#This Row],[GBR]]-VLOOKUP($U$1,A:G,7,))/VLOOKUP($U$1,A:G,7,))*100)+100</f>
        <v/>
      </c>
      <c r="N333" s="77">
        <f>IF(VLOOKUP(A333,Database!$A:$AU,MATCH($N$1,Database!$A$1:$AU$1,0),FALSE)=0,#N/A,VLOOKUP(A333,Database!$A:$AU,MATCH($N$1,Database!$A$1:$AU$1,0),FALSE))</f>
        <v/>
      </c>
      <c r="O333" s="77">
        <f>(((Table134567891011121314151617343[[#This Row],[USA]]-VLOOKUP($U$1,A:N,14,))/VLOOKUP($U$1,A:N,14,))*100)+100</f>
        <v/>
      </c>
      <c r="P333" s="77">
        <f>IF(VLOOKUP(A333,Database!$A:$AS,MATCH($P$1,Database!$A$1:$AS$1,0),FALSE)=0,#N/A,VLOOKUP(A333,Database!$A:$AS,MATCH($P$1,Database!$A$1:$AS$1,0),FALSE))</f>
        <v/>
      </c>
      <c r="Q333" s="77">
        <f>(((Table134567891011121314151617343[[#This Row],[JPN]]-VLOOKUP($U$1,A:Q,16,))/VLOOKUP($U$1,A:Q,16,))*100)+100</f>
        <v/>
      </c>
    </row>
    <row r="334" customFormat="1" s="87">
      <c r="A334" s="21" t="n">
        <v>42979</v>
      </c>
      <c r="B334" s="77">
        <f>IF(VLOOKUP(A334,Database!$A:$AS,MATCH($B$1,Database!$A$1:$AS$1,0),FALSE)=0,#N/A,VLOOKUP(A334,Database!$A:$AS,MATCH($B$1,Database!$A$1:$AS$1,0),FALSE))</f>
        <v/>
      </c>
      <c r="C334" s="77">
        <f>IF(VLOOKUP(A334,Database!$A:$AS,MATCH($C$1,Database!$A$1:$AS$1,0),FALSE)=0,#N/A,VLOOKUP(A334,Database!$A:$AS,MATCH($C$1,Database!$A$1:$AS$1,0),FALSE))</f>
        <v/>
      </c>
      <c r="D334" s="77">
        <f>IF(VLOOKUP(A334,Database!$A:$AS,MATCH($D$1,Database!$A$1:$AS$1,0),FALSE)=0,#N/A,VLOOKUP(A334,Database!$A:$AS,MATCH($D$1,Database!$A$1:$AS$1,0),FALSE))</f>
        <v/>
      </c>
      <c r="E334" s="77">
        <f>IF(VLOOKUP(A334,Database!$A:$AS,MATCH($E$1,Database!$A$1:$AS$1,0),FALSE)=0,#N/A,VLOOKUP(A334,Database!$A:$AS,MATCH($E$1,Database!$A$1:$AS$1,0),FALSE))</f>
        <v/>
      </c>
      <c r="F334" s="77">
        <f>IF(VLOOKUP(A334,Database!$A:$AS,MATCH($F$1,Database!$A$1:$AS$1,0),FALSE)=0,#N/A,VLOOKUP(A334,Database!$A:$AS,MATCH($F$1,Database!$A$1:$AS$1,0),FALSE))</f>
        <v/>
      </c>
      <c r="G334" s="77">
        <f>IF(VLOOKUP(A334,Database!$A:$AS,MATCH($G$1,Database!$A$1:$AS$1,0),FALSE)=0,#N/A,VLOOKUP(A334,Database!$A:$AS,MATCH($G$1,Database!$A$1:$AS$1,0),FALSE))</f>
        <v/>
      </c>
      <c r="H334" s="77">
        <f>(((Table134567891011121314151617343[[#This Row],[ITA]]-VLOOKUP($U$1,A:B,2,))/VLOOKUP($U$1,A:B,2,))*100)+100</f>
        <v/>
      </c>
      <c r="I334" s="77">
        <f>(((Table134567891011121314151617343[[#This Row],[FRA]]-VLOOKUP($U$1,A:C,3,))/VLOOKUP($U$1,A:C,3,))*100)+100</f>
        <v/>
      </c>
      <c r="J334" s="77">
        <f>(((Table134567891011121314151617343[[#This Row],[DEU]]-VLOOKUP($U$1,A:D,4,))/VLOOKUP($U$1,A:D,4,))*100)+100</f>
        <v/>
      </c>
      <c r="K334" s="77">
        <f>(((Table134567891011121314151617343[[#This Row],[ESP]]-VLOOKUP($U$1,A:E,5,))/VLOOKUP($U$1,A:E,5,))*100)+100</f>
        <v/>
      </c>
      <c r="L334" s="77">
        <f>(((Table134567891011121314151617343[[#This Row],[EA19]]-VLOOKUP($U$1,A:F,6,))/VLOOKUP($U$1,A:F,6,))*100)+100</f>
        <v/>
      </c>
      <c r="M334" s="77">
        <f>(((Table134567891011121314151617343[[#This Row],[GBR]]-VLOOKUP($U$1,A:G,7,))/VLOOKUP($U$1,A:G,7,))*100)+100</f>
        <v/>
      </c>
      <c r="N334" s="77">
        <f>IF(VLOOKUP(A334,Database!$A:$AU,MATCH($N$1,Database!$A$1:$AU$1,0),FALSE)=0,#N/A,VLOOKUP(A334,Database!$A:$AU,MATCH($N$1,Database!$A$1:$AU$1,0),FALSE))</f>
        <v/>
      </c>
      <c r="O334" s="77">
        <f>(((Table134567891011121314151617343[[#This Row],[USA]]-VLOOKUP($U$1,A:N,14,))/VLOOKUP($U$1,A:N,14,))*100)+100</f>
        <v/>
      </c>
      <c r="P334" s="77">
        <f>IF(VLOOKUP(A334,Database!$A:$AS,MATCH($P$1,Database!$A$1:$AS$1,0),FALSE)=0,#N/A,VLOOKUP(A334,Database!$A:$AS,MATCH($P$1,Database!$A$1:$AS$1,0),FALSE))</f>
        <v/>
      </c>
      <c r="Q334" s="77">
        <f>(((Table134567891011121314151617343[[#This Row],[JPN]]-VLOOKUP($U$1,A:Q,16,))/VLOOKUP($U$1,A:Q,16,))*100)+100</f>
        <v/>
      </c>
    </row>
    <row r="335" customFormat="1" s="87">
      <c r="A335" s="21" t="n">
        <v>43009</v>
      </c>
      <c r="B335" s="77">
        <f>IF(VLOOKUP(A335,Database!$A:$AS,MATCH($B$1,Database!$A$1:$AS$1,0),FALSE)=0,#N/A,VLOOKUP(A335,Database!$A:$AS,MATCH($B$1,Database!$A$1:$AS$1,0),FALSE))</f>
        <v/>
      </c>
      <c r="C335" s="77">
        <f>IF(VLOOKUP(A335,Database!$A:$AS,MATCH($C$1,Database!$A$1:$AS$1,0),FALSE)=0,#N/A,VLOOKUP(A335,Database!$A:$AS,MATCH($C$1,Database!$A$1:$AS$1,0),FALSE))</f>
        <v/>
      </c>
      <c r="D335" s="77">
        <f>IF(VLOOKUP(A335,Database!$A:$AS,MATCH($D$1,Database!$A$1:$AS$1,0),FALSE)=0,#N/A,VLOOKUP(A335,Database!$A:$AS,MATCH($D$1,Database!$A$1:$AS$1,0),FALSE))</f>
        <v/>
      </c>
      <c r="E335" s="77">
        <f>IF(VLOOKUP(A335,Database!$A:$AS,MATCH($E$1,Database!$A$1:$AS$1,0),FALSE)=0,#N/A,VLOOKUP(A335,Database!$A:$AS,MATCH($E$1,Database!$A$1:$AS$1,0),FALSE))</f>
        <v/>
      </c>
      <c r="F335" s="77">
        <f>IF(VLOOKUP(A335,Database!$A:$AS,MATCH($F$1,Database!$A$1:$AS$1,0),FALSE)=0,#N/A,VLOOKUP(A335,Database!$A:$AS,MATCH($F$1,Database!$A$1:$AS$1,0),FALSE))</f>
        <v/>
      </c>
      <c r="G335" s="77">
        <f>IF(VLOOKUP(A335,Database!$A:$AS,MATCH($G$1,Database!$A$1:$AS$1,0),FALSE)=0,#N/A,VLOOKUP(A335,Database!$A:$AS,MATCH($G$1,Database!$A$1:$AS$1,0),FALSE))</f>
        <v/>
      </c>
      <c r="H335" s="77">
        <f>(((Table134567891011121314151617343[[#This Row],[ITA]]-VLOOKUP($U$1,A:B,2,))/VLOOKUP($U$1,A:B,2,))*100)+100</f>
        <v/>
      </c>
      <c r="I335" s="77">
        <f>(((Table134567891011121314151617343[[#This Row],[FRA]]-VLOOKUP($U$1,A:C,3,))/VLOOKUP($U$1,A:C,3,))*100)+100</f>
        <v/>
      </c>
      <c r="J335" s="77">
        <f>(((Table134567891011121314151617343[[#This Row],[DEU]]-VLOOKUP($U$1,A:D,4,))/VLOOKUP($U$1,A:D,4,))*100)+100</f>
        <v/>
      </c>
      <c r="K335" s="77">
        <f>(((Table134567891011121314151617343[[#This Row],[ESP]]-VLOOKUP($U$1,A:E,5,))/VLOOKUP($U$1,A:E,5,))*100)+100</f>
        <v/>
      </c>
      <c r="L335" s="77">
        <f>(((Table134567891011121314151617343[[#This Row],[EA19]]-VLOOKUP($U$1,A:F,6,))/VLOOKUP($U$1,A:F,6,))*100)+100</f>
        <v/>
      </c>
      <c r="M335" s="77">
        <f>(((Table134567891011121314151617343[[#This Row],[GBR]]-VLOOKUP($U$1,A:G,7,))/VLOOKUP($U$1,A:G,7,))*100)+100</f>
        <v/>
      </c>
      <c r="N335" s="77">
        <f>IF(VLOOKUP(A335,Database!$A:$AU,MATCH($N$1,Database!$A$1:$AU$1,0),FALSE)=0,#N/A,VLOOKUP(A335,Database!$A:$AU,MATCH($N$1,Database!$A$1:$AU$1,0),FALSE))</f>
        <v/>
      </c>
      <c r="O335" s="77">
        <f>(((Table134567891011121314151617343[[#This Row],[USA]]-VLOOKUP($U$1,A:N,14,))/VLOOKUP($U$1,A:N,14,))*100)+100</f>
        <v/>
      </c>
      <c r="P335" s="77">
        <f>IF(VLOOKUP(A335,Database!$A:$AS,MATCH($P$1,Database!$A$1:$AS$1,0),FALSE)=0,#N/A,VLOOKUP(A335,Database!$A:$AS,MATCH($P$1,Database!$A$1:$AS$1,0),FALSE))</f>
        <v/>
      </c>
      <c r="Q335" s="77">
        <f>(((Table134567891011121314151617343[[#This Row],[JPN]]-VLOOKUP($U$1,A:Q,16,))/VLOOKUP($U$1,A:Q,16,))*100)+100</f>
        <v/>
      </c>
    </row>
    <row r="336" customFormat="1" s="87">
      <c r="A336" s="21" t="n">
        <v>43040</v>
      </c>
      <c r="B336" s="77">
        <f>IF(VLOOKUP(A336,Database!$A:$AS,MATCH($B$1,Database!$A$1:$AS$1,0),FALSE)=0,#N/A,VLOOKUP(A336,Database!$A:$AS,MATCH($B$1,Database!$A$1:$AS$1,0),FALSE))</f>
        <v/>
      </c>
      <c r="C336" s="77">
        <f>IF(VLOOKUP(A336,Database!$A:$AS,MATCH($C$1,Database!$A$1:$AS$1,0),FALSE)=0,#N/A,VLOOKUP(A336,Database!$A:$AS,MATCH($C$1,Database!$A$1:$AS$1,0),FALSE))</f>
        <v/>
      </c>
      <c r="D336" s="77">
        <f>IF(VLOOKUP(A336,Database!$A:$AS,MATCH($D$1,Database!$A$1:$AS$1,0),FALSE)=0,#N/A,VLOOKUP(A336,Database!$A:$AS,MATCH($D$1,Database!$A$1:$AS$1,0),FALSE))</f>
        <v/>
      </c>
      <c r="E336" s="77">
        <f>IF(VLOOKUP(A336,Database!$A:$AS,MATCH($E$1,Database!$A$1:$AS$1,0),FALSE)=0,#N/A,VLOOKUP(A336,Database!$A:$AS,MATCH($E$1,Database!$A$1:$AS$1,0),FALSE))</f>
        <v/>
      </c>
      <c r="F336" s="77">
        <f>IF(VLOOKUP(A336,Database!$A:$AS,MATCH($F$1,Database!$A$1:$AS$1,0),FALSE)=0,#N/A,VLOOKUP(A336,Database!$A:$AS,MATCH($F$1,Database!$A$1:$AS$1,0),FALSE))</f>
        <v/>
      </c>
      <c r="G336" s="77">
        <f>IF(VLOOKUP(A336,Database!$A:$AS,MATCH($G$1,Database!$A$1:$AS$1,0),FALSE)=0,#N/A,VLOOKUP(A336,Database!$A:$AS,MATCH($G$1,Database!$A$1:$AS$1,0),FALSE))</f>
        <v/>
      </c>
      <c r="H336" s="77">
        <f>(((Table134567891011121314151617343[[#This Row],[ITA]]-VLOOKUP($U$1,A:B,2,))/VLOOKUP($U$1,A:B,2,))*100)+100</f>
        <v/>
      </c>
      <c r="I336" s="77">
        <f>(((Table134567891011121314151617343[[#This Row],[FRA]]-VLOOKUP($U$1,A:C,3,))/VLOOKUP($U$1,A:C,3,))*100)+100</f>
        <v/>
      </c>
      <c r="J336" s="77">
        <f>(((Table134567891011121314151617343[[#This Row],[DEU]]-VLOOKUP($U$1,A:D,4,))/VLOOKUP($U$1,A:D,4,))*100)+100</f>
        <v/>
      </c>
      <c r="K336" s="77">
        <f>(((Table134567891011121314151617343[[#This Row],[ESP]]-VLOOKUP($U$1,A:E,5,))/VLOOKUP($U$1,A:E,5,))*100)+100</f>
        <v/>
      </c>
      <c r="L336" s="77">
        <f>(((Table134567891011121314151617343[[#This Row],[EA19]]-VLOOKUP($U$1,A:F,6,))/VLOOKUP($U$1,A:F,6,))*100)+100</f>
        <v/>
      </c>
      <c r="M336" s="77">
        <f>(((Table134567891011121314151617343[[#This Row],[GBR]]-VLOOKUP($U$1,A:G,7,))/VLOOKUP($U$1,A:G,7,))*100)+100</f>
        <v/>
      </c>
      <c r="N336" s="77">
        <f>IF(VLOOKUP(A336,Database!$A:$AU,MATCH($N$1,Database!$A$1:$AU$1,0),FALSE)=0,#N/A,VLOOKUP(A336,Database!$A:$AU,MATCH($N$1,Database!$A$1:$AU$1,0),FALSE))</f>
        <v/>
      </c>
      <c r="O336" s="77">
        <f>(((Table134567891011121314151617343[[#This Row],[USA]]-VLOOKUP($U$1,A:N,14,))/VLOOKUP($U$1,A:N,14,))*100)+100</f>
        <v/>
      </c>
      <c r="P336" s="77">
        <f>IF(VLOOKUP(A336,Database!$A:$AS,MATCH($P$1,Database!$A$1:$AS$1,0),FALSE)=0,#N/A,VLOOKUP(A336,Database!$A:$AS,MATCH($P$1,Database!$A$1:$AS$1,0),FALSE))</f>
        <v/>
      </c>
      <c r="Q336" s="77">
        <f>(((Table134567891011121314151617343[[#This Row],[JPN]]-VLOOKUP($U$1,A:Q,16,))/VLOOKUP($U$1,A:Q,16,))*100)+100</f>
        <v/>
      </c>
    </row>
    <row r="337" customFormat="1" s="87">
      <c r="A337" s="21" t="n">
        <v>43070</v>
      </c>
      <c r="B337" s="77">
        <f>IF(VLOOKUP(A337,Database!$A:$AS,MATCH($B$1,Database!$A$1:$AS$1,0),FALSE)=0,#N/A,VLOOKUP(A337,Database!$A:$AS,MATCH($B$1,Database!$A$1:$AS$1,0),FALSE))</f>
        <v/>
      </c>
      <c r="C337" s="77">
        <f>IF(VLOOKUP(A337,Database!$A:$AS,MATCH($C$1,Database!$A$1:$AS$1,0),FALSE)=0,#N/A,VLOOKUP(A337,Database!$A:$AS,MATCH($C$1,Database!$A$1:$AS$1,0),FALSE))</f>
        <v/>
      </c>
      <c r="D337" s="77">
        <f>IF(VLOOKUP(A337,Database!$A:$AS,MATCH($D$1,Database!$A$1:$AS$1,0),FALSE)=0,#N/A,VLOOKUP(A337,Database!$A:$AS,MATCH($D$1,Database!$A$1:$AS$1,0),FALSE))</f>
        <v/>
      </c>
      <c r="E337" s="77">
        <f>IF(VLOOKUP(A337,Database!$A:$AS,MATCH($E$1,Database!$A$1:$AS$1,0),FALSE)=0,#N/A,VLOOKUP(A337,Database!$A:$AS,MATCH($E$1,Database!$A$1:$AS$1,0),FALSE))</f>
        <v/>
      </c>
      <c r="F337" s="77">
        <f>IF(VLOOKUP(A337,Database!$A:$AS,MATCH($F$1,Database!$A$1:$AS$1,0),FALSE)=0,#N/A,VLOOKUP(A337,Database!$A:$AS,MATCH($F$1,Database!$A$1:$AS$1,0),FALSE))</f>
        <v/>
      </c>
      <c r="G337" s="77">
        <f>IF(VLOOKUP(A337,Database!$A:$AS,MATCH($G$1,Database!$A$1:$AS$1,0),FALSE)=0,#N/A,VLOOKUP(A337,Database!$A:$AS,MATCH($G$1,Database!$A$1:$AS$1,0),FALSE))</f>
        <v/>
      </c>
      <c r="H337" s="77">
        <f>(((Table134567891011121314151617343[[#This Row],[ITA]]-VLOOKUP($U$1,A:B,2,))/VLOOKUP($U$1,A:B,2,))*100)+100</f>
        <v/>
      </c>
      <c r="I337" s="77">
        <f>(((Table134567891011121314151617343[[#This Row],[FRA]]-VLOOKUP($U$1,A:C,3,))/VLOOKUP($U$1,A:C,3,))*100)+100</f>
        <v/>
      </c>
      <c r="J337" s="77">
        <f>(((Table134567891011121314151617343[[#This Row],[DEU]]-VLOOKUP($U$1,A:D,4,))/VLOOKUP($U$1,A:D,4,))*100)+100</f>
        <v/>
      </c>
      <c r="K337" s="77">
        <f>(((Table134567891011121314151617343[[#This Row],[ESP]]-VLOOKUP($U$1,A:E,5,))/VLOOKUP($U$1,A:E,5,))*100)+100</f>
        <v/>
      </c>
      <c r="L337" s="77">
        <f>(((Table134567891011121314151617343[[#This Row],[EA19]]-VLOOKUP($U$1,A:F,6,))/VLOOKUP($U$1,A:F,6,))*100)+100</f>
        <v/>
      </c>
      <c r="M337" s="77">
        <f>(((Table134567891011121314151617343[[#This Row],[GBR]]-VLOOKUP($U$1,A:G,7,))/VLOOKUP($U$1,A:G,7,))*100)+100</f>
        <v/>
      </c>
      <c r="N337" s="77">
        <f>IF(VLOOKUP(A337,Database!$A:$AU,MATCH($N$1,Database!$A$1:$AU$1,0),FALSE)=0,#N/A,VLOOKUP(A337,Database!$A:$AU,MATCH($N$1,Database!$A$1:$AU$1,0),FALSE))</f>
        <v/>
      </c>
      <c r="O337" s="77">
        <f>(((Table134567891011121314151617343[[#This Row],[USA]]-VLOOKUP($U$1,A:N,14,))/VLOOKUP($U$1,A:N,14,))*100)+100</f>
        <v/>
      </c>
      <c r="P337" s="77">
        <f>IF(VLOOKUP(A337,Database!$A:$AS,MATCH($P$1,Database!$A$1:$AS$1,0),FALSE)=0,#N/A,VLOOKUP(A337,Database!$A:$AS,MATCH($P$1,Database!$A$1:$AS$1,0),FALSE))</f>
        <v/>
      </c>
      <c r="Q337" s="77">
        <f>(((Table134567891011121314151617343[[#This Row],[JPN]]-VLOOKUP($U$1,A:Q,16,))/VLOOKUP($U$1,A:Q,16,))*100)+100</f>
        <v/>
      </c>
    </row>
    <row r="338" customFormat="1" s="87">
      <c r="A338" s="21" t="n">
        <v>43101</v>
      </c>
      <c r="B338" s="77">
        <f>IF(VLOOKUP(A338,Database!$A:$AS,MATCH($B$1,Database!$A$1:$AS$1,0),FALSE)=0,#N/A,VLOOKUP(A338,Database!$A:$AS,MATCH($B$1,Database!$A$1:$AS$1,0),FALSE))</f>
        <v/>
      </c>
      <c r="C338" s="77">
        <f>IF(VLOOKUP(A338,Database!$A:$AS,MATCH($C$1,Database!$A$1:$AS$1,0),FALSE)=0,#N/A,VLOOKUP(A338,Database!$A:$AS,MATCH($C$1,Database!$A$1:$AS$1,0),FALSE))</f>
        <v/>
      </c>
      <c r="D338" s="77">
        <f>IF(VLOOKUP(A338,Database!$A:$AS,MATCH($D$1,Database!$A$1:$AS$1,0),FALSE)=0,#N/A,VLOOKUP(A338,Database!$A:$AS,MATCH($D$1,Database!$A$1:$AS$1,0),FALSE))</f>
        <v/>
      </c>
      <c r="E338" s="77">
        <f>IF(VLOOKUP(A338,Database!$A:$AS,MATCH($E$1,Database!$A$1:$AS$1,0),FALSE)=0,#N/A,VLOOKUP(A338,Database!$A:$AS,MATCH($E$1,Database!$A$1:$AS$1,0),FALSE))</f>
        <v/>
      </c>
      <c r="F338" s="77">
        <f>IF(VLOOKUP(A338,Database!$A:$AS,MATCH($F$1,Database!$A$1:$AS$1,0),FALSE)=0,#N/A,VLOOKUP(A338,Database!$A:$AS,MATCH($F$1,Database!$A$1:$AS$1,0),FALSE))</f>
        <v/>
      </c>
      <c r="G338" s="77">
        <f>IF(VLOOKUP(A338,Database!$A:$AS,MATCH($G$1,Database!$A$1:$AS$1,0),FALSE)=0,#N/A,VLOOKUP(A338,Database!$A:$AS,MATCH($G$1,Database!$A$1:$AS$1,0),FALSE))</f>
        <v/>
      </c>
      <c r="H338" s="77">
        <f>(((Table134567891011121314151617343[[#This Row],[ITA]]-VLOOKUP($U$1,A:B,2,))/VLOOKUP($U$1,A:B,2,))*100)+100</f>
        <v/>
      </c>
      <c r="I338" s="77">
        <f>(((Table134567891011121314151617343[[#This Row],[FRA]]-VLOOKUP($U$1,A:C,3,))/VLOOKUP($U$1,A:C,3,))*100)+100</f>
        <v/>
      </c>
      <c r="J338" s="77">
        <f>(((Table134567891011121314151617343[[#This Row],[DEU]]-VLOOKUP($U$1,A:D,4,))/VLOOKUP($U$1,A:D,4,))*100)+100</f>
        <v/>
      </c>
      <c r="K338" s="77">
        <f>(((Table134567891011121314151617343[[#This Row],[ESP]]-VLOOKUP($U$1,A:E,5,))/VLOOKUP($U$1,A:E,5,))*100)+100</f>
        <v/>
      </c>
      <c r="L338" s="77">
        <f>(((Table134567891011121314151617343[[#This Row],[EA19]]-VLOOKUP($U$1,A:F,6,))/VLOOKUP($U$1,A:F,6,))*100)+100</f>
        <v/>
      </c>
      <c r="M338" s="77">
        <f>(((Table134567891011121314151617343[[#This Row],[GBR]]-VLOOKUP($U$1,A:G,7,))/VLOOKUP($U$1,A:G,7,))*100)+100</f>
        <v/>
      </c>
      <c r="N338" s="77">
        <f>IF(VLOOKUP(A338,Database!$A:$AU,MATCH($N$1,Database!$A$1:$AU$1,0),FALSE)=0,#N/A,VLOOKUP(A338,Database!$A:$AU,MATCH($N$1,Database!$A$1:$AU$1,0),FALSE))</f>
        <v/>
      </c>
      <c r="O338" s="77">
        <f>(((Table134567891011121314151617343[[#This Row],[USA]]-VLOOKUP($U$1,A:N,14,))/VLOOKUP($U$1,A:N,14,))*100)+100</f>
        <v/>
      </c>
      <c r="P338" s="77">
        <f>IF(VLOOKUP(A338,Database!$A:$AS,MATCH($P$1,Database!$A$1:$AS$1,0),FALSE)=0,#N/A,VLOOKUP(A338,Database!$A:$AS,MATCH($P$1,Database!$A$1:$AS$1,0),FALSE))</f>
        <v/>
      </c>
      <c r="Q338" s="77">
        <f>(((Table134567891011121314151617343[[#This Row],[JPN]]-VLOOKUP($U$1,A:Q,16,))/VLOOKUP($U$1,A:Q,16,))*100)+100</f>
        <v/>
      </c>
    </row>
    <row r="339" customFormat="1" s="87">
      <c r="A339" s="21" t="n">
        <v>43132</v>
      </c>
      <c r="B339" s="77">
        <f>IF(VLOOKUP(A339,Database!$A:$AS,MATCH($B$1,Database!$A$1:$AS$1,0),FALSE)=0,#N/A,VLOOKUP(A339,Database!$A:$AS,MATCH($B$1,Database!$A$1:$AS$1,0),FALSE))</f>
        <v/>
      </c>
      <c r="C339" s="77">
        <f>IF(VLOOKUP(A339,Database!$A:$AS,MATCH($C$1,Database!$A$1:$AS$1,0),FALSE)=0,#N/A,VLOOKUP(A339,Database!$A:$AS,MATCH($C$1,Database!$A$1:$AS$1,0),FALSE))</f>
        <v/>
      </c>
      <c r="D339" s="77">
        <f>IF(VLOOKUP(A339,Database!$A:$AS,MATCH($D$1,Database!$A$1:$AS$1,0),FALSE)=0,#N/A,VLOOKUP(A339,Database!$A:$AS,MATCH($D$1,Database!$A$1:$AS$1,0),FALSE))</f>
        <v/>
      </c>
      <c r="E339" s="77">
        <f>IF(VLOOKUP(A339,Database!$A:$AS,MATCH($E$1,Database!$A$1:$AS$1,0),FALSE)=0,#N/A,VLOOKUP(A339,Database!$A:$AS,MATCH($E$1,Database!$A$1:$AS$1,0),FALSE))</f>
        <v/>
      </c>
      <c r="F339" s="77">
        <f>IF(VLOOKUP(A339,Database!$A:$AS,MATCH($F$1,Database!$A$1:$AS$1,0),FALSE)=0,#N/A,VLOOKUP(A339,Database!$A:$AS,MATCH($F$1,Database!$A$1:$AS$1,0),FALSE))</f>
        <v/>
      </c>
      <c r="G339" s="77">
        <f>IF(VLOOKUP(A339,Database!$A:$AS,MATCH($G$1,Database!$A$1:$AS$1,0),FALSE)=0,#N/A,VLOOKUP(A339,Database!$A:$AS,MATCH($G$1,Database!$A$1:$AS$1,0),FALSE))</f>
        <v/>
      </c>
      <c r="H339" s="77">
        <f>(((Table134567891011121314151617343[[#This Row],[ITA]]-VLOOKUP($U$1,A:B,2,))/VLOOKUP($U$1,A:B,2,))*100)+100</f>
        <v/>
      </c>
      <c r="I339" s="77">
        <f>(((Table134567891011121314151617343[[#This Row],[FRA]]-VLOOKUP($U$1,A:C,3,))/VLOOKUP($U$1,A:C,3,))*100)+100</f>
        <v/>
      </c>
      <c r="J339" s="77">
        <f>(((Table134567891011121314151617343[[#This Row],[DEU]]-VLOOKUP($U$1,A:D,4,))/VLOOKUP($U$1,A:D,4,))*100)+100</f>
        <v/>
      </c>
      <c r="K339" s="77">
        <f>(((Table134567891011121314151617343[[#This Row],[ESP]]-VLOOKUP($U$1,A:E,5,))/VLOOKUP($U$1,A:E,5,))*100)+100</f>
        <v/>
      </c>
      <c r="L339" s="77">
        <f>(((Table134567891011121314151617343[[#This Row],[EA19]]-VLOOKUP($U$1,A:F,6,))/VLOOKUP($U$1,A:F,6,))*100)+100</f>
        <v/>
      </c>
      <c r="M339" s="77">
        <f>(((Table134567891011121314151617343[[#This Row],[GBR]]-VLOOKUP($U$1,A:G,7,))/VLOOKUP($U$1,A:G,7,))*100)+100</f>
        <v/>
      </c>
      <c r="N339" s="77">
        <f>IF(VLOOKUP(A339,Database!$A:$AU,MATCH($N$1,Database!$A$1:$AU$1,0),FALSE)=0,#N/A,VLOOKUP(A339,Database!$A:$AU,MATCH($N$1,Database!$A$1:$AU$1,0),FALSE))</f>
        <v/>
      </c>
      <c r="O339" s="77">
        <f>(((Table134567891011121314151617343[[#This Row],[USA]]-VLOOKUP($U$1,A:N,14,))/VLOOKUP($U$1,A:N,14,))*100)+100</f>
        <v/>
      </c>
      <c r="P339" s="77">
        <f>IF(VLOOKUP(A339,Database!$A:$AS,MATCH($P$1,Database!$A$1:$AS$1,0),FALSE)=0,#N/A,VLOOKUP(A339,Database!$A:$AS,MATCH($P$1,Database!$A$1:$AS$1,0),FALSE))</f>
        <v/>
      </c>
      <c r="Q339" s="77">
        <f>(((Table134567891011121314151617343[[#This Row],[JPN]]-VLOOKUP($U$1,A:Q,16,))/VLOOKUP($U$1,A:Q,16,))*100)+100</f>
        <v/>
      </c>
    </row>
    <row r="340" customFormat="1" s="87">
      <c r="A340" s="21" t="n">
        <v>43160</v>
      </c>
      <c r="B340" s="77">
        <f>IF(VLOOKUP(A340,Database!$A:$AS,MATCH($B$1,Database!$A$1:$AS$1,0),FALSE)=0,#N/A,VLOOKUP(A340,Database!$A:$AS,MATCH($B$1,Database!$A$1:$AS$1,0),FALSE))</f>
        <v/>
      </c>
      <c r="C340" s="77">
        <f>IF(VLOOKUP(A340,Database!$A:$AS,MATCH($C$1,Database!$A$1:$AS$1,0),FALSE)=0,#N/A,VLOOKUP(A340,Database!$A:$AS,MATCH($C$1,Database!$A$1:$AS$1,0),FALSE))</f>
        <v/>
      </c>
      <c r="D340" s="77">
        <f>IF(VLOOKUP(A340,Database!$A:$AS,MATCH($D$1,Database!$A$1:$AS$1,0),FALSE)=0,#N/A,VLOOKUP(A340,Database!$A:$AS,MATCH($D$1,Database!$A$1:$AS$1,0),FALSE))</f>
        <v/>
      </c>
      <c r="E340" s="77">
        <f>IF(VLOOKUP(A340,Database!$A:$AS,MATCH($E$1,Database!$A$1:$AS$1,0),FALSE)=0,#N/A,VLOOKUP(A340,Database!$A:$AS,MATCH($E$1,Database!$A$1:$AS$1,0),FALSE))</f>
        <v/>
      </c>
      <c r="F340" s="77">
        <f>IF(VLOOKUP(A340,Database!$A:$AS,MATCH($F$1,Database!$A$1:$AS$1,0),FALSE)=0,#N/A,VLOOKUP(A340,Database!$A:$AS,MATCH($F$1,Database!$A$1:$AS$1,0),FALSE))</f>
        <v/>
      </c>
      <c r="G340" s="77">
        <f>IF(VLOOKUP(A340,Database!$A:$AS,MATCH($G$1,Database!$A$1:$AS$1,0),FALSE)=0,#N/A,VLOOKUP(A340,Database!$A:$AS,MATCH($G$1,Database!$A$1:$AS$1,0),FALSE))</f>
        <v/>
      </c>
      <c r="H340" s="77">
        <f>(((Table134567891011121314151617343[[#This Row],[ITA]]-VLOOKUP($U$1,A:B,2,))/VLOOKUP($U$1,A:B,2,))*100)+100</f>
        <v/>
      </c>
      <c r="I340" s="77">
        <f>(((Table134567891011121314151617343[[#This Row],[FRA]]-VLOOKUP($U$1,A:C,3,))/VLOOKUP($U$1,A:C,3,))*100)+100</f>
        <v/>
      </c>
      <c r="J340" s="77">
        <f>(((Table134567891011121314151617343[[#This Row],[DEU]]-VLOOKUP($U$1,A:D,4,))/VLOOKUP($U$1,A:D,4,))*100)+100</f>
        <v/>
      </c>
      <c r="K340" s="77">
        <f>(((Table134567891011121314151617343[[#This Row],[ESP]]-VLOOKUP($U$1,A:E,5,))/VLOOKUP($U$1,A:E,5,))*100)+100</f>
        <v/>
      </c>
      <c r="L340" s="77">
        <f>(((Table134567891011121314151617343[[#This Row],[EA19]]-VLOOKUP($U$1,A:F,6,))/VLOOKUP($U$1,A:F,6,))*100)+100</f>
        <v/>
      </c>
      <c r="M340" s="77">
        <f>(((Table134567891011121314151617343[[#This Row],[GBR]]-VLOOKUP($U$1,A:G,7,))/VLOOKUP($U$1,A:G,7,))*100)+100</f>
        <v/>
      </c>
      <c r="N340" s="77">
        <f>IF(VLOOKUP(A340,Database!$A:$AU,MATCH($N$1,Database!$A$1:$AU$1,0),FALSE)=0,#N/A,VLOOKUP(A340,Database!$A:$AU,MATCH($N$1,Database!$A$1:$AU$1,0),FALSE))</f>
        <v/>
      </c>
      <c r="O340" s="77">
        <f>(((Table134567891011121314151617343[[#This Row],[USA]]-VLOOKUP($U$1,A:N,14,))/VLOOKUP($U$1,A:N,14,))*100)+100</f>
        <v/>
      </c>
      <c r="P340" s="77">
        <f>IF(VLOOKUP(A340,Database!$A:$AS,MATCH($P$1,Database!$A$1:$AS$1,0),FALSE)=0,#N/A,VLOOKUP(A340,Database!$A:$AS,MATCH($P$1,Database!$A$1:$AS$1,0),FALSE))</f>
        <v/>
      </c>
      <c r="Q340" s="77">
        <f>(((Table134567891011121314151617343[[#This Row],[JPN]]-VLOOKUP($U$1,A:Q,16,))/VLOOKUP($U$1,A:Q,16,))*100)+100</f>
        <v/>
      </c>
    </row>
    <row r="341" customFormat="1" s="87">
      <c r="A341" s="21" t="n">
        <v>43191</v>
      </c>
      <c r="B341" s="77">
        <f>IF(VLOOKUP(A341,Database!$A:$AS,MATCH($B$1,Database!$A$1:$AS$1,0),FALSE)=0,#N/A,VLOOKUP(A341,Database!$A:$AS,MATCH($B$1,Database!$A$1:$AS$1,0),FALSE))</f>
        <v/>
      </c>
      <c r="C341" s="77">
        <f>IF(VLOOKUP(A341,Database!$A:$AS,MATCH($C$1,Database!$A$1:$AS$1,0),FALSE)=0,#N/A,VLOOKUP(A341,Database!$A:$AS,MATCH($C$1,Database!$A$1:$AS$1,0),FALSE))</f>
        <v/>
      </c>
      <c r="D341" s="77">
        <f>IF(VLOOKUP(A341,Database!$A:$AS,MATCH($D$1,Database!$A$1:$AS$1,0),FALSE)=0,#N/A,VLOOKUP(A341,Database!$A:$AS,MATCH($D$1,Database!$A$1:$AS$1,0),FALSE))</f>
        <v/>
      </c>
      <c r="E341" s="77">
        <f>IF(VLOOKUP(A341,Database!$A:$AS,MATCH($E$1,Database!$A$1:$AS$1,0),FALSE)=0,#N/A,VLOOKUP(A341,Database!$A:$AS,MATCH($E$1,Database!$A$1:$AS$1,0),FALSE))</f>
        <v/>
      </c>
      <c r="F341" s="77">
        <f>IF(VLOOKUP(A341,Database!$A:$AS,MATCH($F$1,Database!$A$1:$AS$1,0),FALSE)=0,#N/A,VLOOKUP(A341,Database!$A:$AS,MATCH($F$1,Database!$A$1:$AS$1,0),FALSE))</f>
        <v/>
      </c>
      <c r="G341" s="77">
        <f>IF(VLOOKUP(A341,Database!$A:$AS,MATCH($G$1,Database!$A$1:$AS$1,0),FALSE)=0,#N/A,VLOOKUP(A341,Database!$A:$AS,MATCH($G$1,Database!$A$1:$AS$1,0),FALSE))</f>
        <v/>
      </c>
      <c r="H341" s="77">
        <f>(((Table134567891011121314151617343[[#This Row],[ITA]]-VLOOKUP($U$1,A:B,2,))/VLOOKUP($U$1,A:B,2,))*100)+100</f>
        <v/>
      </c>
      <c r="I341" s="77">
        <f>(((Table134567891011121314151617343[[#This Row],[FRA]]-VLOOKUP($U$1,A:C,3,))/VLOOKUP($U$1,A:C,3,))*100)+100</f>
        <v/>
      </c>
      <c r="J341" s="77">
        <f>(((Table134567891011121314151617343[[#This Row],[DEU]]-VLOOKUP($U$1,A:D,4,))/VLOOKUP($U$1,A:D,4,))*100)+100</f>
        <v/>
      </c>
      <c r="K341" s="77">
        <f>(((Table134567891011121314151617343[[#This Row],[ESP]]-VLOOKUP($U$1,A:E,5,))/VLOOKUP($U$1,A:E,5,))*100)+100</f>
        <v/>
      </c>
      <c r="L341" s="77">
        <f>(((Table134567891011121314151617343[[#This Row],[EA19]]-VLOOKUP($U$1,A:F,6,))/VLOOKUP($U$1,A:F,6,))*100)+100</f>
        <v/>
      </c>
      <c r="M341" s="77">
        <f>(((Table134567891011121314151617343[[#This Row],[GBR]]-VLOOKUP($U$1,A:G,7,))/VLOOKUP($U$1,A:G,7,))*100)+100</f>
        <v/>
      </c>
      <c r="N341" s="77">
        <f>IF(VLOOKUP(A341,Database!$A:$AU,MATCH($N$1,Database!$A$1:$AU$1,0),FALSE)=0,#N/A,VLOOKUP(A341,Database!$A:$AU,MATCH($N$1,Database!$A$1:$AU$1,0),FALSE))</f>
        <v/>
      </c>
      <c r="O341" s="77">
        <f>(((Table134567891011121314151617343[[#This Row],[USA]]-VLOOKUP($U$1,A:N,14,))/VLOOKUP($U$1,A:N,14,))*100)+100</f>
        <v/>
      </c>
      <c r="P341" s="77">
        <f>IF(VLOOKUP(A341,Database!$A:$AS,MATCH($P$1,Database!$A$1:$AS$1,0),FALSE)=0,#N/A,VLOOKUP(A341,Database!$A:$AS,MATCH($P$1,Database!$A$1:$AS$1,0),FALSE))</f>
        <v/>
      </c>
      <c r="Q341" s="77">
        <f>(((Table134567891011121314151617343[[#This Row],[JPN]]-VLOOKUP($U$1,A:Q,16,))/VLOOKUP($U$1,A:Q,16,))*100)+100</f>
        <v/>
      </c>
    </row>
    <row r="342" customFormat="1" s="87">
      <c r="A342" s="21" t="n">
        <v>43221</v>
      </c>
      <c r="B342" s="77">
        <f>IF(VLOOKUP(A342,Database!$A:$AS,MATCH($B$1,Database!$A$1:$AS$1,0),FALSE)=0,#N/A,VLOOKUP(A342,Database!$A:$AS,MATCH($B$1,Database!$A$1:$AS$1,0),FALSE))</f>
        <v/>
      </c>
      <c r="C342" s="77">
        <f>IF(VLOOKUP(A342,Database!$A:$AS,MATCH($C$1,Database!$A$1:$AS$1,0),FALSE)=0,#N/A,VLOOKUP(A342,Database!$A:$AS,MATCH($C$1,Database!$A$1:$AS$1,0),FALSE))</f>
        <v/>
      </c>
      <c r="D342" s="77">
        <f>IF(VLOOKUP(A342,Database!$A:$AS,MATCH($D$1,Database!$A$1:$AS$1,0),FALSE)=0,#N/A,VLOOKUP(A342,Database!$A:$AS,MATCH($D$1,Database!$A$1:$AS$1,0),FALSE))</f>
        <v/>
      </c>
      <c r="E342" s="77">
        <f>IF(VLOOKUP(A342,Database!$A:$AS,MATCH($E$1,Database!$A$1:$AS$1,0),FALSE)=0,#N/A,VLOOKUP(A342,Database!$A:$AS,MATCH($E$1,Database!$A$1:$AS$1,0),FALSE))</f>
        <v/>
      </c>
      <c r="F342" s="77">
        <f>IF(VLOOKUP(A342,Database!$A:$AS,MATCH($F$1,Database!$A$1:$AS$1,0),FALSE)=0,#N/A,VLOOKUP(A342,Database!$A:$AS,MATCH($F$1,Database!$A$1:$AS$1,0),FALSE))</f>
        <v/>
      </c>
      <c r="G342" s="77">
        <f>IF(VLOOKUP(A342,Database!$A:$AS,MATCH($G$1,Database!$A$1:$AS$1,0),FALSE)=0,#N/A,VLOOKUP(A342,Database!$A:$AS,MATCH($G$1,Database!$A$1:$AS$1,0),FALSE))</f>
        <v/>
      </c>
      <c r="H342" s="77">
        <f>(((Table134567891011121314151617343[[#This Row],[ITA]]-VLOOKUP($U$1,A:B,2,))/VLOOKUP($U$1,A:B,2,))*100)+100</f>
        <v/>
      </c>
      <c r="I342" s="77">
        <f>(((Table134567891011121314151617343[[#This Row],[FRA]]-VLOOKUP($U$1,A:C,3,))/VLOOKUP($U$1,A:C,3,))*100)+100</f>
        <v/>
      </c>
      <c r="J342" s="77">
        <f>(((Table134567891011121314151617343[[#This Row],[DEU]]-VLOOKUP($U$1,A:D,4,))/VLOOKUP($U$1,A:D,4,))*100)+100</f>
        <v/>
      </c>
      <c r="K342" s="77">
        <f>(((Table134567891011121314151617343[[#This Row],[ESP]]-VLOOKUP($U$1,A:E,5,))/VLOOKUP($U$1,A:E,5,))*100)+100</f>
        <v/>
      </c>
      <c r="L342" s="77">
        <f>(((Table134567891011121314151617343[[#This Row],[EA19]]-VLOOKUP($U$1,A:F,6,))/VLOOKUP($U$1,A:F,6,))*100)+100</f>
        <v/>
      </c>
      <c r="M342" s="77">
        <f>(((Table134567891011121314151617343[[#This Row],[GBR]]-VLOOKUP($U$1,A:G,7,))/VLOOKUP($U$1,A:G,7,))*100)+100</f>
        <v/>
      </c>
      <c r="N342" s="77">
        <f>IF(VLOOKUP(A342,Database!$A:$AU,MATCH($N$1,Database!$A$1:$AU$1,0),FALSE)=0,#N/A,VLOOKUP(A342,Database!$A:$AU,MATCH($N$1,Database!$A$1:$AU$1,0),FALSE))</f>
        <v/>
      </c>
      <c r="O342" s="77">
        <f>(((Table134567891011121314151617343[[#This Row],[USA]]-VLOOKUP($U$1,A:N,14,))/VLOOKUP($U$1,A:N,14,))*100)+100</f>
        <v/>
      </c>
      <c r="P342" s="77">
        <f>IF(VLOOKUP(A342,Database!$A:$AS,MATCH($P$1,Database!$A$1:$AS$1,0),FALSE)=0,#N/A,VLOOKUP(A342,Database!$A:$AS,MATCH($P$1,Database!$A$1:$AS$1,0),FALSE))</f>
        <v/>
      </c>
      <c r="Q342" s="77">
        <f>(((Table134567891011121314151617343[[#This Row],[JPN]]-VLOOKUP($U$1,A:Q,16,))/VLOOKUP($U$1,A:Q,16,))*100)+100</f>
        <v/>
      </c>
    </row>
    <row r="343" customFormat="1" s="87">
      <c r="A343" s="21" t="n">
        <v>43252</v>
      </c>
      <c r="B343" s="77">
        <f>IF(VLOOKUP(A343,Database!$A:$AS,MATCH($B$1,Database!$A$1:$AS$1,0),FALSE)=0,#N/A,VLOOKUP(A343,Database!$A:$AS,MATCH($B$1,Database!$A$1:$AS$1,0),FALSE))</f>
        <v/>
      </c>
      <c r="C343" s="77">
        <f>IF(VLOOKUP(A343,Database!$A:$AS,MATCH($C$1,Database!$A$1:$AS$1,0),FALSE)=0,#N/A,VLOOKUP(A343,Database!$A:$AS,MATCH($C$1,Database!$A$1:$AS$1,0),FALSE))</f>
        <v/>
      </c>
      <c r="D343" s="77">
        <f>IF(VLOOKUP(A343,Database!$A:$AS,MATCH($D$1,Database!$A$1:$AS$1,0),FALSE)=0,#N/A,VLOOKUP(A343,Database!$A:$AS,MATCH($D$1,Database!$A$1:$AS$1,0),FALSE))</f>
        <v/>
      </c>
      <c r="E343" s="77">
        <f>IF(VLOOKUP(A343,Database!$A:$AS,MATCH($E$1,Database!$A$1:$AS$1,0),FALSE)=0,#N/A,VLOOKUP(A343,Database!$A:$AS,MATCH($E$1,Database!$A$1:$AS$1,0),FALSE))</f>
        <v/>
      </c>
      <c r="F343" s="77">
        <f>IF(VLOOKUP(A343,Database!$A:$AS,MATCH($F$1,Database!$A$1:$AS$1,0),FALSE)=0,#N/A,VLOOKUP(A343,Database!$A:$AS,MATCH($F$1,Database!$A$1:$AS$1,0),FALSE))</f>
        <v/>
      </c>
      <c r="G343" s="77">
        <f>IF(VLOOKUP(A343,Database!$A:$AS,MATCH($G$1,Database!$A$1:$AS$1,0),FALSE)=0,#N/A,VLOOKUP(A343,Database!$A:$AS,MATCH($G$1,Database!$A$1:$AS$1,0),FALSE))</f>
        <v/>
      </c>
      <c r="H343" s="77">
        <f>(((Table134567891011121314151617343[[#This Row],[ITA]]-VLOOKUP($U$1,A:B,2,))/VLOOKUP($U$1,A:B,2,))*100)+100</f>
        <v/>
      </c>
      <c r="I343" s="77">
        <f>(((Table134567891011121314151617343[[#This Row],[FRA]]-VLOOKUP($U$1,A:C,3,))/VLOOKUP($U$1,A:C,3,))*100)+100</f>
        <v/>
      </c>
      <c r="J343" s="77">
        <f>(((Table134567891011121314151617343[[#This Row],[DEU]]-VLOOKUP($U$1,A:D,4,))/VLOOKUP($U$1,A:D,4,))*100)+100</f>
        <v/>
      </c>
      <c r="K343" s="77">
        <f>(((Table134567891011121314151617343[[#This Row],[ESP]]-VLOOKUP($U$1,A:E,5,))/VLOOKUP($U$1,A:E,5,))*100)+100</f>
        <v/>
      </c>
      <c r="L343" s="77">
        <f>(((Table134567891011121314151617343[[#This Row],[EA19]]-VLOOKUP($U$1,A:F,6,))/VLOOKUP($U$1,A:F,6,))*100)+100</f>
        <v/>
      </c>
      <c r="M343" s="77">
        <f>(((Table134567891011121314151617343[[#This Row],[GBR]]-VLOOKUP($U$1,A:G,7,))/VLOOKUP($U$1,A:G,7,))*100)+100</f>
        <v/>
      </c>
      <c r="N343" s="77">
        <f>IF(VLOOKUP(A343,Database!$A:$AU,MATCH($N$1,Database!$A$1:$AU$1,0),FALSE)=0,#N/A,VLOOKUP(A343,Database!$A:$AU,MATCH($N$1,Database!$A$1:$AU$1,0),FALSE))</f>
        <v/>
      </c>
      <c r="O343" s="77">
        <f>(((Table134567891011121314151617343[[#This Row],[USA]]-VLOOKUP($U$1,A:N,14,))/VLOOKUP($U$1,A:N,14,))*100)+100</f>
        <v/>
      </c>
      <c r="P343" s="77">
        <f>IF(VLOOKUP(A343,Database!$A:$AS,MATCH($P$1,Database!$A$1:$AS$1,0),FALSE)=0,#N/A,VLOOKUP(A343,Database!$A:$AS,MATCH($P$1,Database!$A$1:$AS$1,0),FALSE))</f>
        <v/>
      </c>
      <c r="Q343" s="77">
        <f>(((Table134567891011121314151617343[[#This Row],[JPN]]-VLOOKUP($U$1,A:Q,16,))/VLOOKUP($U$1,A:Q,16,))*100)+100</f>
        <v/>
      </c>
    </row>
    <row r="344" customFormat="1" s="87">
      <c r="A344" s="21" t="n">
        <v>43282</v>
      </c>
      <c r="B344" s="77">
        <f>IF(VLOOKUP(A344,Database!$A:$AS,MATCH($B$1,Database!$A$1:$AS$1,0),FALSE)=0,#N/A,VLOOKUP(A344,Database!$A:$AS,MATCH($B$1,Database!$A$1:$AS$1,0),FALSE))</f>
        <v/>
      </c>
      <c r="C344" s="77">
        <f>IF(VLOOKUP(A344,Database!$A:$AS,MATCH($C$1,Database!$A$1:$AS$1,0),FALSE)=0,#N/A,VLOOKUP(A344,Database!$A:$AS,MATCH($C$1,Database!$A$1:$AS$1,0),FALSE))</f>
        <v/>
      </c>
      <c r="D344" s="77">
        <f>IF(VLOOKUP(A344,Database!$A:$AS,MATCH($D$1,Database!$A$1:$AS$1,0),FALSE)=0,#N/A,VLOOKUP(A344,Database!$A:$AS,MATCH($D$1,Database!$A$1:$AS$1,0),FALSE))</f>
        <v/>
      </c>
      <c r="E344" s="77">
        <f>IF(VLOOKUP(A344,Database!$A:$AS,MATCH($E$1,Database!$A$1:$AS$1,0),FALSE)=0,#N/A,VLOOKUP(A344,Database!$A:$AS,MATCH($E$1,Database!$A$1:$AS$1,0),FALSE))</f>
        <v/>
      </c>
      <c r="F344" s="77">
        <f>IF(VLOOKUP(A344,Database!$A:$AS,MATCH($F$1,Database!$A$1:$AS$1,0),FALSE)=0,#N/A,VLOOKUP(A344,Database!$A:$AS,MATCH($F$1,Database!$A$1:$AS$1,0),FALSE))</f>
        <v/>
      </c>
      <c r="G344" s="77">
        <f>IF(VLOOKUP(A344,Database!$A:$AS,MATCH($G$1,Database!$A$1:$AS$1,0),FALSE)=0,#N/A,VLOOKUP(A344,Database!$A:$AS,MATCH($G$1,Database!$A$1:$AS$1,0),FALSE))</f>
        <v/>
      </c>
      <c r="H344" s="77">
        <f>(((Table134567891011121314151617343[[#This Row],[ITA]]-VLOOKUP($U$1,A:B,2,))/VLOOKUP($U$1,A:B,2,))*100)+100</f>
        <v/>
      </c>
      <c r="I344" s="77">
        <f>(((Table134567891011121314151617343[[#This Row],[FRA]]-VLOOKUP($U$1,A:C,3,))/VLOOKUP($U$1,A:C,3,))*100)+100</f>
        <v/>
      </c>
      <c r="J344" s="77">
        <f>(((Table134567891011121314151617343[[#This Row],[DEU]]-VLOOKUP($U$1,A:D,4,))/VLOOKUP($U$1,A:D,4,))*100)+100</f>
        <v/>
      </c>
      <c r="K344" s="77">
        <f>(((Table134567891011121314151617343[[#This Row],[ESP]]-VLOOKUP($U$1,A:E,5,))/VLOOKUP($U$1,A:E,5,))*100)+100</f>
        <v/>
      </c>
      <c r="L344" s="77">
        <f>(((Table134567891011121314151617343[[#This Row],[EA19]]-VLOOKUP($U$1,A:F,6,))/VLOOKUP($U$1,A:F,6,))*100)+100</f>
        <v/>
      </c>
      <c r="M344" s="77">
        <f>(((Table134567891011121314151617343[[#This Row],[GBR]]-VLOOKUP($U$1,A:G,7,))/VLOOKUP($U$1,A:G,7,))*100)+100</f>
        <v/>
      </c>
      <c r="N344" s="77">
        <f>IF(VLOOKUP(A344,Database!$A:$AU,MATCH($N$1,Database!$A$1:$AU$1,0),FALSE)=0,#N/A,VLOOKUP(A344,Database!$A:$AU,MATCH($N$1,Database!$A$1:$AU$1,0),FALSE))</f>
        <v/>
      </c>
      <c r="O344" s="77">
        <f>(((Table134567891011121314151617343[[#This Row],[USA]]-VLOOKUP($U$1,A:N,14,))/VLOOKUP($U$1,A:N,14,))*100)+100</f>
        <v/>
      </c>
      <c r="P344" s="77">
        <f>IF(VLOOKUP(A344,Database!$A:$AS,MATCH($P$1,Database!$A$1:$AS$1,0),FALSE)=0,#N/A,VLOOKUP(A344,Database!$A:$AS,MATCH($P$1,Database!$A$1:$AS$1,0),FALSE))</f>
        <v/>
      </c>
      <c r="Q344" s="77">
        <f>(((Table134567891011121314151617343[[#This Row],[JPN]]-VLOOKUP($U$1,A:Q,16,))/VLOOKUP($U$1,A:Q,16,))*100)+100</f>
        <v/>
      </c>
    </row>
    <row r="345" customFormat="1" s="87">
      <c r="A345" s="21" t="n">
        <v>43313</v>
      </c>
      <c r="B345" s="77">
        <f>IF(VLOOKUP(A345,Database!$A:$AS,MATCH($B$1,Database!$A$1:$AS$1,0),FALSE)=0,#N/A,VLOOKUP(A345,Database!$A:$AS,MATCH($B$1,Database!$A$1:$AS$1,0),FALSE))</f>
        <v/>
      </c>
      <c r="C345" s="77">
        <f>IF(VLOOKUP(A345,Database!$A:$AS,MATCH($C$1,Database!$A$1:$AS$1,0),FALSE)=0,#N/A,VLOOKUP(A345,Database!$A:$AS,MATCH($C$1,Database!$A$1:$AS$1,0),FALSE))</f>
        <v/>
      </c>
      <c r="D345" s="77">
        <f>IF(VLOOKUP(A345,Database!$A:$AS,MATCH($D$1,Database!$A$1:$AS$1,0),FALSE)=0,#N/A,VLOOKUP(A345,Database!$A:$AS,MATCH($D$1,Database!$A$1:$AS$1,0),FALSE))</f>
        <v/>
      </c>
      <c r="E345" s="77">
        <f>IF(VLOOKUP(A345,Database!$A:$AS,MATCH($E$1,Database!$A$1:$AS$1,0),FALSE)=0,#N/A,VLOOKUP(A345,Database!$A:$AS,MATCH($E$1,Database!$A$1:$AS$1,0),FALSE))</f>
        <v/>
      </c>
      <c r="F345" s="77">
        <f>IF(VLOOKUP(A345,Database!$A:$AS,MATCH($F$1,Database!$A$1:$AS$1,0),FALSE)=0,#N/A,VLOOKUP(A345,Database!$A:$AS,MATCH($F$1,Database!$A$1:$AS$1,0),FALSE))</f>
        <v/>
      </c>
      <c r="G345" s="77">
        <f>IF(VLOOKUP(A345,Database!$A:$AS,MATCH($G$1,Database!$A$1:$AS$1,0),FALSE)=0,#N/A,VLOOKUP(A345,Database!$A:$AS,MATCH($G$1,Database!$A$1:$AS$1,0),FALSE))</f>
        <v/>
      </c>
      <c r="H345" s="77">
        <f>(((Table134567891011121314151617343[[#This Row],[ITA]]-VLOOKUP($U$1,A:B,2,))/VLOOKUP($U$1,A:B,2,))*100)+100</f>
        <v/>
      </c>
      <c r="I345" s="77">
        <f>(((Table134567891011121314151617343[[#This Row],[FRA]]-VLOOKUP($U$1,A:C,3,))/VLOOKUP($U$1,A:C,3,))*100)+100</f>
        <v/>
      </c>
      <c r="J345" s="77">
        <f>(((Table134567891011121314151617343[[#This Row],[DEU]]-VLOOKUP($U$1,A:D,4,))/VLOOKUP($U$1,A:D,4,))*100)+100</f>
        <v/>
      </c>
      <c r="K345" s="77">
        <f>(((Table134567891011121314151617343[[#This Row],[ESP]]-VLOOKUP($U$1,A:E,5,))/VLOOKUP($U$1,A:E,5,))*100)+100</f>
        <v/>
      </c>
      <c r="L345" s="77">
        <f>(((Table134567891011121314151617343[[#This Row],[EA19]]-VLOOKUP($U$1,A:F,6,))/VLOOKUP($U$1,A:F,6,))*100)+100</f>
        <v/>
      </c>
      <c r="M345" s="77">
        <f>(((Table134567891011121314151617343[[#This Row],[GBR]]-VLOOKUP($U$1,A:G,7,))/VLOOKUP($U$1,A:G,7,))*100)+100</f>
        <v/>
      </c>
      <c r="N345" s="77">
        <f>IF(VLOOKUP(A345,Database!$A:$AU,MATCH($N$1,Database!$A$1:$AU$1,0),FALSE)=0,#N/A,VLOOKUP(A345,Database!$A:$AU,MATCH($N$1,Database!$A$1:$AU$1,0),FALSE))</f>
        <v/>
      </c>
      <c r="O345" s="77">
        <f>(((Table134567891011121314151617343[[#This Row],[USA]]-VLOOKUP($U$1,A:N,14,))/VLOOKUP($U$1,A:N,14,))*100)+100</f>
        <v/>
      </c>
      <c r="P345" s="77">
        <f>IF(VLOOKUP(A345,Database!$A:$AS,MATCH($P$1,Database!$A$1:$AS$1,0),FALSE)=0,#N/A,VLOOKUP(A345,Database!$A:$AS,MATCH($P$1,Database!$A$1:$AS$1,0),FALSE))</f>
        <v/>
      </c>
      <c r="Q345" s="77">
        <f>(((Table134567891011121314151617343[[#This Row],[JPN]]-VLOOKUP($U$1,A:Q,16,))/VLOOKUP($U$1,A:Q,16,))*100)+100</f>
        <v/>
      </c>
    </row>
    <row r="346" customFormat="1" s="87">
      <c r="A346" s="21" t="n">
        <v>43344</v>
      </c>
      <c r="B346" s="77">
        <f>IF(VLOOKUP(A346,Database!$A:$AS,MATCH($B$1,Database!$A$1:$AS$1,0),FALSE)=0,#N/A,VLOOKUP(A346,Database!$A:$AS,MATCH($B$1,Database!$A$1:$AS$1,0),FALSE))</f>
        <v/>
      </c>
      <c r="C346" s="77">
        <f>IF(VLOOKUP(A346,Database!$A:$AS,MATCH($C$1,Database!$A$1:$AS$1,0),FALSE)=0,#N/A,VLOOKUP(A346,Database!$A:$AS,MATCH($C$1,Database!$A$1:$AS$1,0),FALSE))</f>
        <v/>
      </c>
      <c r="D346" s="77">
        <f>IF(VLOOKUP(A346,Database!$A:$AS,MATCH($D$1,Database!$A$1:$AS$1,0),FALSE)=0,#N/A,VLOOKUP(A346,Database!$A:$AS,MATCH($D$1,Database!$A$1:$AS$1,0),FALSE))</f>
        <v/>
      </c>
      <c r="E346" s="77">
        <f>IF(VLOOKUP(A346,Database!$A:$AS,MATCH($E$1,Database!$A$1:$AS$1,0),FALSE)=0,#N/A,VLOOKUP(A346,Database!$A:$AS,MATCH($E$1,Database!$A$1:$AS$1,0),FALSE))</f>
        <v/>
      </c>
      <c r="F346" s="77">
        <f>IF(VLOOKUP(A346,Database!$A:$AS,MATCH($F$1,Database!$A$1:$AS$1,0),FALSE)=0,#N/A,VLOOKUP(A346,Database!$A:$AS,MATCH($F$1,Database!$A$1:$AS$1,0),FALSE))</f>
        <v/>
      </c>
      <c r="G346" s="77">
        <f>IF(VLOOKUP(A346,Database!$A:$AS,MATCH($G$1,Database!$A$1:$AS$1,0),FALSE)=0,#N/A,VLOOKUP(A346,Database!$A:$AS,MATCH($G$1,Database!$A$1:$AS$1,0),FALSE))</f>
        <v/>
      </c>
      <c r="H346" s="77">
        <f>(((Table134567891011121314151617343[[#This Row],[ITA]]-VLOOKUP($U$1,A:B,2,))/VLOOKUP($U$1,A:B,2,))*100)+100</f>
        <v/>
      </c>
      <c r="I346" s="77">
        <f>(((Table134567891011121314151617343[[#This Row],[FRA]]-VLOOKUP($U$1,A:C,3,))/VLOOKUP($U$1,A:C,3,))*100)+100</f>
        <v/>
      </c>
      <c r="J346" s="77">
        <f>(((Table134567891011121314151617343[[#This Row],[DEU]]-VLOOKUP($U$1,A:D,4,))/VLOOKUP($U$1,A:D,4,))*100)+100</f>
        <v/>
      </c>
      <c r="K346" s="77">
        <f>(((Table134567891011121314151617343[[#This Row],[ESP]]-VLOOKUP($U$1,A:E,5,))/VLOOKUP($U$1,A:E,5,))*100)+100</f>
        <v/>
      </c>
      <c r="L346" s="77">
        <f>(((Table134567891011121314151617343[[#This Row],[EA19]]-VLOOKUP($U$1,A:F,6,))/VLOOKUP($U$1,A:F,6,))*100)+100</f>
        <v/>
      </c>
      <c r="M346" s="77">
        <f>(((Table134567891011121314151617343[[#This Row],[GBR]]-VLOOKUP($U$1,A:G,7,))/VLOOKUP($U$1,A:G,7,))*100)+100</f>
        <v/>
      </c>
      <c r="N346" s="77">
        <f>IF(VLOOKUP(A346,Database!$A:$AU,MATCH($N$1,Database!$A$1:$AU$1,0),FALSE)=0,#N/A,VLOOKUP(A346,Database!$A:$AU,MATCH($N$1,Database!$A$1:$AU$1,0),FALSE))</f>
        <v/>
      </c>
      <c r="O346" s="77">
        <f>(((Table134567891011121314151617343[[#This Row],[USA]]-VLOOKUP($U$1,A:N,14,))/VLOOKUP($U$1,A:N,14,))*100)+100</f>
        <v/>
      </c>
      <c r="P346" s="77">
        <f>IF(VLOOKUP(A346,Database!$A:$AS,MATCH($P$1,Database!$A$1:$AS$1,0),FALSE)=0,#N/A,VLOOKUP(A346,Database!$A:$AS,MATCH($P$1,Database!$A$1:$AS$1,0),FALSE))</f>
        <v/>
      </c>
      <c r="Q346" s="77">
        <f>(((Table134567891011121314151617343[[#This Row],[JPN]]-VLOOKUP($U$1,A:Q,16,))/VLOOKUP($U$1,A:Q,16,))*100)+100</f>
        <v/>
      </c>
    </row>
    <row r="347" customFormat="1" s="87">
      <c r="A347" s="21" t="n">
        <v>43374</v>
      </c>
      <c r="B347" s="77">
        <f>IF(VLOOKUP(A347,Database!$A:$AS,MATCH($B$1,Database!$A$1:$AS$1,0),FALSE)=0,#N/A,VLOOKUP(A347,Database!$A:$AS,MATCH($B$1,Database!$A$1:$AS$1,0),FALSE))</f>
        <v/>
      </c>
      <c r="C347" s="77">
        <f>IF(VLOOKUP(A347,Database!$A:$AS,MATCH($C$1,Database!$A$1:$AS$1,0),FALSE)=0,#N/A,VLOOKUP(A347,Database!$A:$AS,MATCH($C$1,Database!$A$1:$AS$1,0),FALSE))</f>
        <v/>
      </c>
      <c r="D347" s="77">
        <f>IF(VLOOKUP(A347,Database!$A:$AS,MATCH($D$1,Database!$A$1:$AS$1,0),FALSE)=0,#N/A,VLOOKUP(A347,Database!$A:$AS,MATCH($D$1,Database!$A$1:$AS$1,0),FALSE))</f>
        <v/>
      </c>
      <c r="E347" s="77">
        <f>IF(VLOOKUP(A347,Database!$A:$AS,MATCH($E$1,Database!$A$1:$AS$1,0),FALSE)=0,#N/A,VLOOKUP(A347,Database!$A:$AS,MATCH($E$1,Database!$A$1:$AS$1,0),FALSE))</f>
        <v/>
      </c>
      <c r="F347" s="77">
        <f>IF(VLOOKUP(A347,Database!$A:$AS,MATCH($F$1,Database!$A$1:$AS$1,0),FALSE)=0,#N/A,VLOOKUP(A347,Database!$A:$AS,MATCH($F$1,Database!$A$1:$AS$1,0),FALSE))</f>
        <v/>
      </c>
      <c r="G347" s="77">
        <f>IF(VLOOKUP(A347,Database!$A:$AS,MATCH($G$1,Database!$A$1:$AS$1,0),FALSE)=0,#N/A,VLOOKUP(A347,Database!$A:$AS,MATCH($G$1,Database!$A$1:$AS$1,0),FALSE))</f>
        <v/>
      </c>
      <c r="H347" s="77">
        <f>(((Table134567891011121314151617343[[#This Row],[ITA]]-VLOOKUP($U$1,A:B,2,))/VLOOKUP($U$1,A:B,2,))*100)+100</f>
        <v/>
      </c>
      <c r="I347" s="77">
        <f>(((Table134567891011121314151617343[[#This Row],[FRA]]-VLOOKUP($U$1,A:C,3,))/VLOOKUP($U$1,A:C,3,))*100)+100</f>
        <v/>
      </c>
      <c r="J347" s="77">
        <f>(((Table134567891011121314151617343[[#This Row],[DEU]]-VLOOKUP($U$1,A:D,4,))/VLOOKUP($U$1,A:D,4,))*100)+100</f>
        <v/>
      </c>
      <c r="K347" s="77">
        <f>(((Table134567891011121314151617343[[#This Row],[ESP]]-VLOOKUP($U$1,A:E,5,))/VLOOKUP($U$1,A:E,5,))*100)+100</f>
        <v/>
      </c>
      <c r="L347" s="77">
        <f>(((Table134567891011121314151617343[[#This Row],[EA19]]-VLOOKUP($U$1,A:F,6,))/VLOOKUP($U$1,A:F,6,))*100)+100</f>
        <v/>
      </c>
      <c r="M347" s="77">
        <f>(((Table134567891011121314151617343[[#This Row],[GBR]]-VLOOKUP($U$1,A:G,7,))/VLOOKUP($U$1,A:G,7,))*100)+100</f>
        <v/>
      </c>
      <c r="N347" s="77">
        <f>IF(VLOOKUP(A347,Database!$A:$AU,MATCH($N$1,Database!$A$1:$AU$1,0),FALSE)=0,#N/A,VLOOKUP(A347,Database!$A:$AU,MATCH($N$1,Database!$A$1:$AU$1,0),FALSE))</f>
        <v/>
      </c>
      <c r="O347" s="77">
        <f>(((Table134567891011121314151617343[[#This Row],[USA]]-VLOOKUP($U$1,A:N,14,))/VLOOKUP($U$1,A:N,14,))*100)+100</f>
        <v/>
      </c>
      <c r="P347" s="77">
        <f>IF(VLOOKUP(A347,Database!$A:$AS,MATCH($P$1,Database!$A$1:$AS$1,0),FALSE)=0,#N/A,VLOOKUP(A347,Database!$A:$AS,MATCH($P$1,Database!$A$1:$AS$1,0),FALSE))</f>
        <v/>
      </c>
      <c r="Q347" s="77">
        <f>(((Table134567891011121314151617343[[#This Row],[JPN]]-VLOOKUP($U$1,A:Q,16,))/VLOOKUP($U$1,A:Q,16,))*100)+100</f>
        <v/>
      </c>
    </row>
    <row r="348" customFormat="1" s="87">
      <c r="A348" s="21" t="n">
        <v>43405</v>
      </c>
      <c r="B348" s="77">
        <f>IF(VLOOKUP(A348,Database!$A:$AS,MATCH($B$1,Database!$A$1:$AS$1,0),FALSE)=0,#N/A,VLOOKUP(A348,Database!$A:$AS,MATCH($B$1,Database!$A$1:$AS$1,0),FALSE))</f>
        <v/>
      </c>
      <c r="C348" s="77">
        <f>IF(VLOOKUP(A348,Database!$A:$AS,MATCH($C$1,Database!$A$1:$AS$1,0),FALSE)=0,#N/A,VLOOKUP(A348,Database!$A:$AS,MATCH($C$1,Database!$A$1:$AS$1,0),FALSE))</f>
        <v/>
      </c>
      <c r="D348" s="77">
        <f>IF(VLOOKUP(A348,Database!$A:$AS,MATCH($D$1,Database!$A$1:$AS$1,0),FALSE)=0,#N/A,VLOOKUP(A348,Database!$A:$AS,MATCH($D$1,Database!$A$1:$AS$1,0),FALSE))</f>
        <v/>
      </c>
      <c r="E348" s="77">
        <f>IF(VLOOKUP(A348,Database!$A:$AS,MATCH($E$1,Database!$A$1:$AS$1,0),FALSE)=0,#N/A,VLOOKUP(A348,Database!$A:$AS,MATCH($E$1,Database!$A$1:$AS$1,0),FALSE))</f>
        <v/>
      </c>
      <c r="F348" s="77">
        <f>IF(VLOOKUP(A348,Database!$A:$AS,MATCH($F$1,Database!$A$1:$AS$1,0),FALSE)=0,#N/A,VLOOKUP(A348,Database!$A:$AS,MATCH($F$1,Database!$A$1:$AS$1,0),FALSE))</f>
        <v/>
      </c>
      <c r="G348" s="77">
        <f>IF(VLOOKUP(A348,Database!$A:$AS,MATCH($G$1,Database!$A$1:$AS$1,0),FALSE)=0,#N/A,VLOOKUP(A348,Database!$A:$AS,MATCH($G$1,Database!$A$1:$AS$1,0),FALSE))</f>
        <v/>
      </c>
      <c r="H348" s="77">
        <f>(((Table134567891011121314151617343[[#This Row],[ITA]]-VLOOKUP($U$1,A:B,2,))/VLOOKUP($U$1,A:B,2,))*100)+100</f>
        <v/>
      </c>
      <c r="I348" s="77">
        <f>(((Table134567891011121314151617343[[#This Row],[FRA]]-VLOOKUP($U$1,A:C,3,))/VLOOKUP($U$1,A:C,3,))*100)+100</f>
        <v/>
      </c>
      <c r="J348" s="77">
        <f>(((Table134567891011121314151617343[[#This Row],[DEU]]-VLOOKUP($U$1,A:D,4,))/VLOOKUP($U$1,A:D,4,))*100)+100</f>
        <v/>
      </c>
      <c r="K348" s="77">
        <f>(((Table134567891011121314151617343[[#This Row],[ESP]]-VLOOKUP($U$1,A:E,5,))/VLOOKUP($U$1,A:E,5,))*100)+100</f>
        <v/>
      </c>
      <c r="L348" s="77">
        <f>(((Table134567891011121314151617343[[#This Row],[EA19]]-VLOOKUP($U$1,A:F,6,))/VLOOKUP($U$1,A:F,6,))*100)+100</f>
        <v/>
      </c>
      <c r="M348" s="77">
        <f>(((Table134567891011121314151617343[[#This Row],[GBR]]-VLOOKUP($U$1,A:G,7,))/VLOOKUP($U$1,A:G,7,))*100)+100</f>
        <v/>
      </c>
      <c r="N348" s="77">
        <f>IF(VLOOKUP(A348,Database!$A:$AU,MATCH($N$1,Database!$A$1:$AU$1,0),FALSE)=0,#N/A,VLOOKUP(A348,Database!$A:$AU,MATCH($N$1,Database!$A$1:$AU$1,0),FALSE))</f>
        <v/>
      </c>
      <c r="O348" s="77">
        <f>(((Table134567891011121314151617343[[#This Row],[USA]]-VLOOKUP($U$1,A:N,14,))/VLOOKUP($U$1,A:N,14,))*100)+100</f>
        <v/>
      </c>
      <c r="P348" s="77">
        <f>IF(VLOOKUP(A348,Database!$A:$AS,MATCH($P$1,Database!$A$1:$AS$1,0),FALSE)=0,#N/A,VLOOKUP(A348,Database!$A:$AS,MATCH($P$1,Database!$A$1:$AS$1,0),FALSE))</f>
        <v/>
      </c>
      <c r="Q348" s="77">
        <f>(((Table134567891011121314151617343[[#This Row],[JPN]]-VLOOKUP($U$1,A:Q,16,))/VLOOKUP($U$1,A:Q,16,))*100)+100</f>
        <v/>
      </c>
    </row>
    <row r="349" customFormat="1" s="87">
      <c r="A349" s="21" t="n">
        <v>43435</v>
      </c>
      <c r="B349" s="77">
        <f>IF(VLOOKUP(A349,Database!$A:$AS,MATCH($B$1,Database!$A$1:$AS$1,0),FALSE)=0,#N/A,VLOOKUP(A349,Database!$A:$AS,MATCH($B$1,Database!$A$1:$AS$1,0),FALSE))</f>
        <v/>
      </c>
      <c r="C349" s="77">
        <f>IF(VLOOKUP(A349,Database!$A:$AS,MATCH($C$1,Database!$A$1:$AS$1,0),FALSE)=0,#N/A,VLOOKUP(A349,Database!$A:$AS,MATCH($C$1,Database!$A$1:$AS$1,0),FALSE))</f>
        <v/>
      </c>
      <c r="D349" s="77">
        <f>IF(VLOOKUP(A349,Database!$A:$AS,MATCH($D$1,Database!$A$1:$AS$1,0),FALSE)=0,#N/A,VLOOKUP(A349,Database!$A:$AS,MATCH($D$1,Database!$A$1:$AS$1,0),FALSE))</f>
        <v/>
      </c>
      <c r="E349" s="77">
        <f>IF(VLOOKUP(A349,Database!$A:$AS,MATCH($E$1,Database!$A$1:$AS$1,0),FALSE)=0,#N/A,VLOOKUP(A349,Database!$A:$AS,MATCH($E$1,Database!$A$1:$AS$1,0),FALSE))</f>
        <v/>
      </c>
      <c r="F349" s="77">
        <f>IF(VLOOKUP(A349,Database!$A:$AS,MATCH($F$1,Database!$A$1:$AS$1,0),FALSE)=0,#N/A,VLOOKUP(A349,Database!$A:$AS,MATCH($F$1,Database!$A$1:$AS$1,0),FALSE))</f>
        <v/>
      </c>
      <c r="G349" s="77">
        <f>IF(VLOOKUP(A349,Database!$A:$AS,MATCH($G$1,Database!$A$1:$AS$1,0),FALSE)=0,#N/A,VLOOKUP(A349,Database!$A:$AS,MATCH($G$1,Database!$A$1:$AS$1,0),FALSE))</f>
        <v/>
      </c>
      <c r="H349" s="77">
        <f>(((Table134567891011121314151617343[[#This Row],[ITA]]-VLOOKUP($U$1,A:B,2,))/VLOOKUP($U$1,A:B,2,))*100)+100</f>
        <v/>
      </c>
      <c r="I349" s="77">
        <f>(((Table134567891011121314151617343[[#This Row],[FRA]]-VLOOKUP($U$1,A:C,3,))/VLOOKUP($U$1,A:C,3,))*100)+100</f>
        <v/>
      </c>
      <c r="J349" s="77">
        <f>(((Table134567891011121314151617343[[#This Row],[DEU]]-VLOOKUP($U$1,A:D,4,))/VLOOKUP($U$1,A:D,4,))*100)+100</f>
        <v/>
      </c>
      <c r="K349" s="77">
        <f>(((Table134567891011121314151617343[[#This Row],[ESP]]-VLOOKUP($U$1,A:E,5,))/VLOOKUP($U$1,A:E,5,))*100)+100</f>
        <v/>
      </c>
      <c r="L349" s="77">
        <f>(((Table134567891011121314151617343[[#This Row],[EA19]]-VLOOKUP($U$1,A:F,6,))/VLOOKUP($U$1,A:F,6,))*100)+100</f>
        <v/>
      </c>
      <c r="M349" s="77">
        <f>(((Table134567891011121314151617343[[#This Row],[GBR]]-VLOOKUP($U$1,A:G,7,))/VLOOKUP($U$1,A:G,7,))*100)+100</f>
        <v/>
      </c>
      <c r="N349" s="77">
        <f>IF(VLOOKUP(A349,Database!$A:$AU,MATCH($N$1,Database!$A$1:$AU$1,0),FALSE)=0,#N/A,VLOOKUP(A349,Database!$A:$AU,MATCH($N$1,Database!$A$1:$AU$1,0),FALSE))</f>
        <v/>
      </c>
      <c r="O349" s="77">
        <f>(((Table134567891011121314151617343[[#This Row],[USA]]-VLOOKUP($U$1,A:N,14,))/VLOOKUP($U$1,A:N,14,))*100)+100</f>
        <v/>
      </c>
      <c r="P349" s="77">
        <f>IF(VLOOKUP(A349,Database!$A:$AS,MATCH($P$1,Database!$A$1:$AS$1,0),FALSE)=0,#N/A,VLOOKUP(A349,Database!$A:$AS,MATCH($P$1,Database!$A$1:$AS$1,0),FALSE))</f>
        <v/>
      </c>
      <c r="Q349" s="77">
        <f>(((Table134567891011121314151617343[[#This Row],[JPN]]-VLOOKUP($U$1,A:Q,16,))/VLOOKUP($U$1,A:Q,16,))*100)+100</f>
        <v/>
      </c>
    </row>
    <row r="350" customFormat="1" s="87">
      <c r="A350" s="21" t="n">
        <v>43466</v>
      </c>
      <c r="B350" s="77">
        <f>IF(VLOOKUP(A350,Database!$A:$AS,MATCH($B$1,Database!$A$1:$AS$1,0),FALSE)=0,#N/A,VLOOKUP(A350,Database!$A:$AS,MATCH($B$1,Database!$A$1:$AS$1,0),FALSE))</f>
        <v/>
      </c>
      <c r="C350" s="77">
        <f>IF(VLOOKUP(A350,Database!$A:$AS,MATCH($C$1,Database!$A$1:$AS$1,0),FALSE)=0,#N/A,VLOOKUP(A350,Database!$A:$AS,MATCH($C$1,Database!$A$1:$AS$1,0),FALSE))</f>
        <v/>
      </c>
      <c r="D350" s="77">
        <f>IF(VLOOKUP(A350,Database!$A:$AS,MATCH($D$1,Database!$A$1:$AS$1,0),FALSE)=0,#N/A,VLOOKUP(A350,Database!$A:$AS,MATCH($D$1,Database!$A$1:$AS$1,0),FALSE))</f>
        <v/>
      </c>
      <c r="E350" s="77">
        <f>IF(VLOOKUP(A350,Database!$A:$AS,MATCH($E$1,Database!$A$1:$AS$1,0),FALSE)=0,#N/A,VLOOKUP(A350,Database!$A:$AS,MATCH($E$1,Database!$A$1:$AS$1,0),FALSE))</f>
        <v/>
      </c>
      <c r="F350" s="77">
        <f>IF(VLOOKUP(A350,Database!$A:$AS,MATCH($F$1,Database!$A$1:$AS$1,0),FALSE)=0,#N/A,VLOOKUP(A350,Database!$A:$AS,MATCH($F$1,Database!$A$1:$AS$1,0),FALSE))</f>
        <v/>
      </c>
      <c r="G350" s="77">
        <f>IF(VLOOKUP(A350,Database!$A:$AS,MATCH($G$1,Database!$A$1:$AS$1,0),FALSE)=0,#N/A,VLOOKUP(A350,Database!$A:$AS,MATCH($G$1,Database!$A$1:$AS$1,0),FALSE))</f>
        <v/>
      </c>
      <c r="H350" s="77">
        <f>(((Table134567891011121314151617343[[#This Row],[ITA]]-VLOOKUP($U$1,A:B,2,))/VLOOKUP($U$1,A:B,2,))*100)+100</f>
        <v/>
      </c>
      <c r="I350" s="77">
        <f>(((Table134567891011121314151617343[[#This Row],[FRA]]-VLOOKUP($U$1,A:C,3,))/VLOOKUP($U$1,A:C,3,))*100)+100</f>
        <v/>
      </c>
      <c r="J350" s="77">
        <f>(((Table134567891011121314151617343[[#This Row],[DEU]]-VLOOKUP($U$1,A:D,4,))/VLOOKUP($U$1,A:D,4,))*100)+100</f>
        <v/>
      </c>
      <c r="K350" s="77">
        <f>(((Table134567891011121314151617343[[#This Row],[ESP]]-VLOOKUP($U$1,A:E,5,))/VLOOKUP($U$1,A:E,5,))*100)+100</f>
        <v/>
      </c>
      <c r="L350" s="77">
        <f>(((Table134567891011121314151617343[[#This Row],[EA19]]-VLOOKUP($U$1,A:F,6,))/VLOOKUP($U$1,A:F,6,))*100)+100</f>
        <v/>
      </c>
      <c r="M350" s="77">
        <f>(((Table134567891011121314151617343[[#This Row],[GBR]]-VLOOKUP($U$1,A:G,7,))/VLOOKUP($U$1,A:G,7,))*100)+100</f>
        <v/>
      </c>
      <c r="N350" s="77">
        <f>IF(VLOOKUP(A350,Database!$A:$AU,MATCH($N$1,Database!$A$1:$AU$1,0),FALSE)=0,#N/A,VLOOKUP(A350,Database!$A:$AU,MATCH($N$1,Database!$A$1:$AU$1,0),FALSE))</f>
        <v/>
      </c>
      <c r="O350" s="77">
        <f>(((Table134567891011121314151617343[[#This Row],[USA]]-VLOOKUP($U$1,A:N,14,))/VLOOKUP($U$1,A:N,14,))*100)+100</f>
        <v/>
      </c>
      <c r="P350" s="77">
        <f>IF(VLOOKUP(A350,Database!$A:$AS,MATCH($P$1,Database!$A$1:$AS$1,0),FALSE)=0,#N/A,VLOOKUP(A350,Database!$A:$AS,MATCH($P$1,Database!$A$1:$AS$1,0),FALSE))</f>
        <v/>
      </c>
      <c r="Q350" s="77">
        <f>(((Table134567891011121314151617343[[#This Row],[JPN]]-VLOOKUP($U$1,A:Q,16,))/VLOOKUP($U$1,A:Q,16,))*100)+100</f>
        <v/>
      </c>
    </row>
    <row r="351" customFormat="1" s="87">
      <c r="A351" s="21" t="n">
        <v>43497</v>
      </c>
      <c r="B351" s="77">
        <f>IF(VLOOKUP(A351,Database!$A:$AS,MATCH($B$1,Database!$A$1:$AS$1,0),FALSE)=0,#N/A,VLOOKUP(A351,Database!$A:$AS,MATCH($B$1,Database!$A$1:$AS$1,0),FALSE))</f>
        <v/>
      </c>
      <c r="C351" s="77">
        <f>IF(VLOOKUP(A351,Database!$A:$AS,MATCH($C$1,Database!$A$1:$AS$1,0),FALSE)=0,#N/A,VLOOKUP(A351,Database!$A:$AS,MATCH($C$1,Database!$A$1:$AS$1,0),FALSE))</f>
        <v/>
      </c>
      <c r="D351" s="77">
        <f>IF(VLOOKUP(A351,Database!$A:$AS,MATCH($D$1,Database!$A$1:$AS$1,0),FALSE)=0,#N/A,VLOOKUP(A351,Database!$A:$AS,MATCH($D$1,Database!$A$1:$AS$1,0),FALSE))</f>
        <v/>
      </c>
      <c r="E351" s="77">
        <f>IF(VLOOKUP(A351,Database!$A:$AS,MATCH($E$1,Database!$A$1:$AS$1,0),FALSE)=0,#N/A,VLOOKUP(A351,Database!$A:$AS,MATCH($E$1,Database!$A$1:$AS$1,0),FALSE))</f>
        <v/>
      </c>
      <c r="F351" s="77">
        <f>IF(VLOOKUP(A351,Database!$A:$AS,MATCH($F$1,Database!$A$1:$AS$1,0),FALSE)=0,#N/A,VLOOKUP(A351,Database!$A:$AS,MATCH($F$1,Database!$A$1:$AS$1,0),FALSE))</f>
        <v/>
      </c>
      <c r="G351" s="77">
        <f>IF(VLOOKUP(A351,Database!$A:$AS,MATCH($G$1,Database!$A$1:$AS$1,0),FALSE)=0,#N/A,VLOOKUP(A351,Database!$A:$AS,MATCH($G$1,Database!$A$1:$AS$1,0),FALSE))</f>
        <v/>
      </c>
      <c r="H351" s="77">
        <f>(((Table134567891011121314151617343[[#This Row],[ITA]]-VLOOKUP($U$1,A:B,2,))/VLOOKUP($U$1,A:B,2,))*100)+100</f>
        <v/>
      </c>
      <c r="I351" s="77">
        <f>(((Table134567891011121314151617343[[#This Row],[FRA]]-VLOOKUP($U$1,A:C,3,))/VLOOKUP($U$1,A:C,3,))*100)+100</f>
        <v/>
      </c>
      <c r="J351" s="77">
        <f>(((Table134567891011121314151617343[[#This Row],[DEU]]-VLOOKUP($U$1,A:D,4,))/VLOOKUP($U$1,A:D,4,))*100)+100</f>
        <v/>
      </c>
      <c r="K351" s="77">
        <f>(((Table134567891011121314151617343[[#This Row],[ESP]]-VLOOKUP($U$1,A:E,5,))/VLOOKUP($U$1,A:E,5,))*100)+100</f>
        <v/>
      </c>
      <c r="L351" s="77">
        <f>(((Table134567891011121314151617343[[#This Row],[EA19]]-VLOOKUP($U$1,A:F,6,))/VLOOKUP($U$1,A:F,6,))*100)+100</f>
        <v/>
      </c>
      <c r="M351" s="77">
        <f>(((Table134567891011121314151617343[[#This Row],[GBR]]-VLOOKUP($U$1,A:G,7,))/VLOOKUP($U$1,A:G,7,))*100)+100</f>
        <v/>
      </c>
      <c r="N351" s="77">
        <f>IF(VLOOKUP(A351,Database!$A:$AU,MATCH($N$1,Database!$A$1:$AU$1,0),FALSE)=0,#N/A,VLOOKUP(A351,Database!$A:$AU,MATCH($N$1,Database!$A$1:$AU$1,0),FALSE))</f>
        <v/>
      </c>
      <c r="O351" s="77">
        <f>(((Table134567891011121314151617343[[#This Row],[USA]]-VLOOKUP($U$1,A:N,14,))/VLOOKUP($U$1,A:N,14,))*100)+100</f>
        <v/>
      </c>
      <c r="P351" s="77">
        <f>IF(VLOOKUP(A351,Database!$A:$AS,MATCH($P$1,Database!$A$1:$AS$1,0),FALSE)=0,#N/A,VLOOKUP(A351,Database!$A:$AS,MATCH($P$1,Database!$A$1:$AS$1,0),FALSE))</f>
        <v/>
      </c>
      <c r="Q351" s="77">
        <f>(((Table134567891011121314151617343[[#This Row],[JPN]]-VLOOKUP($U$1,A:Q,16,))/VLOOKUP($U$1,A:Q,16,))*100)+100</f>
        <v/>
      </c>
    </row>
    <row r="352" customFormat="1" s="87">
      <c r="A352" s="21" t="n">
        <v>43525</v>
      </c>
      <c r="B352" s="77">
        <f>IF(VLOOKUP(A352,Database!$A:$AS,MATCH($B$1,Database!$A$1:$AS$1,0),FALSE)=0,#N/A,VLOOKUP(A352,Database!$A:$AS,MATCH($B$1,Database!$A$1:$AS$1,0),FALSE))</f>
        <v/>
      </c>
      <c r="C352" s="77">
        <f>IF(VLOOKUP(A352,Database!$A:$AS,MATCH($C$1,Database!$A$1:$AS$1,0),FALSE)=0,#N/A,VLOOKUP(A352,Database!$A:$AS,MATCH($C$1,Database!$A$1:$AS$1,0),FALSE))</f>
        <v/>
      </c>
      <c r="D352" s="77">
        <f>IF(VLOOKUP(A352,Database!$A:$AS,MATCH($D$1,Database!$A$1:$AS$1,0),FALSE)=0,#N/A,VLOOKUP(A352,Database!$A:$AS,MATCH($D$1,Database!$A$1:$AS$1,0),FALSE))</f>
        <v/>
      </c>
      <c r="E352" s="77">
        <f>IF(VLOOKUP(A352,Database!$A:$AS,MATCH($E$1,Database!$A$1:$AS$1,0),FALSE)=0,#N/A,VLOOKUP(A352,Database!$A:$AS,MATCH($E$1,Database!$A$1:$AS$1,0),FALSE))</f>
        <v/>
      </c>
      <c r="F352" s="77">
        <f>IF(VLOOKUP(A352,Database!$A:$AS,MATCH($F$1,Database!$A$1:$AS$1,0),FALSE)=0,#N/A,VLOOKUP(A352,Database!$A:$AS,MATCH($F$1,Database!$A$1:$AS$1,0),FALSE))</f>
        <v/>
      </c>
      <c r="G352" s="77">
        <f>IF(VLOOKUP(A352,Database!$A:$AS,MATCH($G$1,Database!$A$1:$AS$1,0),FALSE)=0,#N/A,VLOOKUP(A352,Database!$A:$AS,MATCH($G$1,Database!$A$1:$AS$1,0),FALSE))</f>
        <v/>
      </c>
      <c r="H352" s="77">
        <f>(((Table134567891011121314151617343[[#This Row],[ITA]]-VLOOKUP($U$1,A:B,2,))/VLOOKUP($U$1,A:B,2,))*100)+100</f>
        <v/>
      </c>
      <c r="I352" s="77">
        <f>(((Table134567891011121314151617343[[#This Row],[FRA]]-VLOOKUP($U$1,A:C,3,))/VLOOKUP($U$1,A:C,3,))*100)+100</f>
        <v/>
      </c>
      <c r="J352" s="77">
        <f>(((Table134567891011121314151617343[[#This Row],[DEU]]-VLOOKUP($U$1,A:D,4,))/VLOOKUP($U$1,A:D,4,))*100)+100</f>
        <v/>
      </c>
      <c r="K352" s="77">
        <f>(((Table134567891011121314151617343[[#This Row],[ESP]]-VLOOKUP($U$1,A:E,5,))/VLOOKUP($U$1,A:E,5,))*100)+100</f>
        <v/>
      </c>
      <c r="L352" s="77">
        <f>(((Table134567891011121314151617343[[#This Row],[EA19]]-VLOOKUP($U$1,A:F,6,))/VLOOKUP($U$1,A:F,6,))*100)+100</f>
        <v/>
      </c>
      <c r="M352" s="77">
        <f>(((Table134567891011121314151617343[[#This Row],[GBR]]-VLOOKUP($U$1,A:G,7,))/VLOOKUP($U$1,A:G,7,))*100)+100</f>
        <v/>
      </c>
      <c r="N352" s="77">
        <f>IF(VLOOKUP(A352,Database!$A:$AU,MATCH($N$1,Database!$A$1:$AU$1,0),FALSE)=0,#N/A,VLOOKUP(A352,Database!$A:$AU,MATCH($N$1,Database!$A$1:$AU$1,0),FALSE))</f>
        <v/>
      </c>
      <c r="O352" s="77">
        <f>(((Table134567891011121314151617343[[#This Row],[USA]]-VLOOKUP($U$1,A:N,14,))/VLOOKUP($U$1,A:N,14,))*100)+100</f>
        <v/>
      </c>
      <c r="P352" s="77">
        <f>IF(VLOOKUP(A352,Database!$A:$AS,MATCH($P$1,Database!$A$1:$AS$1,0),FALSE)=0,#N/A,VLOOKUP(A352,Database!$A:$AS,MATCH($P$1,Database!$A$1:$AS$1,0),FALSE))</f>
        <v/>
      </c>
      <c r="Q352" s="77">
        <f>(((Table134567891011121314151617343[[#This Row],[JPN]]-VLOOKUP($U$1,A:Q,16,))/VLOOKUP($U$1,A:Q,16,))*100)+100</f>
        <v/>
      </c>
    </row>
    <row r="353" customFormat="1" s="87">
      <c r="A353" s="21" t="n">
        <v>43556</v>
      </c>
      <c r="B353" s="77">
        <f>IF(VLOOKUP(A353,Database!$A:$AS,MATCH($B$1,Database!$A$1:$AS$1,0),FALSE)=0,#N/A,VLOOKUP(A353,Database!$A:$AS,MATCH($B$1,Database!$A$1:$AS$1,0),FALSE))</f>
        <v/>
      </c>
      <c r="C353" s="77">
        <f>IF(VLOOKUP(A353,Database!$A:$AS,MATCH($C$1,Database!$A$1:$AS$1,0),FALSE)=0,#N/A,VLOOKUP(A353,Database!$A:$AS,MATCH($C$1,Database!$A$1:$AS$1,0),FALSE))</f>
        <v/>
      </c>
      <c r="D353" s="77">
        <f>IF(VLOOKUP(A353,Database!$A:$AS,MATCH($D$1,Database!$A$1:$AS$1,0),FALSE)=0,#N/A,VLOOKUP(A353,Database!$A:$AS,MATCH($D$1,Database!$A$1:$AS$1,0),FALSE))</f>
        <v/>
      </c>
      <c r="E353" s="77">
        <f>IF(VLOOKUP(A353,Database!$A:$AS,MATCH($E$1,Database!$A$1:$AS$1,0),FALSE)=0,#N/A,VLOOKUP(A353,Database!$A:$AS,MATCH($E$1,Database!$A$1:$AS$1,0),FALSE))</f>
        <v/>
      </c>
      <c r="F353" s="77">
        <f>IF(VLOOKUP(A353,Database!$A:$AS,MATCH($F$1,Database!$A$1:$AS$1,0),FALSE)=0,#N/A,VLOOKUP(A353,Database!$A:$AS,MATCH($F$1,Database!$A$1:$AS$1,0),FALSE))</f>
        <v/>
      </c>
      <c r="G353" s="77">
        <f>IF(VLOOKUP(A353,Database!$A:$AS,MATCH($G$1,Database!$A$1:$AS$1,0),FALSE)=0,#N/A,VLOOKUP(A353,Database!$A:$AS,MATCH($G$1,Database!$A$1:$AS$1,0),FALSE))</f>
        <v/>
      </c>
      <c r="H353" s="77">
        <f>(((Table134567891011121314151617343[[#This Row],[ITA]]-VLOOKUP($U$1,A:B,2,))/VLOOKUP($U$1,A:B,2,))*100)+100</f>
        <v/>
      </c>
      <c r="I353" s="77">
        <f>(((Table134567891011121314151617343[[#This Row],[FRA]]-VLOOKUP($U$1,A:C,3,))/VLOOKUP($U$1,A:C,3,))*100)+100</f>
        <v/>
      </c>
      <c r="J353" s="77">
        <f>(((Table134567891011121314151617343[[#This Row],[DEU]]-VLOOKUP($U$1,A:D,4,))/VLOOKUP($U$1,A:D,4,))*100)+100</f>
        <v/>
      </c>
      <c r="K353" s="77">
        <f>(((Table134567891011121314151617343[[#This Row],[ESP]]-VLOOKUP($U$1,A:E,5,))/VLOOKUP($U$1,A:E,5,))*100)+100</f>
        <v/>
      </c>
      <c r="L353" s="77">
        <f>(((Table134567891011121314151617343[[#This Row],[EA19]]-VLOOKUP($U$1,A:F,6,))/VLOOKUP($U$1,A:F,6,))*100)+100</f>
        <v/>
      </c>
      <c r="M353" s="77">
        <f>(((Table134567891011121314151617343[[#This Row],[GBR]]-VLOOKUP($U$1,A:G,7,))/VLOOKUP($U$1,A:G,7,))*100)+100</f>
        <v/>
      </c>
      <c r="N353" s="77">
        <f>IF(VLOOKUP(A353,Database!$A:$AU,MATCH($N$1,Database!$A$1:$AU$1,0),FALSE)=0,#N/A,VLOOKUP(A353,Database!$A:$AU,MATCH($N$1,Database!$A$1:$AU$1,0),FALSE))</f>
        <v/>
      </c>
      <c r="O353" s="77">
        <f>(((Table134567891011121314151617343[[#This Row],[USA]]-VLOOKUP($U$1,A:N,14,))/VLOOKUP($U$1,A:N,14,))*100)+100</f>
        <v/>
      </c>
      <c r="P353" s="77">
        <f>IF(VLOOKUP(A353,Database!$A:$AS,MATCH($P$1,Database!$A$1:$AS$1,0),FALSE)=0,#N/A,VLOOKUP(A353,Database!$A:$AS,MATCH($P$1,Database!$A$1:$AS$1,0),FALSE))</f>
        <v/>
      </c>
      <c r="Q353" s="77">
        <f>(((Table134567891011121314151617343[[#This Row],[JPN]]-VLOOKUP($U$1,A:Q,16,))/VLOOKUP($U$1,A:Q,16,))*100)+100</f>
        <v/>
      </c>
    </row>
    <row r="354" customFormat="1" s="87">
      <c r="A354" s="21" t="n">
        <v>43586</v>
      </c>
      <c r="B354" s="77">
        <f>IF(VLOOKUP(A354,Database!$A:$AS,MATCH($B$1,Database!$A$1:$AS$1,0),FALSE)=0,#N/A,VLOOKUP(A354,Database!$A:$AS,MATCH($B$1,Database!$A$1:$AS$1,0),FALSE))</f>
        <v/>
      </c>
      <c r="C354" s="77">
        <f>IF(VLOOKUP(A354,Database!$A:$AS,MATCH($C$1,Database!$A$1:$AS$1,0),FALSE)=0,#N/A,VLOOKUP(A354,Database!$A:$AS,MATCH($C$1,Database!$A$1:$AS$1,0),FALSE))</f>
        <v/>
      </c>
      <c r="D354" s="77">
        <f>IF(VLOOKUP(A354,Database!$A:$AS,MATCH($D$1,Database!$A$1:$AS$1,0),FALSE)=0,#N/A,VLOOKUP(A354,Database!$A:$AS,MATCH($D$1,Database!$A$1:$AS$1,0),FALSE))</f>
        <v/>
      </c>
      <c r="E354" s="77">
        <f>IF(VLOOKUP(A354,Database!$A:$AS,MATCH($E$1,Database!$A$1:$AS$1,0),FALSE)=0,#N/A,VLOOKUP(A354,Database!$A:$AS,MATCH($E$1,Database!$A$1:$AS$1,0),FALSE))</f>
        <v/>
      </c>
      <c r="F354" s="77">
        <f>IF(VLOOKUP(A354,Database!$A:$AS,MATCH($F$1,Database!$A$1:$AS$1,0),FALSE)=0,#N/A,VLOOKUP(A354,Database!$A:$AS,MATCH($F$1,Database!$A$1:$AS$1,0),FALSE))</f>
        <v/>
      </c>
      <c r="G354" s="77">
        <f>IF(VLOOKUP(A354,Database!$A:$AS,MATCH($G$1,Database!$A$1:$AS$1,0),FALSE)=0,#N/A,VLOOKUP(A354,Database!$A:$AS,MATCH($G$1,Database!$A$1:$AS$1,0),FALSE))</f>
        <v/>
      </c>
      <c r="H354" s="77">
        <f>(((Table134567891011121314151617343[[#This Row],[ITA]]-VLOOKUP($U$1,A:B,2,))/VLOOKUP($U$1,A:B,2,))*100)+100</f>
        <v/>
      </c>
      <c r="I354" s="77">
        <f>(((Table134567891011121314151617343[[#This Row],[FRA]]-VLOOKUP($U$1,A:C,3,))/VLOOKUP($U$1,A:C,3,))*100)+100</f>
        <v/>
      </c>
      <c r="J354" s="77">
        <f>(((Table134567891011121314151617343[[#This Row],[DEU]]-VLOOKUP($U$1,A:D,4,))/VLOOKUP($U$1,A:D,4,))*100)+100</f>
        <v/>
      </c>
      <c r="K354" s="77">
        <f>(((Table134567891011121314151617343[[#This Row],[ESP]]-VLOOKUP($U$1,A:E,5,))/VLOOKUP($U$1,A:E,5,))*100)+100</f>
        <v/>
      </c>
      <c r="L354" s="77">
        <f>(((Table134567891011121314151617343[[#This Row],[EA19]]-VLOOKUP($U$1,A:F,6,))/VLOOKUP($U$1,A:F,6,))*100)+100</f>
        <v/>
      </c>
      <c r="M354" s="77">
        <f>(((Table134567891011121314151617343[[#This Row],[GBR]]-VLOOKUP($U$1,A:G,7,))/VLOOKUP($U$1,A:G,7,))*100)+100</f>
        <v/>
      </c>
      <c r="N354" s="77">
        <f>IF(VLOOKUP(A354,Database!$A:$AU,MATCH($N$1,Database!$A$1:$AU$1,0),FALSE)=0,#N/A,VLOOKUP(A354,Database!$A:$AU,MATCH($N$1,Database!$A$1:$AU$1,0),FALSE))</f>
        <v/>
      </c>
      <c r="O354" s="77">
        <f>(((Table134567891011121314151617343[[#This Row],[USA]]-VLOOKUP($U$1,A:N,14,))/VLOOKUP($U$1,A:N,14,))*100)+100</f>
        <v/>
      </c>
      <c r="P354" s="77">
        <f>IF(VLOOKUP(A354,Database!$A:$AS,MATCH($P$1,Database!$A$1:$AS$1,0),FALSE)=0,#N/A,VLOOKUP(A354,Database!$A:$AS,MATCH($P$1,Database!$A$1:$AS$1,0),FALSE))</f>
        <v/>
      </c>
      <c r="Q354" s="77">
        <f>(((Table134567891011121314151617343[[#This Row],[JPN]]-VLOOKUP($U$1,A:Q,16,))/VLOOKUP($U$1,A:Q,16,))*100)+100</f>
        <v/>
      </c>
    </row>
    <row r="355" customFormat="1" s="87">
      <c r="A355" s="21" t="n">
        <v>43617</v>
      </c>
      <c r="B355" s="77">
        <f>IF(VLOOKUP(A355,Database!$A:$AS,MATCH($B$1,Database!$A$1:$AS$1,0),FALSE)=0,#N/A,VLOOKUP(A355,Database!$A:$AS,MATCH($B$1,Database!$A$1:$AS$1,0),FALSE))</f>
        <v/>
      </c>
      <c r="C355" s="77">
        <f>IF(VLOOKUP(A355,Database!$A:$AS,MATCH($C$1,Database!$A$1:$AS$1,0),FALSE)=0,#N/A,VLOOKUP(A355,Database!$A:$AS,MATCH($C$1,Database!$A$1:$AS$1,0),FALSE))</f>
        <v/>
      </c>
      <c r="D355" s="77">
        <f>IF(VLOOKUP(A355,Database!$A:$AS,MATCH($D$1,Database!$A$1:$AS$1,0),FALSE)=0,#N/A,VLOOKUP(A355,Database!$A:$AS,MATCH($D$1,Database!$A$1:$AS$1,0),FALSE))</f>
        <v/>
      </c>
      <c r="E355" s="77">
        <f>IF(VLOOKUP(A355,Database!$A:$AS,MATCH($E$1,Database!$A$1:$AS$1,0),FALSE)=0,#N/A,VLOOKUP(A355,Database!$A:$AS,MATCH($E$1,Database!$A$1:$AS$1,0),FALSE))</f>
        <v/>
      </c>
      <c r="F355" s="77">
        <f>IF(VLOOKUP(A355,Database!$A:$AS,MATCH($F$1,Database!$A$1:$AS$1,0),FALSE)=0,#N/A,VLOOKUP(A355,Database!$A:$AS,MATCH($F$1,Database!$A$1:$AS$1,0),FALSE))</f>
        <v/>
      </c>
      <c r="G355" s="77">
        <f>IF(VLOOKUP(A355,Database!$A:$AS,MATCH($G$1,Database!$A$1:$AS$1,0),FALSE)=0,#N/A,VLOOKUP(A355,Database!$A:$AS,MATCH($G$1,Database!$A$1:$AS$1,0),FALSE))</f>
        <v/>
      </c>
      <c r="H355" s="77">
        <f>(((Table134567891011121314151617343[[#This Row],[ITA]]-VLOOKUP($U$1,A:B,2,))/VLOOKUP($U$1,A:B,2,))*100)+100</f>
        <v/>
      </c>
      <c r="I355" s="77">
        <f>(((Table134567891011121314151617343[[#This Row],[FRA]]-VLOOKUP($U$1,A:C,3,))/VLOOKUP($U$1,A:C,3,))*100)+100</f>
        <v/>
      </c>
      <c r="J355" s="77">
        <f>(((Table134567891011121314151617343[[#This Row],[DEU]]-VLOOKUP($U$1,A:D,4,))/VLOOKUP($U$1,A:D,4,))*100)+100</f>
        <v/>
      </c>
      <c r="K355" s="77">
        <f>(((Table134567891011121314151617343[[#This Row],[ESP]]-VLOOKUP($U$1,A:E,5,))/VLOOKUP($U$1,A:E,5,))*100)+100</f>
        <v/>
      </c>
      <c r="L355" s="77">
        <f>(((Table134567891011121314151617343[[#This Row],[EA19]]-VLOOKUP($U$1,A:F,6,))/VLOOKUP($U$1,A:F,6,))*100)+100</f>
        <v/>
      </c>
      <c r="M355" s="77">
        <f>(((Table134567891011121314151617343[[#This Row],[GBR]]-VLOOKUP($U$1,A:G,7,))/VLOOKUP($U$1,A:G,7,))*100)+100</f>
        <v/>
      </c>
      <c r="N355" s="77">
        <f>IF(VLOOKUP(A355,Database!$A:$AU,MATCH($N$1,Database!$A$1:$AU$1,0),FALSE)=0,#N/A,VLOOKUP(A355,Database!$A:$AU,MATCH($N$1,Database!$A$1:$AU$1,0),FALSE))</f>
        <v/>
      </c>
      <c r="O355" s="77">
        <f>(((Table134567891011121314151617343[[#This Row],[USA]]-VLOOKUP($U$1,A:N,14,))/VLOOKUP($U$1,A:N,14,))*100)+100</f>
        <v/>
      </c>
      <c r="P355" s="77">
        <f>IF(VLOOKUP(A355,Database!$A:$AS,MATCH($P$1,Database!$A$1:$AS$1,0),FALSE)=0,#N/A,VLOOKUP(A355,Database!$A:$AS,MATCH($P$1,Database!$A$1:$AS$1,0),FALSE))</f>
        <v/>
      </c>
      <c r="Q355" s="77">
        <f>(((Table134567891011121314151617343[[#This Row],[JPN]]-VLOOKUP($U$1,A:Q,16,))/VLOOKUP($U$1,A:Q,16,))*100)+100</f>
        <v/>
      </c>
    </row>
    <row r="356" customFormat="1" s="87">
      <c r="A356" s="21" t="n">
        <v>43647</v>
      </c>
      <c r="B356" s="77">
        <f>IF(VLOOKUP(A356,Database!$A:$AS,MATCH($B$1,Database!$A$1:$AS$1,0),FALSE)=0,#N/A,VLOOKUP(A356,Database!$A:$AS,MATCH($B$1,Database!$A$1:$AS$1,0),FALSE))</f>
        <v/>
      </c>
      <c r="C356" s="77">
        <f>IF(VLOOKUP(A356,Database!$A:$AS,MATCH($C$1,Database!$A$1:$AS$1,0),FALSE)=0,#N/A,VLOOKUP(A356,Database!$A:$AS,MATCH($C$1,Database!$A$1:$AS$1,0),FALSE))</f>
        <v/>
      </c>
      <c r="D356" s="77">
        <f>IF(VLOOKUP(A356,Database!$A:$AS,MATCH($D$1,Database!$A$1:$AS$1,0),FALSE)=0,#N/A,VLOOKUP(A356,Database!$A:$AS,MATCH($D$1,Database!$A$1:$AS$1,0),FALSE))</f>
        <v/>
      </c>
      <c r="E356" s="77">
        <f>IF(VLOOKUP(A356,Database!$A:$AS,MATCH($E$1,Database!$A$1:$AS$1,0),FALSE)=0,#N/A,VLOOKUP(A356,Database!$A:$AS,MATCH($E$1,Database!$A$1:$AS$1,0),FALSE))</f>
        <v/>
      </c>
      <c r="F356" s="77">
        <f>IF(VLOOKUP(A356,Database!$A:$AS,MATCH($F$1,Database!$A$1:$AS$1,0),FALSE)=0,#N/A,VLOOKUP(A356,Database!$A:$AS,MATCH($F$1,Database!$A$1:$AS$1,0),FALSE))</f>
        <v/>
      </c>
      <c r="G356" s="77">
        <f>IF(VLOOKUP(A356,Database!$A:$AS,MATCH($G$1,Database!$A$1:$AS$1,0),FALSE)=0,#N/A,VLOOKUP(A356,Database!$A:$AS,MATCH($G$1,Database!$A$1:$AS$1,0),FALSE))</f>
        <v/>
      </c>
      <c r="H356" s="77">
        <f>(((Table134567891011121314151617343[[#This Row],[ITA]]-VLOOKUP($U$1,A:B,2,))/VLOOKUP($U$1,A:B,2,))*100)+100</f>
        <v/>
      </c>
      <c r="I356" s="77">
        <f>(((Table134567891011121314151617343[[#This Row],[FRA]]-VLOOKUP($U$1,A:C,3,))/VLOOKUP($U$1,A:C,3,))*100)+100</f>
        <v/>
      </c>
      <c r="J356" s="77">
        <f>(((Table134567891011121314151617343[[#This Row],[DEU]]-VLOOKUP($U$1,A:D,4,))/VLOOKUP($U$1,A:D,4,))*100)+100</f>
        <v/>
      </c>
      <c r="K356" s="77">
        <f>(((Table134567891011121314151617343[[#This Row],[ESP]]-VLOOKUP($U$1,A:E,5,))/VLOOKUP($U$1,A:E,5,))*100)+100</f>
        <v/>
      </c>
      <c r="L356" s="77">
        <f>(((Table134567891011121314151617343[[#This Row],[EA19]]-VLOOKUP($U$1,A:F,6,))/VLOOKUP($U$1,A:F,6,))*100)+100</f>
        <v/>
      </c>
      <c r="M356" s="77">
        <f>(((Table134567891011121314151617343[[#This Row],[GBR]]-VLOOKUP($U$1,A:G,7,))/VLOOKUP($U$1,A:G,7,))*100)+100</f>
        <v/>
      </c>
      <c r="N356" s="77">
        <f>IF(VLOOKUP(A356,Database!$A:$AU,MATCH($N$1,Database!$A$1:$AU$1,0),FALSE)=0,#N/A,VLOOKUP(A356,Database!$A:$AU,MATCH($N$1,Database!$A$1:$AU$1,0),FALSE))</f>
        <v/>
      </c>
      <c r="O356" s="77">
        <f>(((Table134567891011121314151617343[[#This Row],[USA]]-VLOOKUP($U$1,A:N,14,))/VLOOKUP($U$1,A:N,14,))*100)+100</f>
        <v/>
      </c>
      <c r="P356" s="77">
        <f>IF(VLOOKUP(A356,Database!$A:$AS,MATCH($P$1,Database!$A$1:$AS$1,0),FALSE)=0,#N/A,VLOOKUP(A356,Database!$A:$AS,MATCH($P$1,Database!$A$1:$AS$1,0),FALSE))</f>
        <v/>
      </c>
      <c r="Q356" s="77">
        <f>(((Table134567891011121314151617343[[#This Row],[JPN]]-VLOOKUP($U$1,A:Q,16,))/VLOOKUP($U$1,A:Q,16,))*100)+100</f>
        <v/>
      </c>
    </row>
    <row r="357" customFormat="1" s="87">
      <c r="A357" s="21" t="n">
        <v>43678</v>
      </c>
      <c r="B357" s="77">
        <f>IF(VLOOKUP(A357,Database!$A:$AS,MATCH($B$1,Database!$A$1:$AS$1,0),FALSE)=0,#N/A,VLOOKUP(A357,Database!$A:$AS,MATCH($B$1,Database!$A$1:$AS$1,0),FALSE))</f>
        <v/>
      </c>
      <c r="C357" s="77">
        <f>IF(VLOOKUP(A357,Database!$A:$AS,MATCH($C$1,Database!$A$1:$AS$1,0),FALSE)=0,#N/A,VLOOKUP(A357,Database!$A:$AS,MATCH($C$1,Database!$A$1:$AS$1,0),FALSE))</f>
        <v/>
      </c>
      <c r="D357" s="77">
        <f>IF(VLOOKUP(A357,Database!$A:$AS,MATCH($D$1,Database!$A$1:$AS$1,0),FALSE)=0,#N/A,VLOOKUP(A357,Database!$A:$AS,MATCH($D$1,Database!$A$1:$AS$1,0),FALSE))</f>
        <v/>
      </c>
      <c r="E357" s="77">
        <f>IF(VLOOKUP(A357,Database!$A:$AS,MATCH($E$1,Database!$A$1:$AS$1,0),FALSE)=0,#N/A,VLOOKUP(A357,Database!$A:$AS,MATCH($E$1,Database!$A$1:$AS$1,0),FALSE))</f>
        <v/>
      </c>
      <c r="F357" s="77">
        <f>IF(VLOOKUP(A357,Database!$A:$AS,MATCH($F$1,Database!$A$1:$AS$1,0),FALSE)=0,#N/A,VLOOKUP(A357,Database!$A:$AS,MATCH($F$1,Database!$A$1:$AS$1,0),FALSE))</f>
        <v/>
      </c>
      <c r="G357" s="77">
        <f>IF(VLOOKUP(A357,Database!$A:$AS,MATCH($G$1,Database!$A$1:$AS$1,0),FALSE)=0,#N/A,VLOOKUP(A357,Database!$A:$AS,MATCH($G$1,Database!$A$1:$AS$1,0),FALSE))</f>
        <v/>
      </c>
      <c r="H357" s="77">
        <f>(((Table134567891011121314151617343[[#This Row],[ITA]]-VLOOKUP($U$1,A:B,2,))/VLOOKUP($U$1,A:B,2,))*100)+100</f>
        <v/>
      </c>
      <c r="I357" s="77">
        <f>(((Table134567891011121314151617343[[#This Row],[FRA]]-VLOOKUP($U$1,A:C,3,))/VLOOKUP($U$1,A:C,3,))*100)+100</f>
        <v/>
      </c>
      <c r="J357" s="77">
        <f>(((Table134567891011121314151617343[[#This Row],[DEU]]-VLOOKUP($U$1,A:D,4,))/VLOOKUP($U$1,A:D,4,))*100)+100</f>
        <v/>
      </c>
      <c r="K357" s="77">
        <f>(((Table134567891011121314151617343[[#This Row],[ESP]]-VLOOKUP($U$1,A:E,5,))/VLOOKUP($U$1,A:E,5,))*100)+100</f>
        <v/>
      </c>
      <c r="L357" s="77">
        <f>(((Table134567891011121314151617343[[#This Row],[EA19]]-VLOOKUP($U$1,A:F,6,))/VLOOKUP($U$1,A:F,6,))*100)+100</f>
        <v/>
      </c>
      <c r="M357" s="77">
        <f>(((Table134567891011121314151617343[[#This Row],[GBR]]-VLOOKUP($U$1,A:G,7,))/VLOOKUP($U$1,A:G,7,))*100)+100</f>
        <v/>
      </c>
      <c r="N357" s="77">
        <f>IF(VLOOKUP(A357,Database!$A:$AU,MATCH($N$1,Database!$A$1:$AU$1,0),FALSE)=0,#N/A,VLOOKUP(A357,Database!$A:$AU,MATCH($N$1,Database!$A$1:$AU$1,0),FALSE))</f>
        <v/>
      </c>
      <c r="O357" s="77">
        <f>(((Table134567891011121314151617343[[#This Row],[USA]]-VLOOKUP($U$1,A:N,14,))/VLOOKUP($U$1,A:N,14,))*100)+100</f>
        <v/>
      </c>
      <c r="P357" s="77">
        <f>IF(VLOOKUP(A357,Database!$A:$AS,MATCH($P$1,Database!$A$1:$AS$1,0),FALSE)=0,#N/A,VLOOKUP(A357,Database!$A:$AS,MATCH($P$1,Database!$A$1:$AS$1,0),FALSE))</f>
        <v/>
      </c>
      <c r="Q357" s="77">
        <f>(((Table134567891011121314151617343[[#This Row],[JPN]]-VLOOKUP($U$1,A:Q,16,))/VLOOKUP($U$1,A:Q,16,))*100)+100</f>
        <v/>
      </c>
    </row>
    <row r="358" customFormat="1" s="87">
      <c r="A358" s="21" t="n">
        <v>43709</v>
      </c>
      <c r="B358" s="77">
        <f>IF(VLOOKUP(A358,Database!$A:$AS,MATCH($B$1,Database!$A$1:$AS$1,0),FALSE)=0,#N/A,VLOOKUP(A358,Database!$A:$AS,MATCH($B$1,Database!$A$1:$AS$1,0),FALSE))</f>
        <v/>
      </c>
      <c r="C358" s="77">
        <f>IF(VLOOKUP(A358,Database!$A:$AS,MATCH($C$1,Database!$A$1:$AS$1,0),FALSE)=0,#N/A,VLOOKUP(A358,Database!$A:$AS,MATCH($C$1,Database!$A$1:$AS$1,0),FALSE))</f>
        <v/>
      </c>
      <c r="D358" s="77">
        <f>IF(VLOOKUP(A358,Database!$A:$AS,MATCH($D$1,Database!$A$1:$AS$1,0),FALSE)=0,#N/A,VLOOKUP(A358,Database!$A:$AS,MATCH($D$1,Database!$A$1:$AS$1,0),FALSE))</f>
        <v/>
      </c>
      <c r="E358" s="77">
        <f>IF(VLOOKUP(A358,Database!$A:$AS,MATCH($E$1,Database!$A$1:$AS$1,0),FALSE)=0,#N/A,VLOOKUP(A358,Database!$A:$AS,MATCH($E$1,Database!$A$1:$AS$1,0),FALSE))</f>
        <v/>
      </c>
      <c r="F358" s="77">
        <f>IF(VLOOKUP(A358,Database!$A:$AS,MATCH($F$1,Database!$A$1:$AS$1,0),FALSE)=0,#N/A,VLOOKUP(A358,Database!$A:$AS,MATCH($F$1,Database!$A$1:$AS$1,0),FALSE))</f>
        <v/>
      </c>
      <c r="G358" s="77">
        <f>IF(VLOOKUP(A358,Database!$A:$AS,MATCH($G$1,Database!$A$1:$AS$1,0),FALSE)=0,#N/A,VLOOKUP(A358,Database!$A:$AS,MATCH($G$1,Database!$A$1:$AS$1,0),FALSE))</f>
        <v/>
      </c>
      <c r="H358" s="77">
        <f>(((Table134567891011121314151617343[[#This Row],[ITA]]-VLOOKUP($U$1,A:B,2,))/VLOOKUP($U$1,A:B,2,))*100)+100</f>
        <v/>
      </c>
      <c r="I358" s="77">
        <f>(((Table134567891011121314151617343[[#This Row],[FRA]]-VLOOKUP($U$1,A:C,3,))/VLOOKUP($U$1,A:C,3,))*100)+100</f>
        <v/>
      </c>
      <c r="J358" s="77">
        <f>(((Table134567891011121314151617343[[#This Row],[DEU]]-VLOOKUP($U$1,A:D,4,))/VLOOKUP($U$1,A:D,4,))*100)+100</f>
        <v/>
      </c>
      <c r="K358" s="77">
        <f>(((Table134567891011121314151617343[[#This Row],[ESP]]-VLOOKUP($U$1,A:E,5,))/VLOOKUP($U$1,A:E,5,))*100)+100</f>
        <v/>
      </c>
      <c r="L358" s="77">
        <f>(((Table134567891011121314151617343[[#This Row],[EA19]]-VLOOKUP($U$1,A:F,6,))/VLOOKUP($U$1,A:F,6,))*100)+100</f>
        <v/>
      </c>
      <c r="M358" s="77">
        <f>(((Table134567891011121314151617343[[#This Row],[GBR]]-VLOOKUP($U$1,A:G,7,))/VLOOKUP($U$1,A:G,7,))*100)+100</f>
        <v/>
      </c>
      <c r="N358" s="77">
        <f>IF(VLOOKUP(A358,Database!$A:$AU,MATCH($N$1,Database!$A$1:$AU$1,0),FALSE)=0,#N/A,VLOOKUP(A358,Database!$A:$AU,MATCH($N$1,Database!$A$1:$AU$1,0),FALSE))</f>
        <v/>
      </c>
      <c r="O358" s="77">
        <f>(((Table134567891011121314151617343[[#This Row],[USA]]-VLOOKUP($U$1,A:N,14,))/VLOOKUP($U$1,A:N,14,))*100)+100</f>
        <v/>
      </c>
      <c r="P358" s="77">
        <f>IF(VLOOKUP(A358,Database!$A:$AS,MATCH($P$1,Database!$A$1:$AS$1,0),FALSE)=0,#N/A,VLOOKUP(A358,Database!$A:$AS,MATCH($P$1,Database!$A$1:$AS$1,0),FALSE))</f>
        <v/>
      </c>
      <c r="Q358" s="77">
        <f>(((Table134567891011121314151617343[[#This Row],[JPN]]-VLOOKUP($U$1,A:Q,16,))/VLOOKUP($U$1,A:Q,16,))*100)+100</f>
        <v/>
      </c>
    </row>
    <row r="359" customFormat="1" s="87">
      <c r="A359" s="21" t="n">
        <v>43739</v>
      </c>
      <c r="B359" s="77">
        <f>IF(VLOOKUP(A359,Database!$A:$AS,MATCH($B$1,Database!$A$1:$AS$1,0),FALSE)=0,#N/A,VLOOKUP(A359,Database!$A:$AS,MATCH($B$1,Database!$A$1:$AS$1,0),FALSE))</f>
        <v/>
      </c>
      <c r="C359" s="77">
        <f>IF(VLOOKUP(A359,Database!$A:$AS,MATCH($C$1,Database!$A$1:$AS$1,0),FALSE)=0,#N/A,VLOOKUP(A359,Database!$A:$AS,MATCH($C$1,Database!$A$1:$AS$1,0),FALSE))</f>
        <v/>
      </c>
      <c r="D359" s="77">
        <f>IF(VLOOKUP(A359,Database!$A:$AS,MATCH($D$1,Database!$A$1:$AS$1,0),FALSE)=0,#N/A,VLOOKUP(A359,Database!$A:$AS,MATCH($D$1,Database!$A$1:$AS$1,0),FALSE))</f>
        <v/>
      </c>
      <c r="E359" s="77">
        <f>IF(VLOOKUP(A359,Database!$A:$AS,MATCH($E$1,Database!$A$1:$AS$1,0),FALSE)=0,#N/A,VLOOKUP(A359,Database!$A:$AS,MATCH($E$1,Database!$A$1:$AS$1,0),FALSE))</f>
        <v/>
      </c>
      <c r="F359" s="77">
        <f>IF(VLOOKUP(A359,Database!$A:$AS,MATCH($F$1,Database!$A$1:$AS$1,0),FALSE)=0,#N/A,VLOOKUP(A359,Database!$A:$AS,MATCH($F$1,Database!$A$1:$AS$1,0),FALSE))</f>
        <v/>
      </c>
      <c r="G359" s="77">
        <f>IF(VLOOKUP(A359,Database!$A:$AS,MATCH($G$1,Database!$A$1:$AS$1,0),FALSE)=0,#N/A,VLOOKUP(A359,Database!$A:$AS,MATCH($G$1,Database!$A$1:$AS$1,0),FALSE))</f>
        <v/>
      </c>
      <c r="H359" s="77">
        <f>(((Table134567891011121314151617343[[#This Row],[ITA]]-VLOOKUP($U$1,A:B,2,))/VLOOKUP($U$1,A:B,2,))*100)+100</f>
        <v/>
      </c>
      <c r="I359" s="77">
        <f>(((Table134567891011121314151617343[[#This Row],[FRA]]-VLOOKUP($U$1,A:C,3,))/VLOOKUP($U$1,A:C,3,))*100)+100</f>
        <v/>
      </c>
      <c r="J359" s="77">
        <f>(((Table134567891011121314151617343[[#This Row],[DEU]]-VLOOKUP($U$1,A:D,4,))/VLOOKUP($U$1,A:D,4,))*100)+100</f>
        <v/>
      </c>
      <c r="K359" s="77">
        <f>(((Table134567891011121314151617343[[#This Row],[ESP]]-VLOOKUP($U$1,A:E,5,))/VLOOKUP($U$1,A:E,5,))*100)+100</f>
        <v/>
      </c>
      <c r="L359" s="77">
        <f>(((Table134567891011121314151617343[[#This Row],[EA19]]-VLOOKUP($U$1,A:F,6,))/VLOOKUP($U$1,A:F,6,))*100)+100</f>
        <v/>
      </c>
      <c r="M359" s="77">
        <f>(((Table134567891011121314151617343[[#This Row],[GBR]]-VLOOKUP($U$1,A:G,7,))/VLOOKUP($U$1,A:G,7,))*100)+100</f>
        <v/>
      </c>
      <c r="N359" s="77">
        <f>IF(VLOOKUP(A359,Database!$A:$AU,MATCH($N$1,Database!$A$1:$AU$1,0),FALSE)=0,#N/A,VLOOKUP(A359,Database!$A:$AU,MATCH($N$1,Database!$A$1:$AU$1,0),FALSE))</f>
        <v/>
      </c>
      <c r="O359" s="77">
        <f>(((Table134567891011121314151617343[[#This Row],[USA]]-VLOOKUP($U$1,A:N,14,))/VLOOKUP($U$1,A:N,14,))*100)+100</f>
        <v/>
      </c>
      <c r="P359" s="77">
        <f>IF(VLOOKUP(A359,Database!$A:$AS,MATCH($P$1,Database!$A$1:$AS$1,0),FALSE)=0,#N/A,VLOOKUP(A359,Database!$A:$AS,MATCH($P$1,Database!$A$1:$AS$1,0),FALSE))</f>
        <v/>
      </c>
      <c r="Q359" s="77">
        <f>(((Table134567891011121314151617343[[#This Row],[JPN]]-VLOOKUP($U$1,A:Q,16,))/VLOOKUP($U$1,A:Q,16,))*100)+100</f>
        <v/>
      </c>
    </row>
    <row r="360" customFormat="1" s="87">
      <c r="A360" s="21" t="n">
        <v>43770</v>
      </c>
      <c r="B360" s="77">
        <f>IF(VLOOKUP(A360,Database!$A:$AS,MATCH($B$1,Database!$A$1:$AS$1,0),FALSE)=0,#N/A,VLOOKUP(A360,Database!$A:$AS,MATCH($B$1,Database!$A$1:$AS$1,0),FALSE))</f>
        <v/>
      </c>
      <c r="C360" s="77">
        <f>IF(VLOOKUP(A360,Database!$A:$AS,MATCH($C$1,Database!$A$1:$AS$1,0),FALSE)=0,#N/A,VLOOKUP(A360,Database!$A:$AS,MATCH($C$1,Database!$A$1:$AS$1,0),FALSE))</f>
        <v/>
      </c>
      <c r="D360" s="77">
        <f>IF(VLOOKUP(A360,Database!$A:$AS,MATCH($D$1,Database!$A$1:$AS$1,0),FALSE)=0,#N/A,VLOOKUP(A360,Database!$A:$AS,MATCH($D$1,Database!$A$1:$AS$1,0),FALSE))</f>
        <v/>
      </c>
      <c r="E360" s="77">
        <f>IF(VLOOKUP(A360,Database!$A:$AS,MATCH($E$1,Database!$A$1:$AS$1,0),FALSE)=0,#N/A,VLOOKUP(A360,Database!$A:$AS,MATCH($E$1,Database!$A$1:$AS$1,0),FALSE))</f>
        <v/>
      </c>
      <c r="F360" s="77">
        <f>IF(VLOOKUP(A360,Database!$A:$AS,MATCH($F$1,Database!$A$1:$AS$1,0),FALSE)=0,#N/A,VLOOKUP(A360,Database!$A:$AS,MATCH($F$1,Database!$A$1:$AS$1,0),FALSE))</f>
        <v/>
      </c>
      <c r="G360" s="77">
        <f>IF(VLOOKUP(A360,Database!$A:$AS,MATCH($G$1,Database!$A$1:$AS$1,0),FALSE)=0,#N/A,VLOOKUP(A360,Database!$A:$AS,MATCH($G$1,Database!$A$1:$AS$1,0),FALSE))</f>
        <v/>
      </c>
      <c r="H360" s="77">
        <f>(((Table134567891011121314151617343[[#This Row],[ITA]]-VLOOKUP($U$1,A:B,2,))/VLOOKUP($U$1,A:B,2,))*100)+100</f>
        <v/>
      </c>
      <c r="I360" s="77">
        <f>(((Table134567891011121314151617343[[#This Row],[FRA]]-VLOOKUP($U$1,A:C,3,))/VLOOKUP($U$1,A:C,3,))*100)+100</f>
        <v/>
      </c>
      <c r="J360" s="77">
        <f>(((Table134567891011121314151617343[[#This Row],[DEU]]-VLOOKUP($U$1,A:D,4,))/VLOOKUP($U$1,A:D,4,))*100)+100</f>
        <v/>
      </c>
      <c r="K360" s="77">
        <f>(((Table134567891011121314151617343[[#This Row],[ESP]]-VLOOKUP($U$1,A:E,5,))/VLOOKUP($U$1,A:E,5,))*100)+100</f>
        <v/>
      </c>
      <c r="L360" s="77">
        <f>(((Table134567891011121314151617343[[#This Row],[EA19]]-VLOOKUP($U$1,A:F,6,))/VLOOKUP($U$1,A:F,6,))*100)+100</f>
        <v/>
      </c>
      <c r="M360" s="77">
        <f>(((Table134567891011121314151617343[[#This Row],[GBR]]-VLOOKUP($U$1,A:G,7,))/VLOOKUP($U$1,A:G,7,))*100)+100</f>
        <v/>
      </c>
      <c r="N360" s="77">
        <f>IF(VLOOKUP(A360,Database!$A:$AU,MATCH($N$1,Database!$A$1:$AU$1,0),FALSE)=0,#N/A,VLOOKUP(A360,Database!$A:$AU,MATCH($N$1,Database!$A$1:$AU$1,0),FALSE))</f>
        <v/>
      </c>
      <c r="O360" s="77">
        <f>(((Table134567891011121314151617343[[#This Row],[USA]]-VLOOKUP($U$1,A:N,14,))/VLOOKUP($U$1,A:N,14,))*100)+100</f>
        <v/>
      </c>
      <c r="P360" s="77">
        <f>IF(VLOOKUP(A360,Database!$A:$AS,MATCH($P$1,Database!$A$1:$AS$1,0),FALSE)=0,#N/A,VLOOKUP(A360,Database!$A:$AS,MATCH($P$1,Database!$A$1:$AS$1,0),FALSE))</f>
        <v/>
      </c>
      <c r="Q360" s="77">
        <f>(((Table134567891011121314151617343[[#This Row],[JPN]]-VLOOKUP($U$1,A:Q,16,))/VLOOKUP($U$1,A:Q,16,))*100)+100</f>
        <v/>
      </c>
    </row>
    <row r="361" customFormat="1" s="87">
      <c r="A361" s="21" t="n">
        <v>43800</v>
      </c>
      <c r="B361" s="77">
        <f>IF(VLOOKUP(A361,Database!$A:$AS,MATCH($B$1,Database!$A$1:$AS$1,0),FALSE)=0,#N/A,VLOOKUP(A361,Database!$A:$AS,MATCH($B$1,Database!$A$1:$AS$1,0),FALSE))</f>
        <v/>
      </c>
      <c r="C361" s="77">
        <f>IF(VLOOKUP(A361,Database!$A:$AS,MATCH($C$1,Database!$A$1:$AS$1,0),FALSE)=0,#N/A,VLOOKUP(A361,Database!$A:$AS,MATCH($C$1,Database!$A$1:$AS$1,0),FALSE))</f>
        <v/>
      </c>
      <c r="D361" s="77">
        <f>IF(VLOOKUP(A361,Database!$A:$AS,MATCH($D$1,Database!$A$1:$AS$1,0),FALSE)=0,#N/A,VLOOKUP(A361,Database!$A:$AS,MATCH($D$1,Database!$A$1:$AS$1,0),FALSE))</f>
        <v/>
      </c>
      <c r="E361" s="77">
        <f>IF(VLOOKUP(A361,Database!$A:$AS,MATCH($E$1,Database!$A$1:$AS$1,0),FALSE)=0,#N/A,VLOOKUP(A361,Database!$A:$AS,MATCH($E$1,Database!$A$1:$AS$1,0),FALSE))</f>
        <v/>
      </c>
      <c r="F361" s="77">
        <f>IF(VLOOKUP(A361,Database!$A:$AS,MATCH($F$1,Database!$A$1:$AS$1,0),FALSE)=0,#N/A,VLOOKUP(A361,Database!$A:$AS,MATCH($F$1,Database!$A$1:$AS$1,0),FALSE))</f>
        <v/>
      </c>
      <c r="G361" s="77">
        <f>IF(VLOOKUP(A361,Database!$A:$AS,MATCH($G$1,Database!$A$1:$AS$1,0),FALSE)=0,#N/A,VLOOKUP(A361,Database!$A:$AS,MATCH($G$1,Database!$A$1:$AS$1,0),FALSE))</f>
        <v/>
      </c>
      <c r="H361" s="77">
        <f>(((Table134567891011121314151617343[[#This Row],[ITA]]-VLOOKUP($U$1,A:B,2,))/VLOOKUP($U$1,A:B,2,))*100)+100</f>
        <v/>
      </c>
      <c r="I361" s="77">
        <f>(((Table134567891011121314151617343[[#This Row],[FRA]]-VLOOKUP($U$1,A:C,3,))/VLOOKUP($U$1,A:C,3,))*100)+100</f>
        <v/>
      </c>
      <c r="J361" s="77">
        <f>(((Table134567891011121314151617343[[#This Row],[DEU]]-VLOOKUP($U$1,A:D,4,))/VLOOKUP($U$1,A:D,4,))*100)+100</f>
        <v/>
      </c>
      <c r="K361" s="77">
        <f>(((Table134567891011121314151617343[[#This Row],[ESP]]-VLOOKUP($U$1,A:E,5,))/VLOOKUP($U$1,A:E,5,))*100)+100</f>
        <v/>
      </c>
      <c r="L361" s="77">
        <f>(((Table134567891011121314151617343[[#This Row],[EA19]]-VLOOKUP($U$1,A:F,6,))/VLOOKUP($U$1,A:F,6,))*100)+100</f>
        <v/>
      </c>
      <c r="M361" s="77">
        <f>(((Table134567891011121314151617343[[#This Row],[GBR]]-VLOOKUP($U$1,A:G,7,))/VLOOKUP($U$1,A:G,7,))*100)+100</f>
        <v/>
      </c>
      <c r="N361" s="77">
        <f>IF(VLOOKUP(A361,Database!$A:$AU,MATCH($N$1,Database!$A$1:$AU$1,0),FALSE)=0,#N/A,VLOOKUP(A361,Database!$A:$AU,MATCH($N$1,Database!$A$1:$AU$1,0),FALSE))</f>
        <v/>
      </c>
      <c r="O361" s="77">
        <f>(((Table134567891011121314151617343[[#This Row],[USA]]-VLOOKUP($U$1,A:N,14,))/VLOOKUP($U$1,A:N,14,))*100)+100</f>
        <v/>
      </c>
      <c r="P361" s="77">
        <f>IF(VLOOKUP(A361,Database!$A:$AS,MATCH($P$1,Database!$A$1:$AS$1,0),FALSE)=0,#N/A,VLOOKUP(A361,Database!$A:$AS,MATCH($P$1,Database!$A$1:$AS$1,0),FALSE))</f>
        <v/>
      </c>
      <c r="Q361" s="77">
        <f>(((Table134567891011121314151617343[[#This Row],[JPN]]-VLOOKUP($U$1,A:Q,16,))/VLOOKUP($U$1,A:Q,16,))*100)+100</f>
        <v/>
      </c>
    </row>
    <row r="362" customFormat="1" s="87">
      <c r="A362" s="21" t="n">
        <v>43831</v>
      </c>
      <c r="B362" s="77">
        <f>IF(VLOOKUP(A362,Database!$A:$AS,MATCH($B$1,Database!$A$1:$AS$1,0),FALSE)=0,#N/A,VLOOKUP(A362,Database!$A:$AS,MATCH($B$1,Database!$A$1:$AS$1,0),FALSE))</f>
        <v/>
      </c>
      <c r="C362" s="77">
        <f>IF(VLOOKUP(A362,Database!$A:$AS,MATCH($C$1,Database!$A$1:$AS$1,0),FALSE)=0,#N/A,VLOOKUP(A362,Database!$A:$AS,MATCH($C$1,Database!$A$1:$AS$1,0),FALSE))</f>
        <v/>
      </c>
      <c r="D362" s="77">
        <f>IF(VLOOKUP(A362,Database!$A:$AS,MATCH($D$1,Database!$A$1:$AS$1,0),FALSE)=0,#N/A,VLOOKUP(A362,Database!$A:$AS,MATCH($D$1,Database!$A$1:$AS$1,0),FALSE))</f>
        <v/>
      </c>
      <c r="E362" s="77">
        <f>IF(VLOOKUP(A362,Database!$A:$AS,MATCH($E$1,Database!$A$1:$AS$1,0),FALSE)=0,#N/A,VLOOKUP(A362,Database!$A:$AS,MATCH($E$1,Database!$A$1:$AS$1,0),FALSE))</f>
        <v/>
      </c>
      <c r="F362" s="77">
        <f>IF(VLOOKUP(A362,Database!$A:$AS,MATCH($F$1,Database!$A$1:$AS$1,0),FALSE)=0,#N/A,VLOOKUP(A362,Database!$A:$AS,MATCH($F$1,Database!$A$1:$AS$1,0),FALSE))</f>
        <v/>
      </c>
      <c r="G362" s="77">
        <f>IF(VLOOKUP(A362,Database!$A:$AS,MATCH($G$1,Database!$A$1:$AS$1,0),FALSE)=0,#N/A,VLOOKUP(A362,Database!$A:$AS,MATCH($G$1,Database!$A$1:$AS$1,0),FALSE))</f>
        <v/>
      </c>
      <c r="H362" s="77">
        <f>(((Table134567891011121314151617343[[#This Row],[ITA]]-VLOOKUP($U$1,A:B,2,))/VLOOKUP($U$1,A:B,2,))*100)+100</f>
        <v/>
      </c>
      <c r="I362" s="77">
        <f>(((Table134567891011121314151617343[[#This Row],[FRA]]-VLOOKUP($U$1,A:C,3,))/VLOOKUP($U$1,A:C,3,))*100)+100</f>
        <v/>
      </c>
      <c r="J362" s="77">
        <f>(((Table134567891011121314151617343[[#This Row],[DEU]]-VLOOKUP($U$1,A:D,4,))/VLOOKUP($U$1,A:D,4,))*100)+100</f>
        <v/>
      </c>
      <c r="K362" s="77">
        <f>(((Table134567891011121314151617343[[#This Row],[ESP]]-VLOOKUP($U$1,A:E,5,))/VLOOKUP($U$1,A:E,5,))*100)+100</f>
        <v/>
      </c>
      <c r="L362" s="77">
        <f>(((Table134567891011121314151617343[[#This Row],[EA19]]-VLOOKUP($U$1,A:F,6,))/VLOOKUP($U$1,A:F,6,))*100)+100</f>
        <v/>
      </c>
      <c r="M362" s="77">
        <f>(((Table134567891011121314151617343[[#This Row],[GBR]]-VLOOKUP($U$1,A:G,7,))/VLOOKUP($U$1,A:G,7,))*100)+100</f>
        <v/>
      </c>
      <c r="N362" s="77">
        <f>IF(VLOOKUP(A362,Database!$A:$AU,MATCH($N$1,Database!$A$1:$AU$1,0),FALSE)=0,#N/A,VLOOKUP(A362,Database!$A:$AU,MATCH($N$1,Database!$A$1:$AU$1,0),FALSE))</f>
        <v/>
      </c>
      <c r="O362" s="77">
        <f>(((Table134567891011121314151617343[[#This Row],[USA]]-VLOOKUP($U$1,A:N,14,))/VLOOKUP($U$1,A:N,14,))*100)+100</f>
        <v/>
      </c>
      <c r="P362" s="77">
        <f>IF(VLOOKUP(A362,Database!$A:$AS,MATCH($P$1,Database!$A$1:$AS$1,0),FALSE)=0,#N/A,VLOOKUP(A362,Database!$A:$AS,MATCH($P$1,Database!$A$1:$AS$1,0),FALSE))</f>
        <v/>
      </c>
      <c r="Q362" s="77">
        <f>(((Table134567891011121314151617343[[#This Row],[JPN]]-VLOOKUP($U$1,A:Q,16,))/VLOOKUP($U$1,A:Q,16,))*100)+100</f>
        <v/>
      </c>
    </row>
    <row r="363" customFormat="1" s="87">
      <c r="A363" s="21" t="n">
        <v>43862</v>
      </c>
      <c r="B363" s="77">
        <f>IF(VLOOKUP(A363,Database!$A:$AS,MATCH($B$1,Database!$A$1:$AS$1,0),FALSE)=0,#N/A,VLOOKUP(A363,Database!$A:$AS,MATCH($B$1,Database!$A$1:$AS$1,0),FALSE))</f>
        <v/>
      </c>
      <c r="C363" s="77">
        <f>IF(VLOOKUP(A363,Database!$A:$AS,MATCH($C$1,Database!$A$1:$AS$1,0),FALSE)=0,#N/A,VLOOKUP(A363,Database!$A:$AS,MATCH($C$1,Database!$A$1:$AS$1,0),FALSE))</f>
        <v/>
      </c>
      <c r="D363" s="77">
        <f>IF(VLOOKUP(A363,Database!$A:$AS,MATCH($D$1,Database!$A$1:$AS$1,0),FALSE)=0,#N/A,VLOOKUP(A363,Database!$A:$AS,MATCH($D$1,Database!$A$1:$AS$1,0),FALSE))</f>
        <v/>
      </c>
      <c r="E363" s="77">
        <f>IF(VLOOKUP(A363,Database!$A:$AS,MATCH($E$1,Database!$A$1:$AS$1,0),FALSE)=0,#N/A,VLOOKUP(A363,Database!$A:$AS,MATCH($E$1,Database!$A$1:$AS$1,0),FALSE))</f>
        <v/>
      </c>
      <c r="F363" s="77">
        <f>IF(VLOOKUP(A363,Database!$A:$AS,MATCH($F$1,Database!$A$1:$AS$1,0),FALSE)=0,#N/A,VLOOKUP(A363,Database!$A:$AS,MATCH($F$1,Database!$A$1:$AS$1,0),FALSE))</f>
        <v/>
      </c>
      <c r="G363" s="77">
        <f>IF(VLOOKUP(A363,Database!$A:$AS,MATCH($G$1,Database!$A$1:$AS$1,0),FALSE)=0,#N/A,VLOOKUP(A363,Database!$A:$AS,MATCH($G$1,Database!$A$1:$AS$1,0),FALSE))</f>
        <v/>
      </c>
      <c r="H363" s="77">
        <f>(((Table134567891011121314151617343[[#This Row],[ITA]]-VLOOKUP($U$1,A:B,2,))/VLOOKUP($U$1,A:B,2,))*100)+100</f>
        <v/>
      </c>
      <c r="I363" s="77">
        <f>(((Table134567891011121314151617343[[#This Row],[FRA]]-VLOOKUP($U$1,A:C,3,))/VLOOKUP($U$1,A:C,3,))*100)+100</f>
        <v/>
      </c>
      <c r="J363" s="77">
        <f>(((Table134567891011121314151617343[[#This Row],[DEU]]-VLOOKUP($U$1,A:D,4,))/VLOOKUP($U$1,A:D,4,))*100)+100</f>
        <v/>
      </c>
      <c r="K363" s="77">
        <f>(((Table134567891011121314151617343[[#This Row],[ESP]]-VLOOKUP($U$1,A:E,5,))/VLOOKUP($U$1,A:E,5,))*100)+100</f>
        <v/>
      </c>
      <c r="L363" s="77">
        <f>(((Table134567891011121314151617343[[#This Row],[EA19]]-VLOOKUP($U$1,A:F,6,))/VLOOKUP($U$1,A:F,6,))*100)+100</f>
        <v/>
      </c>
      <c r="M363" s="77">
        <f>(((Table134567891011121314151617343[[#This Row],[GBR]]-VLOOKUP($U$1,A:G,7,))/VLOOKUP($U$1,A:G,7,))*100)+100</f>
        <v/>
      </c>
      <c r="N363" s="77">
        <f>IF(VLOOKUP(A363,Database!$A:$AU,MATCH($N$1,Database!$A$1:$AU$1,0),FALSE)=0,#N/A,VLOOKUP(A363,Database!$A:$AU,MATCH($N$1,Database!$A$1:$AU$1,0),FALSE))</f>
        <v/>
      </c>
      <c r="O363" s="77">
        <f>(((Table134567891011121314151617343[[#This Row],[USA]]-VLOOKUP($U$1,A:N,14,))/VLOOKUP($U$1,A:N,14,))*100)+100</f>
        <v/>
      </c>
      <c r="P363" s="77">
        <f>IF(VLOOKUP(A363,Database!$A:$AS,MATCH($P$1,Database!$A$1:$AS$1,0),FALSE)=0,#N/A,VLOOKUP(A363,Database!$A:$AS,MATCH($P$1,Database!$A$1:$AS$1,0),FALSE))</f>
        <v/>
      </c>
      <c r="Q363" s="77">
        <f>(((Table134567891011121314151617343[[#This Row],[JPN]]-VLOOKUP($U$1,A:Q,16,))/VLOOKUP($U$1,A:Q,16,))*100)+100</f>
        <v/>
      </c>
    </row>
    <row r="364" customFormat="1" s="87">
      <c r="A364" s="21" t="n">
        <v>43891</v>
      </c>
      <c r="B364" s="77">
        <f>IF(VLOOKUP(A364,Database!$A:$AS,MATCH($B$1,Database!$A$1:$AS$1,0),FALSE)=0,#N/A,VLOOKUP(A364,Database!$A:$AS,MATCH($B$1,Database!$A$1:$AS$1,0),FALSE))</f>
        <v/>
      </c>
      <c r="C364" s="77">
        <f>IF(VLOOKUP(A364,Database!$A:$AS,MATCH($C$1,Database!$A$1:$AS$1,0),FALSE)=0,#N/A,VLOOKUP(A364,Database!$A:$AS,MATCH($C$1,Database!$A$1:$AS$1,0),FALSE))</f>
        <v/>
      </c>
      <c r="D364" s="77">
        <f>IF(VLOOKUP(A364,Database!$A:$AS,MATCH($D$1,Database!$A$1:$AS$1,0),FALSE)=0,#N/A,VLOOKUP(A364,Database!$A:$AS,MATCH($D$1,Database!$A$1:$AS$1,0),FALSE))</f>
        <v/>
      </c>
      <c r="E364" s="77">
        <f>IF(VLOOKUP(A364,Database!$A:$AS,MATCH($E$1,Database!$A$1:$AS$1,0),FALSE)=0,#N/A,VLOOKUP(A364,Database!$A:$AS,MATCH($E$1,Database!$A$1:$AS$1,0),FALSE))</f>
        <v/>
      </c>
      <c r="F364" s="77">
        <f>IF(VLOOKUP(A364,Database!$A:$AS,MATCH($F$1,Database!$A$1:$AS$1,0),FALSE)=0,#N/A,VLOOKUP(A364,Database!$A:$AS,MATCH($F$1,Database!$A$1:$AS$1,0),FALSE))</f>
        <v/>
      </c>
      <c r="G364" s="77">
        <f>IF(VLOOKUP(A364,Database!$A:$AS,MATCH($G$1,Database!$A$1:$AS$1,0),FALSE)=0,#N/A,VLOOKUP(A364,Database!$A:$AS,MATCH($G$1,Database!$A$1:$AS$1,0),FALSE))</f>
        <v/>
      </c>
      <c r="H364" s="77">
        <f>(((Table134567891011121314151617343[[#This Row],[ITA]]-VLOOKUP($U$1,A:B,2,))/VLOOKUP($U$1,A:B,2,))*100)+100</f>
        <v/>
      </c>
      <c r="I364" s="77">
        <f>(((Table134567891011121314151617343[[#This Row],[FRA]]-VLOOKUP($U$1,A:C,3,))/VLOOKUP($U$1,A:C,3,))*100)+100</f>
        <v/>
      </c>
      <c r="J364" s="77">
        <f>(((Table134567891011121314151617343[[#This Row],[DEU]]-VLOOKUP($U$1,A:D,4,))/VLOOKUP($U$1,A:D,4,))*100)+100</f>
        <v/>
      </c>
      <c r="K364" s="77">
        <f>(((Table134567891011121314151617343[[#This Row],[ESP]]-VLOOKUP($U$1,A:E,5,))/VLOOKUP($U$1,A:E,5,))*100)+100</f>
        <v/>
      </c>
      <c r="L364" s="77">
        <f>(((Table134567891011121314151617343[[#This Row],[EA19]]-VLOOKUP($U$1,A:F,6,))/VLOOKUP($U$1,A:F,6,))*100)+100</f>
        <v/>
      </c>
      <c r="M364" s="77">
        <f>(((Table134567891011121314151617343[[#This Row],[GBR]]-VLOOKUP($U$1,A:G,7,))/VLOOKUP($U$1,A:G,7,))*100)+100</f>
        <v/>
      </c>
      <c r="N364" s="77">
        <f>IF(VLOOKUP(A364,Database!$A:$AU,MATCH($N$1,Database!$A$1:$AU$1,0),FALSE)=0,#N/A,VLOOKUP(A364,Database!$A:$AU,MATCH($N$1,Database!$A$1:$AU$1,0),FALSE))</f>
        <v/>
      </c>
      <c r="O364" s="77">
        <f>(((Table134567891011121314151617343[[#This Row],[USA]]-VLOOKUP($U$1,A:N,14,))/VLOOKUP($U$1,A:N,14,))*100)+100</f>
        <v/>
      </c>
      <c r="P364" s="77">
        <f>IF(VLOOKUP(A364,Database!$A:$AS,MATCH($P$1,Database!$A$1:$AS$1,0),FALSE)=0,#N/A,VLOOKUP(A364,Database!$A:$AS,MATCH($P$1,Database!$A$1:$AS$1,0),FALSE))</f>
        <v/>
      </c>
      <c r="Q364" s="77">
        <f>(((Table134567891011121314151617343[[#This Row],[JPN]]-VLOOKUP($U$1,A:Q,16,))/VLOOKUP($U$1,A:Q,16,))*100)+100</f>
        <v/>
      </c>
    </row>
    <row r="365" customFormat="1" s="87">
      <c r="A365" s="21" t="n">
        <v>43922</v>
      </c>
      <c r="B365" s="77">
        <f>IF(VLOOKUP(A365,Database!$A:$AS,MATCH($B$1,Database!$A$1:$AS$1,0),FALSE)=0,#N/A,VLOOKUP(A365,Database!$A:$AS,MATCH($B$1,Database!$A$1:$AS$1,0),FALSE))</f>
        <v/>
      </c>
      <c r="C365" s="77">
        <f>IF(VLOOKUP(A365,Database!$A:$AS,MATCH($C$1,Database!$A$1:$AS$1,0),FALSE)=0,#N/A,VLOOKUP(A365,Database!$A:$AS,MATCH($C$1,Database!$A$1:$AS$1,0),FALSE))</f>
        <v/>
      </c>
      <c r="D365" s="77">
        <f>IF(VLOOKUP(A365,Database!$A:$AS,MATCH($D$1,Database!$A$1:$AS$1,0),FALSE)=0,#N/A,VLOOKUP(A365,Database!$A:$AS,MATCH($D$1,Database!$A$1:$AS$1,0),FALSE))</f>
        <v/>
      </c>
      <c r="E365" s="77">
        <f>IF(VLOOKUP(A365,Database!$A:$AS,MATCH($E$1,Database!$A$1:$AS$1,0),FALSE)=0,#N/A,VLOOKUP(A365,Database!$A:$AS,MATCH($E$1,Database!$A$1:$AS$1,0),FALSE))</f>
        <v/>
      </c>
      <c r="F365" s="77">
        <f>IF(VLOOKUP(A365,Database!$A:$AS,MATCH($F$1,Database!$A$1:$AS$1,0),FALSE)=0,#N/A,VLOOKUP(A365,Database!$A:$AS,MATCH($F$1,Database!$A$1:$AS$1,0),FALSE))</f>
        <v/>
      </c>
      <c r="G365" s="77">
        <f>IF(VLOOKUP(A365,Database!$A:$AS,MATCH($G$1,Database!$A$1:$AS$1,0),FALSE)=0,#N/A,VLOOKUP(A365,Database!$A:$AS,MATCH($G$1,Database!$A$1:$AS$1,0),FALSE))</f>
        <v/>
      </c>
      <c r="H365" s="77">
        <f>(((Table134567891011121314151617343[[#This Row],[ITA]]-VLOOKUP($U$1,A:B,2,))/VLOOKUP($U$1,A:B,2,))*100)+100</f>
        <v/>
      </c>
      <c r="I365" s="77">
        <f>(((Table134567891011121314151617343[[#This Row],[FRA]]-VLOOKUP($U$1,A:C,3,))/VLOOKUP($U$1,A:C,3,))*100)+100</f>
        <v/>
      </c>
      <c r="J365" s="77">
        <f>(((Table134567891011121314151617343[[#This Row],[DEU]]-VLOOKUP($U$1,A:D,4,))/VLOOKUP($U$1,A:D,4,))*100)+100</f>
        <v/>
      </c>
      <c r="K365" s="77">
        <f>(((Table134567891011121314151617343[[#This Row],[ESP]]-VLOOKUP($U$1,A:E,5,))/VLOOKUP($U$1,A:E,5,))*100)+100</f>
        <v/>
      </c>
      <c r="L365" s="77">
        <f>(((Table134567891011121314151617343[[#This Row],[EA19]]-VLOOKUP($U$1,A:F,6,))/VLOOKUP($U$1,A:F,6,))*100)+100</f>
        <v/>
      </c>
      <c r="M365" s="77">
        <f>(((Table134567891011121314151617343[[#This Row],[GBR]]-VLOOKUP($U$1,A:G,7,))/VLOOKUP($U$1,A:G,7,))*100)+100</f>
        <v/>
      </c>
      <c r="N365" s="77">
        <f>IF(VLOOKUP(A365,Database!$A:$AU,MATCH($N$1,Database!$A$1:$AU$1,0),FALSE)=0,#N/A,VLOOKUP(A365,Database!$A:$AU,MATCH($N$1,Database!$A$1:$AU$1,0),FALSE))</f>
        <v/>
      </c>
      <c r="O365" s="77">
        <f>(((Table134567891011121314151617343[[#This Row],[USA]]-VLOOKUP($U$1,A:N,14,))/VLOOKUP($U$1,A:N,14,))*100)+100</f>
        <v/>
      </c>
      <c r="P365" s="77">
        <f>IF(VLOOKUP(A365,Database!$A:$AS,MATCH($P$1,Database!$A$1:$AS$1,0),FALSE)=0,#N/A,VLOOKUP(A365,Database!$A:$AS,MATCH($P$1,Database!$A$1:$AS$1,0),FALSE))</f>
        <v/>
      </c>
      <c r="Q365" s="77">
        <f>(((Table134567891011121314151617343[[#This Row],[JPN]]-VLOOKUP($U$1,A:Q,16,))/VLOOKUP($U$1,A:Q,16,))*100)+100</f>
        <v/>
      </c>
    </row>
    <row r="366" customFormat="1" s="87">
      <c r="A366" s="21" t="n">
        <v>43952</v>
      </c>
      <c r="B366" s="77">
        <f>IF(VLOOKUP(A366,Database!$A:$AS,MATCH($B$1,Database!$A$1:$AS$1,0),FALSE)=0,#N/A,VLOOKUP(A366,Database!$A:$AS,MATCH($B$1,Database!$A$1:$AS$1,0),FALSE))</f>
        <v/>
      </c>
      <c r="C366" s="77">
        <f>IF(VLOOKUP(A366,Database!$A:$AS,MATCH($C$1,Database!$A$1:$AS$1,0),FALSE)=0,#N/A,VLOOKUP(A366,Database!$A:$AS,MATCH($C$1,Database!$A$1:$AS$1,0),FALSE))</f>
        <v/>
      </c>
      <c r="D366" s="77">
        <f>IF(VLOOKUP(A366,Database!$A:$AS,MATCH($D$1,Database!$A$1:$AS$1,0),FALSE)=0,#N/A,VLOOKUP(A366,Database!$A:$AS,MATCH($D$1,Database!$A$1:$AS$1,0),FALSE))</f>
        <v/>
      </c>
      <c r="E366" s="77">
        <f>IF(VLOOKUP(A366,Database!$A:$AS,MATCH($E$1,Database!$A$1:$AS$1,0),FALSE)=0,#N/A,VLOOKUP(A366,Database!$A:$AS,MATCH($E$1,Database!$A$1:$AS$1,0),FALSE))</f>
        <v/>
      </c>
      <c r="F366" s="77">
        <f>IF(VLOOKUP(A366,Database!$A:$AS,MATCH($F$1,Database!$A$1:$AS$1,0),FALSE)=0,#N/A,VLOOKUP(A366,Database!$A:$AS,MATCH($F$1,Database!$A$1:$AS$1,0),FALSE))</f>
        <v/>
      </c>
      <c r="G366" s="77">
        <f>IF(VLOOKUP(A366,Database!$A:$AS,MATCH($G$1,Database!$A$1:$AS$1,0),FALSE)=0,#N/A,VLOOKUP(A366,Database!$A:$AS,MATCH($G$1,Database!$A$1:$AS$1,0),FALSE))</f>
        <v/>
      </c>
      <c r="H366" s="77">
        <f>(((Table134567891011121314151617343[[#This Row],[ITA]]-VLOOKUP($U$1,A:B,2,))/VLOOKUP($U$1,A:B,2,))*100)+100</f>
        <v/>
      </c>
      <c r="I366" s="77">
        <f>(((Table134567891011121314151617343[[#This Row],[FRA]]-VLOOKUP($U$1,A:C,3,))/VLOOKUP($U$1,A:C,3,))*100)+100</f>
        <v/>
      </c>
      <c r="J366" s="77">
        <f>(((Table134567891011121314151617343[[#This Row],[DEU]]-VLOOKUP($U$1,A:D,4,))/VLOOKUP($U$1,A:D,4,))*100)+100</f>
        <v/>
      </c>
      <c r="K366" s="77">
        <f>(((Table134567891011121314151617343[[#This Row],[ESP]]-VLOOKUP($U$1,A:E,5,))/VLOOKUP($U$1,A:E,5,))*100)+100</f>
        <v/>
      </c>
      <c r="L366" s="77">
        <f>(((Table134567891011121314151617343[[#This Row],[EA19]]-VLOOKUP($U$1,A:F,6,))/VLOOKUP($U$1,A:F,6,))*100)+100</f>
        <v/>
      </c>
      <c r="M366" s="77">
        <f>(((Table134567891011121314151617343[[#This Row],[GBR]]-VLOOKUP($U$1,A:G,7,))/VLOOKUP($U$1,A:G,7,))*100)+100</f>
        <v/>
      </c>
      <c r="N366" s="77">
        <f>IF(VLOOKUP(A366,Database!$A:$AU,MATCH($N$1,Database!$A$1:$AU$1,0),FALSE)=0,#N/A,VLOOKUP(A366,Database!$A:$AU,MATCH($N$1,Database!$A$1:$AU$1,0),FALSE))</f>
        <v/>
      </c>
      <c r="O366" s="77">
        <f>(((Table134567891011121314151617343[[#This Row],[USA]]-VLOOKUP($U$1,A:N,14,))/VLOOKUP($U$1,A:N,14,))*100)+100</f>
        <v/>
      </c>
      <c r="P366" s="77">
        <f>IF(VLOOKUP(A366,Database!$A:$AS,MATCH($P$1,Database!$A$1:$AS$1,0),FALSE)=0,#N/A,VLOOKUP(A366,Database!$A:$AS,MATCH($P$1,Database!$A$1:$AS$1,0),FALSE))</f>
        <v/>
      </c>
      <c r="Q366" s="77">
        <f>(((Table134567891011121314151617343[[#This Row],[JPN]]-VLOOKUP($U$1,A:Q,16,))/VLOOKUP($U$1,A:Q,16,))*100)+100</f>
        <v/>
      </c>
    </row>
    <row r="367" customFormat="1" s="87">
      <c r="A367" s="21" t="n">
        <v>43983</v>
      </c>
      <c r="B367" s="77">
        <f>IF(VLOOKUP(A367,Database!$A:$AS,MATCH($B$1,Database!$A$1:$AS$1,0),FALSE)=0,#N/A,VLOOKUP(A367,Database!$A:$AS,MATCH($B$1,Database!$A$1:$AS$1,0),FALSE))</f>
        <v/>
      </c>
      <c r="C367" s="77">
        <f>IF(VLOOKUP(A367,Database!$A:$AS,MATCH($C$1,Database!$A$1:$AS$1,0),FALSE)=0,#N/A,VLOOKUP(A367,Database!$A:$AS,MATCH($C$1,Database!$A$1:$AS$1,0),FALSE))</f>
        <v/>
      </c>
      <c r="D367" s="77">
        <f>IF(VLOOKUP(A367,Database!$A:$AS,MATCH($D$1,Database!$A$1:$AS$1,0),FALSE)=0,#N/A,VLOOKUP(A367,Database!$A:$AS,MATCH($D$1,Database!$A$1:$AS$1,0),FALSE))</f>
        <v/>
      </c>
      <c r="E367" s="77">
        <f>IF(VLOOKUP(A367,Database!$A:$AS,MATCH($E$1,Database!$A$1:$AS$1,0),FALSE)=0,#N/A,VLOOKUP(A367,Database!$A:$AS,MATCH($E$1,Database!$A$1:$AS$1,0),FALSE))</f>
        <v/>
      </c>
      <c r="F367" s="77">
        <f>IF(VLOOKUP(A367,Database!$A:$AS,MATCH($F$1,Database!$A$1:$AS$1,0),FALSE)=0,#N/A,VLOOKUP(A367,Database!$A:$AS,MATCH($F$1,Database!$A$1:$AS$1,0),FALSE))</f>
        <v/>
      </c>
      <c r="G367" s="77">
        <f>IF(VLOOKUP(A367,Database!$A:$AS,MATCH($G$1,Database!$A$1:$AS$1,0),FALSE)=0,#N/A,VLOOKUP(A367,Database!$A:$AS,MATCH($G$1,Database!$A$1:$AS$1,0),FALSE))</f>
        <v/>
      </c>
      <c r="H367" s="77">
        <f>(((Table134567891011121314151617343[[#This Row],[ITA]]-VLOOKUP($U$1,A:B,2,))/VLOOKUP($U$1,A:B,2,))*100)+100</f>
        <v/>
      </c>
      <c r="I367" s="77">
        <f>(((Table134567891011121314151617343[[#This Row],[FRA]]-VLOOKUP($U$1,A:C,3,))/VLOOKUP($U$1,A:C,3,))*100)+100</f>
        <v/>
      </c>
      <c r="J367" s="77">
        <f>(((Table134567891011121314151617343[[#This Row],[DEU]]-VLOOKUP($U$1,A:D,4,))/VLOOKUP($U$1,A:D,4,))*100)+100</f>
        <v/>
      </c>
      <c r="K367" s="77">
        <f>(((Table134567891011121314151617343[[#This Row],[ESP]]-VLOOKUP($U$1,A:E,5,))/VLOOKUP($U$1,A:E,5,))*100)+100</f>
        <v/>
      </c>
      <c r="L367" s="77">
        <f>(((Table134567891011121314151617343[[#This Row],[EA19]]-VLOOKUP($U$1,A:F,6,))/VLOOKUP($U$1,A:F,6,))*100)+100</f>
        <v/>
      </c>
      <c r="M367" s="77">
        <f>(((Table134567891011121314151617343[[#This Row],[GBR]]-VLOOKUP($U$1,A:G,7,))/VLOOKUP($U$1,A:G,7,))*100)+100</f>
        <v/>
      </c>
      <c r="N367" s="77">
        <f>IF(VLOOKUP(A367,Database!$A:$AU,MATCH($N$1,Database!$A$1:$AU$1,0),FALSE)=0,#N/A,VLOOKUP(A367,Database!$A:$AU,MATCH($N$1,Database!$A$1:$AU$1,0),FALSE))</f>
        <v/>
      </c>
      <c r="O367" s="77">
        <f>(((Table134567891011121314151617343[[#This Row],[USA]]-VLOOKUP($U$1,A:N,14,))/VLOOKUP($U$1,A:N,14,))*100)+100</f>
        <v/>
      </c>
      <c r="P367" s="77">
        <f>IF(VLOOKUP(A367,Database!$A:$AS,MATCH($P$1,Database!$A$1:$AS$1,0),FALSE)=0,#N/A,VLOOKUP(A367,Database!$A:$AS,MATCH($P$1,Database!$A$1:$AS$1,0),FALSE))</f>
        <v/>
      </c>
      <c r="Q367" s="77">
        <f>(((Table134567891011121314151617343[[#This Row],[JPN]]-VLOOKUP($U$1,A:Q,16,))/VLOOKUP($U$1,A:Q,16,))*100)+100</f>
        <v/>
      </c>
    </row>
    <row r="368" customFormat="1" s="87">
      <c r="A368" s="21" t="n">
        <v>44013</v>
      </c>
      <c r="B368" s="77">
        <f>IF(VLOOKUP(A368,Database!$A:$AS,MATCH($B$1,Database!$A$1:$AS$1,0),FALSE)=0,#N/A,VLOOKUP(A368,Database!$A:$AS,MATCH($B$1,Database!$A$1:$AS$1,0),FALSE))</f>
        <v/>
      </c>
      <c r="C368" s="77">
        <f>IF(VLOOKUP(A368,Database!$A:$AS,MATCH($C$1,Database!$A$1:$AS$1,0),FALSE)=0,#N/A,VLOOKUP(A368,Database!$A:$AS,MATCH($C$1,Database!$A$1:$AS$1,0),FALSE))</f>
        <v/>
      </c>
      <c r="D368" s="77">
        <f>IF(VLOOKUP(A368,Database!$A:$AS,MATCH($D$1,Database!$A$1:$AS$1,0),FALSE)=0,#N/A,VLOOKUP(A368,Database!$A:$AS,MATCH($D$1,Database!$A$1:$AS$1,0),FALSE))</f>
        <v/>
      </c>
      <c r="E368" s="77">
        <f>IF(VLOOKUP(A368,Database!$A:$AS,MATCH($E$1,Database!$A$1:$AS$1,0),FALSE)=0,#N/A,VLOOKUP(A368,Database!$A:$AS,MATCH($E$1,Database!$A$1:$AS$1,0),FALSE))</f>
        <v/>
      </c>
      <c r="F368" s="77">
        <f>IF(VLOOKUP(A368,Database!$A:$AS,MATCH($F$1,Database!$A$1:$AS$1,0),FALSE)=0,#N/A,VLOOKUP(A368,Database!$A:$AS,MATCH($F$1,Database!$A$1:$AS$1,0),FALSE))</f>
        <v/>
      </c>
      <c r="G368" s="77">
        <f>IF(VLOOKUP(A368,Database!$A:$AS,MATCH($G$1,Database!$A$1:$AS$1,0),FALSE)=0,#N/A,VLOOKUP(A368,Database!$A:$AS,MATCH($G$1,Database!$A$1:$AS$1,0),FALSE))</f>
        <v/>
      </c>
      <c r="H368" s="77">
        <f>(((Table134567891011121314151617343[[#This Row],[ITA]]-VLOOKUP($U$1,A:B,2,))/VLOOKUP($U$1,A:B,2,))*100)+100</f>
        <v/>
      </c>
      <c r="I368" s="77">
        <f>(((Table134567891011121314151617343[[#This Row],[FRA]]-VLOOKUP($U$1,A:C,3,))/VLOOKUP($U$1,A:C,3,))*100)+100</f>
        <v/>
      </c>
      <c r="J368" s="77">
        <f>(((Table134567891011121314151617343[[#This Row],[DEU]]-VLOOKUP($U$1,A:D,4,))/VLOOKUP($U$1,A:D,4,))*100)+100</f>
        <v/>
      </c>
      <c r="K368" s="77">
        <f>(((Table134567891011121314151617343[[#This Row],[ESP]]-VLOOKUP($U$1,A:E,5,))/VLOOKUP($U$1,A:E,5,))*100)+100</f>
        <v/>
      </c>
      <c r="L368" s="77">
        <f>(((Table134567891011121314151617343[[#This Row],[EA19]]-VLOOKUP($U$1,A:F,6,))/VLOOKUP($U$1,A:F,6,))*100)+100</f>
        <v/>
      </c>
      <c r="M368" s="77">
        <f>(((Table134567891011121314151617343[[#This Row],[GBR]]-VLOOKUP($U$1,A:G,7,))/VLOOKUP($U$1,A:G,7,))*100)+100</f>
        <v/>
      </c>
      <c r="N368" s="77">
        <f>IF(VLOOKUP(A368,Database!$A:$AU,MATCH($N$1,Database!$A$1:$AU$1,0),FALSE)=0,#N/A,VLOOKUP(A368,Database!$A:$AU,MATCH($N$1,Database!$A$1:$AU$1,0),FALSE))</f>
        <v/>
      </c>
      <c r="O368" s="77">
        <f>(((Table134567891011121314151617343[[#This Row],[USA]]-VLOOKUP($U$1,A:N,14,))/VLOOKUP($U$1,A:N,14,))*100)+100</f>
        <v/>
      </c>
      <c r="P368" s="77">
        <f>IF(VLOOKUP(A368,Database!$A:$AS,MATCH($P$1,Database!$A$1:$AS$1,0),FALSE)=0,#N/A,VLOOKUP(A368,Database!$A:$AS,MATCH($P$1,Database!$A$1:$AS$1,0),FALSE))</f>
        <v/>
      </c>
      <c r="Q368" s="77">
        <f>(((Table134567891011121314151617343[[#This Row],[JPN]]-VLOOKUP($U$1,A:Q,16,))/VLOOKUP($U$1,A:Q,16,))*100)+100</f>
        <v/>
      </c>
    </row>
    <row r="369" customFormat="1" s="87">
      <c r="A369" s="21" t="n">
        <v>44044</v>
      </c>
      <c r="B369" s="77">
        <f>IF(VLOOKUP(A369,Database!$A:$AS,MATCH($B$1,Database!$A$1:$AS$1,0),FALSE)=0,#N/A,VLOOKUP(A369,Database!$A:$AS,MATCH($B$1,Database!$A$1:$AS$1,0),FALSE))</f>
        <v/>
      </c>
      <c r="C369" s="77">
        <f>IF(VLOOKUP(A369,Database!$A:$AS,MATCH($C$1,Database!$A$1:$AS$1,0),FALSE)=0,#N/A,VLOOKUP(A369,Database!$A:$AS,MATCH($C$1,Database!$A$1:$AS$1,0),FALSE))</f>
        <v/>
      </c>
      <c r="D369" s="77">
        <f>IF(VLOOKUP(A369,Database!$A:$AS,MATCH($D$1,Database!$A$1:$AS$1,0),FALSE)=0,#N/A,VLOOKUP(A369,Database!$A:$AS,MATCH($D$1,Database!$A$1:$AS$1,0),FALSE))</f>
        <v/>
      </c>
      <c r="E369" s="77">
        <f>IF(VLOOKUP(A369,Database!$A:$AS,MATCH($E$1,Database!$A$1:$AS$1,0),FALSE)=0,#N/A,VLOOKUP(A369,Database!$A:$AS,MATCH($E$1,Database!$A$1:$AS$1,0),FALSE))</f>
        <v/>
      </c>
      <c r="F369" s="77">
        <f>IF(VLOOKUP(A369,Database!$A:$AS,MATCH($F$1,Database!$A$1:$AS$1,0),FALSE)=0,#N/A,VLOOKUP(A369,Database!$A:$AS,MATCH($F$1,Database!$A$1:$AS$1,0),FALSE))</f>
        <v/>
      </c>
      <c r="G369" s="77">
        <f>IF(VLOOKUP(A369,Database!$A:$AS,MATCH($G$1,Database!$A$1:$AS$1,0),FALSE)=0,#N/A,VLOOKUP(A369,Database!$A:$AS,MATCH($G$1,Database!$A$1:$AS$1,0),FALSE))</f>
        <v/>
      </c>
      <c r="H369" s="77">
        <f>(((Table134567891011121314151617343[[#This Row],[ITA]]-VLOOKUP($U$1,A:B,2,))/VLOOKUP($U$1,A:B,2,))*100)+100</f>
        <v/>
      </c>
      <c r="I369" s="77">
        <f>(((Table134567891011121314151617343[[#This Row],[FRA]]-VLOOKUP($U$1,A:C,3,))/VLOOKUP($U$1,A:C,3,))*100)+100</f>
        <v/>
      </c>
      <c r="J369" s="77">
        <f>(((Table134567891011121314151617343[[#This Row],[DEU]]-VLOOKUP($U$1,A:D,4,))/VLOOKUP($U$1,A:D,4,))*100)+100</f>
        <v/>
      </c>
      <c r="K369" s="77">
        <f>(((Table134567891011121314151617343[[#This Row],[ESP]]-VLOOKUP($U$1,A:E,5,))/VLOOKUP($U$1,A:E,5,))*100)+100</f>
        <v/>
      </c>
      <c r="L369" s="77">
        <f>(((Table134567891011121314151617343[[#This Row],[EA19]]-VLOOKUP($U$1,A:F,6,))/VLOOKUP($U$1,A:F,6,))*100)+100</f>
        <v/>
      </c>
      <c r="M369" s="77">
        <f>(((Table134567891011121314151617343[[#This Row],[GBR]]-VLOOKUP($U$1,A:G,7,))/VLOOKUP($U$1,A:G,7,))*100)+100</f>
        <v/>
      </c>
      <c r="N369" s="77">
        <f>IF(VLOOKUP(A369,Database!$A:$AU,MATCH($N$1,Database!$A$1:$AU$1,0),FALSE)=0,#N/A,VLOOKUP(A369,Database!$A:$AU,MATCH($N$1,Database!$A$1:$AU$1,0),FALSE))</f>
        <v/>
      </c>
      <c r="O369" s="77">
        <f>(((Table134567891011121314151617343[[#This Row],[USA]]-VLOOKUP($U$1,A:N,14,))/VLOOKUP($U$1,A:N,14,))*100)+100</f>
        <v/>
      </c>
      <c r="P369" s="77">
        <f>IF(VLOOKUP(A369,Database!$A:$AS,MATCH($P$1,Database!$A$1:$AS$1,0),FALSE)=0,#N/A,VLOOKUP(A369,Database!$A:$AS,MATCH($P$1,Database!$A$1:$AS$1,0),FALSE))</f>
        <v/>
      </c>
      <c r="Q369" s="77">
        <f>(((Table134567891011121314151617343[[#This Row],[JPN]]-VLOOKUP($U$1,A:Q,16,))/VLOOKUP($U$1,A:Q,16,))*100)+100</f>
        <v/>
      </c>
    </row>
    <row r="370" customFormat="1" s="87">
      <c r="A370" s="21" t="n">
        <v>44075</v>
      </c>
      <c r="B370" s="77">
        <f>IF(VLOOKUP(A370,Database!$A:$AS,MATCH($B$1,Database!$A$1:$AS$1,0),FALSE)=0,#N/A,VLOOKUP(A370,Database!$A:$AS,MATCH($B$1,Database!$A$1:$AS$1,0),FALSE))</f>
        <v/>
      </c>
      <c r="C370" s="77">
        <f>IF(VLOOKUP(A370,Database!$A:$AS,MATCH($C$1,Database!$A$1:$AS$1,0),FALSE)=0,#N/A,VLOOKUP(A370,Database!$A:$AS,MATCH($C$1,Database!$A$1:$AS$1,0),FALSE))</f>
        <v/>
      </c>
      <c r="D370" s="77">
        <f>IF(VLOOKUP(A370,Database!$A:$AS,MATCH($D$1,Database!$A$1:$AS$1,0),FALSE)=0,#N/A,VLOOKUP(A370,Database!$A:$AS,MATCH($D$1,Database!$A$1:$AS$1,0),FALSE))</f>
        <v/>
      </c>
      <c r="E370" s="77">
        <f>IF(VLOOKUP(A370,Database!$A:$AS,MATCH($E$1,Database!$A$1:$AS$1,0),FALSE)=0,#N/A,VLOOKUP(A370,Database!$A:$AS,MATCH($E$1,Database!$A$1:$AS$1,0),FALSE))</f>
        <v/>
      </c>
      <c r="F370" s="77">
        <f>IF(VLOOKUP(A370,Database!$A:$AS,MATCH($F$1,Database!$A$1:$AS$1,0),FALSE)=0,#N/A,VLOOKUP(A370,Database!$A:$AS,MATCH($F$1,Database!$A$1:$AS$1,0),FALSE))</f>
        <v/>
      </c>
      <c r="G370" s="77">
        <f>IF(VLOOKUP(A370,Database!$A:$AS,MATCH($G$1,Database!$A$1:$AS$1,0),FALSE)=0,#N/A,VLOOKUP(A370,Database!$A:$AS,MATCH($G$1,Database!$A$1:$AS$1,0),FALSE))</f>
        <v/>
      </c>
      <c r="H370" s="77">
        <f>(((Table134567891011121314151617343[[#This Row],[ITA]]-VLOOKUP($U$1,A:B,2,))/VLOOKUP($U$1,A:B,2,))*100)+100</f>
        <v/>
      </c>
      <c r="I370" s="77">
        <f>(((Table134567891011121314151617343[[#This Row],[FRA]]-VLOOKUP($U$1,A:C,3,))/VLOOKUP($U$1,A:C,3,))*100)+100</f>
        <v/>
      </c>
      <c r="J370" s="77">
        <f>(((Table134567891011121314151617343[[#This Row],[DEU]]-VLOOKUP($U$1,A:D,4,))/VLOOKUP($U$1,A:D,4,))*100)+100</f>
        <v/>
      </c>
      <c r="K370" s="77">
        <f>(((Table134567891011121314151617343[[#This Row],[ESP]]-VLOOKUP($U$1,A:E,5,))/VLOOKUP($U$1,A:E,5,))*100)+100</f>
        <v/>
      </c>
      <c r="L370" s="77">
        <f>(((Table134567891011121314151617343[[#This Row],[EA19]]-VLOOKUP($U$1,A:F,6,))/VLOOKUP($U$1,A:F,6,))*100)+100</f>
        <v/>
      </c>
      <c r="M370" s="77">
        <f>(((Table134567891011121314151617343[[#This Row],[GBR]]-VLOOKUP($U$1,A:G,7,))/VLOOKUP($U$1,A:G,7,))*100)+100</f>
        <v/>
      </c>
      <c r="N370" s="77">
        <f>IF(VLOOKUP(A370,Database!$A:$AU,MATCH($N$1,Database!$A$1:$AU$1,0),FALSE)=0,#N/A,VLOOKUP(A370,Database!$A:$AU,MATCH($N$1,Database!$A$1:$AU$1,0),FALSE))</f>
        <v/>
      </c>
      <c r="O370" s="77">
        <f>(((Table134567891011121314151617343[[#This Row],[USA]]-VLOOKUP($U$1,A:N,14,))/VLOOKUP($U$1,A:N,14,))*100)+100</f>
        <v/>
      </c>
      <c r="P370" s="77">
        <f>IF(VLOOKUP(A370,Database!$A:$AS,MATCH($P$1,Database!$A$1:$AS$1,0),FALSE)=0,#N/A,VLOOKUP(A370,Database!$A:$AS,MATCH($P$1,Database!$A$1:$AS$1,0),FALSE))</f>
        <v/>
      </c>
      <c r="Q370" s="77">
        <f>(((Table134567891011121314151617343[[#This Row],[JPN]]-VLOOKUP($U$1,A:Q,16,))/VLOOKUP($U$1,A:Q,16,))*100)+100</f>
        <v/>
      </c>
    </row>
    <row r="371" customFormat="1" s="87">
      <c r="A371" s="21" t="n">
        <v>44105</v>
      </c>
      <c r="B371" s="77">
        <f>IF(VLOOKUP(A371,Database!$A:$AS,MATCH($B$1,Database!$A$1:$AS$1,0),FALSE)=0,#N/A,VLOOKUP(A371,Database!$A:$AS,MATCH($B$1,Database!$A$1:$AS$1,0),FALSE))</f>
        <v/>
      </c>
      <c r="C371" s="77">
        <f>IF(VLOOKUP(A371,Database!$A:$AS,MATCH($C$1,Database!$A$1:$AS$1,0),FALSE)=0,#N/A,VLOOKUP(A371,Database!$A:$AS,MATCH($C$1,Database!$A$1:$AS$1,0),FALSE))</f>
        <v/>
      </c>
      <c r="D371" s="77">
        <f>IF(VLOOKUP(A371,Database!$A:$AS,MATCH($D$1,Database!$A$1:$AS$1,0),FALSE)=0,#N/A,VLOOKUP(A371,Database!$A:$AS,MATCH($D$1,Database!$A$1:$AS$1,0),FALSE))</f>
        <v/>
      </c>
      <c r="E371" s="77">
        <f>IF(VLOOKUP(A371,Database!$A:$AS,MATCH($E$1,Database!$A$1:$AS$1,0),FALSE)=0,#N/A,VLOOKUP(A371,Database!$A:$AS,MATCH($E$1,Database!$A$1:$AS$1,0),FALSE))</f>
        <v/>
      </c>
      <c r="F371" s="77">
        <f>IF(VLOOKUP(A371,Database!$A:$AS,MATCH($F$1,Database!$A$1:$AS$1,0),FALSE)=0,#N/A,VLOOKUP(A371,Database!$A:$AS,MATCH($F$1,Database!$A$1:$AS$1,0),FALSE))</f>
        <v/>
      </c>
      <c r="G371" s="77">
        <f>IF(VLOOKUP(A371,Database!$A:$AS,MATCH($G$1,Database!$A$1:$AS$1,0),FALSE)=0,#N/A,VLOOKUP(A371,Database!$A:$AS,MATCH($G$1,Database!$A$1:$AS$1,0),FALSE))</f>
        <v/>
      </c>
      <c r="H371" s="77">
        <f>(((Table134567891011121314151617343[[#This Row],[ITA]]-VLOOKUP($U$1,A:B,2,))/VLOOKUP($U$1,A:B,2,))*100)+100</f>
        <v/>
      </c>
      <c r="I371" s="77">
        <f>(((Table134567891011121314151617343[[#This Row],[FRA]]-VLOOKUP($U$1,A:C,3,))/VLOOKUP($U$1,A:C,3,))*100)+100</f>
        <v/>
      </c>
      <c r="J371" s="77">
        <f>(((Table134567891011121314151617343[[#This Row],[DEU]]-VLOOKUP($U$1,A:D,4,))/VLOOKUP($U$1,A:D,4,))*100)+100</f>
        <v/>
      </c>
      <c r="K371" s="77">
        <f>(((Table134567891011121314151617343[[#This Row],[ESP]]-VLOOKUP($U$1,A:E,5,))/VLOOKUP($U$1,A:E,5,))*100)+100</f>
        <v/>
      </c>
      <c r="L371" s="77">
        <f>(((Table134567891011121314151617343[[#This Row],[EA19]]-VLOOKUP($U$1,A:F,6,))/VLOOKUP($U$1,A:F,6,))*100)+100</f>
        <v/>
      </c>
      <c r="M371" s="77">
        <f>(((Table134567891011121314151617343[[#This Row],[GBR]]-VLOOKUP($U$1,A:G,7,))/VLOOKUP($U$1,A:G,7,))*100)+100</f>
        <v/>
      </c>
      <c r="N371" s="77">
        <f>IF(VLOOKUP(A371,Database!$A:$AU,MATCH($N$1,Database!$A$1:$AU$1,0),FALSE)=0,#N/A,VLOOKUP(A371,Database!$A:$AU,MATCH($N$1,Database!$A$1:$AU$1,0),FALSE))</f>
        <v/>
      </c>
      <c r="O371" s="77">
        <f>(((Table134567891011121314151617343[[#This Row],[USA]]-VLOOKUP($U$1,A:N,14,))/VLOOKUP($U$1,A:N,14,))*100)+100</f>
        <v/>
      </c>
      <c r="P371" s="77">
        <f>IF(VLOOKUP(A371,Database!$A:$AS,MATCH($P$1,Database!$A$1:$AS$1,0),FALSE)=0,#N/A,VLOOKUP(A371,Database!$A:$AS,MATCH($P$1,Database!$A$1:$AS$1,0),FALSE))</f>
        <v/>
      </c>
      <c r="Q371" s="77">
        <f>(((Table134567891011121314151617343[[#This Row],[JPN]]-VLOOKUP($U$1,A:Q,16,))/VLOOKUP($U$1,A:Q,16,))*100)+100</f>
        <v/>
      </c>
    </row>
    <row r="372" customFormat="1" s="87">
      <c r="A372" s="21" t="n">
        <v>44136</v>
      </c>
      <c r="B372" s="77">
        <f>IF(VLOOKUP(A372,Database!$A:$AS,MATCH($B$1,Database!$A$1:$AS$1,0),FALSE)=0,#N/A,VLOOKUP(A372,Database!$A:$AS,MATCH($B$1,Database!$A$1:$AS$1,0),FALSE))</f>
        <v/>
      </c>
      <c r="C372" s="77">
        <f>IF(VLOOKUP(A372,Database!$A:$AS,MATCH($C$1,Database!$A$1:$AS$1,0),FALSE)=0,#N/A,VLOOKUP(A372,Database!$A:$AS,MATCH($C$1,Database!$A$1:$AS$1,0),FALSE))</f>
        <v/>
      </c>
      <c r="D372" s="77">
        <f>IF(VLOOKUP(A372,Database!$A:$AS,MATCH($D$1,Database!$A$1:$AS$1,0),FALSE)=0,#N/A,VLOOKUP(A372,Database!$A:$AS,MATCH($D$1,Database!$A$1:$AS$1,0),FALSE))</f>
        <v/>
      </c>
      <c r="E372" s="77">
        <f>IF(VLOOKUP(A372,Database!$A:$AS,MATCH($E$1,Database!$A$1:$AS$1,0),FALSE)=0,#N/A,VLOOKUP(A372,Database!$A:$AS,MATCH($E$1,Database!$A$1:$AS$1,0),FALSE))</f>
        <v/>
      </c>
      <c r="F372" s="77">
        <f>IF(VLOOKUP(A372,Database!$A:$AS,MATCH($F$1,Database!$A$1:$AS$1,0),FALSE)=0,#N/A,VLOOKUP(A372,Database!$A:$AS,MATCH($F$1,Database!$A$1:$AS$1,0),FALSE))</f>
        <v/>
      </c>
      <c r="G372" s="77">
        <f>IF(VLOOKUP(A372,Database!$A:$AS,MATCH($G$1,Database!$A$1:$AS$1,0),FALSE)=0,#N/A,VLOOKUP(A372,Database!$A:$AS,MATCH($G$1,Database!$A$1:$AS$1,0),FALSE))</f>
        <v/>
      </c>
      <c r="H372" s="77">
        <f>(((Table134567891011121314151617343[[#This Row],[ITA]]-VLOOKUP($U$1,A:B,2,))/VLOOKUP($U$1,A:B,2,))*100)+100</f>
        <v/>
      </c>
      <c r="I372" s="77">
        <f>(((Table134567891011121314151617343[[#This Row],[FRA]]-VLOOKUP($U$1,A:C,3,))/VLOOKUP($U$1,A:C,3,))*100)+100</f>
        <v/>
      </c>
      <c r="J372" s="77">
        <f>(((Table134567891011121314151617343[[#This Row],[DEU]]-VLOOKUP($U$1,A:D,4,))/VLOOKUP($U$1,A:D,4,))*100)+100</f>
        <v/>
      </c>
      <c r="K372" s="77">
        <f>(((Table134567891011121314151617343[[#This Row],[ESP]]-VLOOKUP($U$1,A:E,5,))/VLOOKUP($U$1,A:E,5,))*100)+100</f>
        <v/>
      </c>
      <c r="L372" s="77">
        <f>(((Table134567891011121314151617343[[#This Row],[EA19]]-VLOOKUP($U$1,A:F,6,))/VLOOKUP($U$1,A:F,6,))*100)+100</f>
        <v/>
      </c>
      <c r="M372" s="77">
        <f>(((Table134567891011121314151617343[[#This Row],[GBR]]-VLOOKUP($U$1,A:G,7,))/VLOOKUP($U$1,A:G,7,))*100)+100</f>
        <v/>
      </c>
      <c r="N372" s="77">
        <f>IF(VLOOKUP(A372,Database!$A:$AU,MATCH($N$1,Database!$A$1:$AU$1,0),FALSE)=0,#N/A,VLOOKUP(A372,Database!$A:$AU,MATCH($N$1,Database!$A$1:$AU$1,0),FALSE))</f>
        <v/>
      </c>
      <c r="O372" s="77">
        <f>(((Table134567891011121314151617343[[#This Row],[USA]]-VLOOKUP($U$1,A:N,14,))/VLOOKUP($U$1,A:N,14,))*100)+100</f>
        <v/>
      </c>
      <c r="P372" s="77">
        <f>IF(VLOOKUP(A372,Database!$A:$AS,MATCH($P$1,Database!$A$1:$AS$1,0),FALSE)=0,#N/A,VLOOKUP(A372,Database!$A:$AS,MATCH($P$1,Database!$A$1:$AS$1,0),FALSE))</f>
        <v/>
      </c>
      <c r="Q372" s="77">
        <f>(((Table134567891011121314151617343[[#This Row],[JPN]]-VLOOKUP($U$1,A:Q,16,))/VLOOKUP($U$1,A:Q,16,))*100)+100</f>
        <v/>
      </c>
    </row>
    <row r="373" customFormat="1" s="87">
      <c r="A373" s="21" t="n">
        <v>44166</v>
      </c>
      <c r="B373" s="77">
        <f>IF(VLOOKUP(A373,Database!$A:$AS,MATCH($B$1,Database!$A$1:$AS$1,0),FALSE)=0,#N/A,VLOOKUP(A373,Database!$A:$AS,MATCH($B$1,Database!$A$1:$AS$1,0),FALSE))</f>
        <v/>
      </c>
      <c r="C373" s="77">
        <f>IF(VLOOKUP(A373,Database!$A:$AS,MATCH($C$1,Database!$A$1:$AS$1,0),FALSE)=0,#N/A,VLOOKUP(A373,Database!$A:$AS,MATCH($C$1,Database!$A$1:$AS$1,0),FALSE))</f>
        <v/>
      </c>
      <c r="D373" s="77">
        <f>IF(VLOOKUP(A373,Database!$A:$AS,MATCH($D$1,Database!$A$1:$AS$1,0),FALSE)=0,#N/A,VLOOKUP(A373,Database!$A:$AS,MATCH($D$1,Database!$A$1:$AS$1,0),FALSE))</f>
        <v/>
      </c>
      <c r="E373" s="77">
        <f>IF(VLOOKUP(A373,Database!$A:$AS,MATCH($E$1,Database!$A$1:$AS$1,0),FALSE)=0,#N/A,VLOOKUP(A373,Database!$A:$AS,MATCH($E$1,Database!$A$1:$AS$1,0),FALSE))</f>
        <v/>
      </c>
      <c r="F373" s="77">
        <f>IF(VLOOKUP(A373,Database!$A:$AS,MATCH($F$1,Database!$A$1:$AS$1,0),FALSE)=0,#N/A,VLOOKUP(A373,Database!$A:$AS,MATCH($F$1,Database!$A$1:$AS$1,0),FALSE))</f>
        <v/>
      </c>
      <c r="G373" s="77">
        <f>IF(VLOOKUP(A373,Database!$A:$AS,MATCH($G$1,Database!$A$1:$AS$1,0),FALSE)=0,#N/A,VLOOKUP(A373,Database!$A:$AS,MATCH($G$1,Database!$A$1:$AS$1,0),FALSE))</f>
        <v/>
      </c>
      <c r="H373" s="77">
        <f>(((Table134567891011121314151617343[[#This Row],[ITA]]-VLOOKUP($U$1,A:B,2,))/VLOOKUP($U$1,A:B,2,))*100)+100</f>
        <v/>
      </c>
      <c r="I373" s="77">
        <f>(((Table134567891011121314151617343[[#This Row],[FRA]]-VLOOKUP($U$1,A:C,3,))/VLOOKUP($U$1,A:C,3,))*100)+100</f>
        <v/>
      </c>
      <c r="J373" s="77">
        <f>(((Table134567891011121314151617343[[#This Row],[DEU]]-VLOOKUP($U$1,A:D,4,))/VLOOKUP($U$1,A:D,4,))*100)+100</f>
        <v/>
      </c>
      <c r="K373" s="77">
        <f>(((Table134567891011121314151617343[[#This Row],[ESP]]-VLOOKUP($U$1,A:E,5,))/VLOOKUP($U$1,A:E,5,))*100)+100</f>
        <v/>
      </c>
      <c r="L373" s="77">
        <f>(((Table134567891011121314151617343[[#This Row],[EA19]]-VLOOKUP($U$1,A:F,6,))/VLOOKUP($U$1,A:F,6,))*100)+100</f>
        <v/>
      </c>
      <c r="M373" s="77">
        <f>(((Table134567891011121314151617343[[#This Row],[GBR]]-VLOOKUP($U$1,A:G,7,))/VLOOKUP($U$1,A:G,7,))*100)+100</f>
        <v/>
      </c>
      <c r="N373" s="77">
        <f>IF(VLOOKUP(A373,Database!$A:$AU,MATCH($N$1,Database!$A$1:$AU$1,0),FALSE)=0,#N/A,VLOOKUP(A373,Database!$A:$AU,MATCH($N$1,Database!$A$1:$AU$1,0),FALSE))</f>
        <v/>
      </c>
      <c r="O373" s="77">
        <f>(((Table134567891011121314151617343[[#This Row],[USA]]-VLOOKUP($U$1,A:N,14,))/VLOOKUP($U$1,A:N,14,))*100)+100</f>
        <v/>
      </c>
      <c r="P373" s="77">
        <f>IF(VLOOKUP(A373,Database!$A:$AS,MATCH($P$1,Database!$A$1:$AS$1,0),FALSE)=0,#N/A,VLOOKUP(A373,Database!$A:$AS,MATCH($P$1,Database!$A$1:$AS$1,0),FALSE))</f>
        <v/>
      </c>
      <c r="Q373" s="77">
        <f>(((Table134567891011121314151617343[[#This Row],[JPN]]-VLOOKUP($U$1,A:Q,16,))/VLOOKUP($U$1,A:Q,16,))*100)+100</f>
        <v/>
      </c>
    </row>
    <row r="374" customFormat="1" s="87">
      <c r="A374" s="21" t="n">
        <v>44197</v>
      </c>
      <c r="B374" s="77">
        <f>IF(VLOOKUP(A374,Database!$A:$AS,MATCH($B$1,Database!$A$1:$AS$1,0),FALSE)=0,#N/A,VLOOKUP(A374,Database!$A:$AS,MATCH($B$1,Database!$A$1:$AS$1,0),FALSE))</f>
        <v/>
      </c>
      <c r="C374" s="77">
        <f>IF(VLOOKUP(A374,Database!$A:$AS,MATCH($C$1,Database!$A$1:$AS$1,0),FALSE)=0,#N/A,VLOOKUP(A374,Database!$A:$AS,MATCH($C$1,Database!$A$1:$AS$1,0),FALSE))</f>
        <v/>
      </c>
      <c r="D374" s="77">
        <f>IF(VLOOKUP(A374,Database!$A:$AS,MATCH($D$1,Database!$A$1:$AS$1,0),FALSE)=0,#N/A,VLOOKUP(A374,Database!$A:$AS,MATCH($D$1,Database!$A$1:$AS$1,0),FALSE))</f>
        <v/>
      </c>
      <c r="E374" s="77">
        <f>IF(VLOOKUP(A374,Database!$A:$AS,MATCH($E$1,Database!$A$1:$AS$1,0),FALSE)=0,#N/A,VLOOKUP(A374,Database!$A:$AS,MATCH($E$1,Database!$A$1:$AS$1,0),FALSE))</f>
        <v/>
      </c>
      <c r="F374" s="77">
        <f>IF(VLOOKUP(A374,Database!$A:$AS,MATCH($F$1,Database!$A$1:$AS$1,0),FALSE)=0,#N/A,VLOOKUP(A374,Database!$A:$AS,MATCH($F$1,Database!$A$1:$AS$1,0),FALSE))</f>
        <v/>
      </c>
      <c r="G374" s="77">
        <f>IF(VLOOKUP(A374,Database!$A:$AS,MATCH($G$1,Database!$A$1:$AS$1,0),FALSE)=0,#N/A,VLOOKUP(A374,Database!$A:$AS,MATCH($G$1,Database!$A$1:$AS$1,0),FALSE))</f>
        <v/>
      </c>
      <c r="H374" s="77">
        <f>(((Table134567891011121314151617343[[#This Row],[ITA]]-VLOOKUP($U$1,A:B,2,))/VLOOKUP($U$1,A:B,2,))*100)+100</f>
        <v/>
      </c>
      <c r="I374" s="77">
        <f>(((Table134567891011121314151617343[[#This Row],[FRA]]-VLOOKUP($U$1,A:C,3,))/VLOOKUP($U$1,A:C,3,))*100)+100</f>
        <v/>
      </c>
      <c r="J374" s="77">
        <f>(((Table134567891011121314151617343[[#This Row],[DEU]]-VLOOKUP($U$1,A:D,4,))/VLOOKUP($U$1,A:D,4,))*100)+100</f>
        <v/>
      </c>
      <c r="K374" s="77">
        <f>(((Table134567891011121314151617343[[#This Row],[ESP]]-VLOOKUP($U$1,A:E,5,))/VLOOKUP($U$1,A:E,5,))*100)+100</f>
        <v/>
      </c>
      <c r="L374" s="77">
        <f>(((Table134567891011121314151617343[[#This Row],[EA19]]-VLOOKUP($U$1,A:F,6,))/VLOOKUP($U$1,A:F,6,))*100)+100</f>
        <v/>
      </c>
      <c r="M374" s="77">
        <f>(((Table134567891011121314151617343[[#This Row],[GBR]]-VLOOKUP($U$1,A:G,7,))/VLOOKUP($U$1,A:G,7,))*100)+100</f>
        <v/>
      </c>
      <c r="N374" s="77">
        <f>IF(VLOOKUP(A374,Database!$A:$AU,MATCH($N$1,Database!$A$1:$AU$1,0),FALSE)=0,#N/A,VLOOKUP(A374,Database!$A:$AU,MATCH($N$1,Database!$A$1:$AU$1,0),FALSE))</f>
        <v/>
      </c>
      <c r="O374" s="77">
        <f>(((Table134567891011121314151617343[[#This Row],[USA]]-VLOOKUP($U$1,A:N,14,))/VLOOKUP($U$1,A:N,14,))*100)+100</f>
        <v/>
      </c>
      <c r="P374" s="77">
        <f>IF(VLOOKUP(A374,Database!$A:$AS,MATCH($P$1,Database!$A$1:$AS$1,0),FALSE)=0,#N/A,VLOOKUP(A374,Database!$A:$AS,MATCH($P$1,Database!$A$1:$AS$1,0),FALSE))</f>
        <v/>
      </c>
      <c r="Q374" s="77">
        <f>(((Table134567891011121314151617343[[#This Row],[JPN]]-VLOOKUP($U$1,A:Q,16,))/VLOOKUP($U$1,A:Q,16,))*100)+100</f>
        <v/>
      </c>
    </row>
    <row r="375" customFormat="1" s="87">
      <c r="A375" s="21" t="n">
        <v>44228</v>
      </c>
      <c r="B375" s="77">
        <f>IF(VLOOKUP(A375,Database!$A:$AS,MATCH($B$1,Database!$A$1:$AS$1,0),FALSE)=0,#N/A,VLOOKUP(A375,Database!$A:$AS,MATCH($B$1,Database!$A$1:$AS$1,0),FALSE))</f>
        <v/>
      </c>
      <c r="C375" s="77">
        <f>IF(VLOOKUP(A375,Database!$A:$AS,MATCH($C$1,Database!$A$1:$AS$1,0),FALSE)=0,#N/A,VLOOKUP(A375,Database!$A:$AS,MATCH($C$1,Database!$A$1:$AS$1,0),FALSE))</f>
        <v/>
      </c>
      <c r="D375" s="77">
        <f>IF(VLOOKUP(A375,Database!$A:$AS,MATCH($D$1,Database!$A$1:$AS$1,0),FALSE)=0,#N/A,VLOOKUP(A375,Database!$A:$AS,MATCH($D$1,Database!$A$1:$AS$1,0),FALSE))</f>
        <v/>
      </c>
      <c r="E375" s="77">
        <f>IF(VLOOKUP(A375,Database!$A:$AS,MATCH($E$1,Database!$A$1:$AS$1,0),FALSE)=0,#N/A,VLOOKUP(A375,Database!$A:$AS,MATCH($E$1,Database!$A$1:$AS$1,0),FALSE))</f>
        <v/>
      </c>
      <c r="F375" s="77">
        <f>IF(VLOOKUP(A375,Database!$A:$AS,MATCH($F$1,Database!$A$1:$AS$1,0),FALSE)=0,#N/A,VLOOKUP(A375,Database!$A:$AS,MATCH($F$1,Database!$A$1:$AS$1,0),FALSE))</f>
        <v/>
      </c>
      <c r="G375" s="77">
        <f>IF(VLOOKUP(A375,Database!$A:$AS,MATCH($G$1,Database!$A$1:$AS$1,0),FALSE)=0,#N/A,VLOOKUP(A375,Database!$A:$AS,MATCH($G$1,Database!$A$1:$AS$1,0),FALSE))</f>
        <v/>
      </c>
      <c r="H375" s="77">
        <f>(((Table134567891011121314151617343[[#This Row],[ITA]]-VLOOKUP($U$1,A:B,2,))/VLOOKUP($U$1,A:B,2,))*100)+100</f>
        <v/>
      </c>
      <c r="I375" s="77">
        <f>(((Table134567891011121314151617343[[#This Row],[FRA]]-VLOOKUP($U$1,A:C,3,))/VLOOKUP($U$1,A:C,3,))*100)+100</f>
        <v/>
      </c>
      <c r="J375" s="77">
        <f>(((Table134567891011121314151617343[[#This Row],[DEU]]-VLOOKUP($U$1,A:D,4,))/VLOOKUP($U$1,A:D,4,))*100)+100</f>
        <v/>
      </c>
      <c r="K375" s="77">
        <f>(((Table134567891011121314151617343[[#This Row],[ESP]]-VLOOKUP($U$1,A:E,5,))/VLOOKUP($U$1,A:E,5,))*100)+100</f>
        <v/>
      </c>
      <c r="L375" s="77">
        <f>(((Table134567891011121314151617343[[#This Row],[EA19]]-VLOOKUP($U$1,A:F,6,))/VLOOKUP($U$1,A:F,6,))*100)+100</f>
        <v/>
      </c>
      <c r="M375" s="77">
        <f>(((Table134567891011121314151617343[[#This Row],[GBR]]-VLOOKUP($U$1,A:G,7,))/VLOOKUP($U$1,A:G,7,))*100)+100</f>
        <v/>
      </c>
      <c r="N375" s="77">
        <f>IF(VLOOKUP(A375,Database!$A:$AU,MATCH($N$1,Database!$A$1:$AU$1,0),FALSE)=0,#N/A,VLOOKUP(A375,Database!$A:$AU,MATCH($N$1,Database!$A$1:$AU$1,0),FALSE))</f>
        <v/>
      </c>
      <c r="O375" s="77">
        <f>(((Table134567891011121314151617343[[#This Row],[USA]]-VLOOKUP($U$1,A:N,14,))/VLOOKUP($U$1,A:N,14,))*100)+100</f>
        <v/>
      </c>
      <c r="P375" s="77">
        <f>IF(VLOOKUP(A375,Database!$A:$AS,MATCH($P$1,Database!$A$1:$AS$1,0),FALSE)=0,#N/A,VLOOKUP(A375,Database!$A:$AS,MATCH($P$1,Database!$A$1:$AS$1,0),FALSE))</f>
        <v/>
      </c>
      <c r="Q375" s="77">
        <f>(((Table134567891011121314151617343[[#This Row],[JPN]]-VLOOKUP($U$1,A:Q,16,))/VLOOKUP($U$1,A:Q,16,))*100)+100</f>
        <v/>
      </c>
    </row>
    <row r="376" customFormat="1" s="87">
      <c r="A376" s="21" t="n">
        <v>44256</v>
      </c>
      <c r="B376" s="77">
        <f>IF(VLOOKUP(A376,Database!$A:$AS,MATCH($B$1,Database!$A$1:$AS$1,0),FALSE)=0,#N/A,VLOOKUP(A376,Database!$A:$AS,MATCH($B$1,Database!$A$1:$AS$1,0),FALSE))</f>
        <v/>
      </c>
      <c r="C376" s="77">
        <f>IF(VLOOKUP(A376,Database!$A:$AS,MATCH($C$1,Database!$A$1:$AS$1,0),FALSE)=0,#N/A,VLOOKUP(A376,Database!$A:$AS,MATCH($C$1,Database!$A$1:$AS$1,0),FALSE))</f>
        <v/>
      </c>
      <c r="D376" s="77">
        <f>IF(VLOOKUP(A376,Database!$A:$AS,MATCH($D$1,Database!$A$1:$AS$1,0),FALSE)=0,#N/A,VLOOKUP(A376,Database!$A:$AS,MATCH($D$1,Database!$A$1:$AS$1,0),FALSE))</f>
        <v/>
      </c>
      <c r="E376" s="77">
        <f>IF(VLOOKUP(A376,Database!$A:$AS,MATCH($E$1,Database!$A$1:$AS$1,0),FALSE)=0,#N/A,VLOOKUP(A376,Database!$A:$AS,MATCH($E$1,Database!$A$1:$AS$1,0),FALSE))</f>
        <v/>
      </c>
      <c r="F376" s="77">
        <f>IF(VLOOKUP(A376,Database!$A:$AS,MATCH($F$1,Database!$A$1:$AS$1,0),FALSE)=0,#N/A,VLOOKUP(A376,Database!$A:$AS,MATCH($F$1,Database!$A$1:$AS$1,0),FALSE))</f>
        <v/>
      </c>
      <c r="G376" s="77">
        <f>IF(VLOOKUP(A376,Database!$A:$AS,MATCH($G$1,Database!$A$1:$AS$1,0),FALSE)=0,#N/A,VLOOKUP(A376,Database!$A:$AS,MATCH($G$1,Database!$A$1:$AS$1,0),FALSE))</f>
        <v/>
      </c>
      <c r="H376" s="77">
        <f>(((Table134567891011121314151617343[[#This Row],[ITA]]-VLOOKUP($U$1,A:B,2,))/VLOOKUP($U$1,A:B,2,))*100)+100</f>
        <v/>
      </c>
      <c r="I376" s="77">
        <f>(((Table134567891011121314151617343[[#This Row],[FRA]]-VLOOKUP($U$1,A:C,3,))/VLOOKUP($U$1,A:C,3,))*100)+100</f>
        <v/>
      </c>
      <c r="J376" s="77">
        <f>(((Table134567891011121314151617343[[#This Row],[DEU]]-VLOOKUP($U$1,A:D,4,))/VLOOKUP($U$1,A:D,4,))*100)+100</f>
        <v/>
      </c>
      <c r="K376" s="77">
        <f>(((Table134567891011121314151617343[[#This Row],[ESP]]-VLOOKUP($U$1,A:E,5,))/VLOOKUP($U$1,A:E,5,))*100)+100</f>
        <v/>
      </c>
      <c r="L376" s="77">
        <f>(((Table134567891011121314151617343[[#This Row],[EA19]]-VLOOKUP($U$1,A:F,6,))/VLOOKUP($U$1,A:F,6,))*100)+100</f>
        <v/>
      </c>
      <c r="M376" s="77">
        <f>(((Table134567891011121314151617343[[#This Row],[GBR]]-VLOOKUP($U$1,A:G,7,))/VLOOKUP($U$1,A:G,7,))*100)+100</f>
        <v/>
      </c>
      <c r="N376" s="77">
        <f>IF(VLOOKUP(A376,Database!$A:$AU,MATCH($N$1,Database!$A$1:$AU$1,0),FALSE)=0,#N/A,VLOOKUP(A376,Database!$A:$AU,MATCH($N$1,Database!$A$1:$AU$1,0),FALSE))</f>
        <v/>
      </c>
      <c r="O376" s="77">
        <f>(((Table134567891011121314151617343[[#This Row],[USA]]-VLOOKUP($U$1,A:N,14,))/VLOOKUP($U$1,A:N,14,))*100)+100</f>
        <v/>
      </c>
      <c r="P376" s="77">
        <f>IF(VLOOKUP(A376,Database!$A:$AS,MATCH($P$1,Database!$A$1:$AS$1,0),FALSE)=0,#N/A,VLOOKUP(A376,Database!$A:$AS,MATCH($P$1,Database!$A$1:$AS$1,0),FALSE))</f>
        <v/>
      </c>
      <c r="Q376" s="77">
        <f>(((Table134567891011121314151617343[[#This Row],[JPN]]-VLOOKUP($U$1,A:Q,16,))/VLOOKUP($U$1,A:Q,16,))*100)+100</f>
        <v/>
      </c>
    </row>
    <row r="377" customFormat="1" s="87">
      <c r="A377" s="21" t="n">
        <v>44287</v>
      </c>
      <c r="B377" s="77">
        <f>IF(VLOOKUP(A377,Database!$A:$AS,MATCH($B$1,Database!$A$1:$AS$1,0),FALSE)=0,#N/A,VLOOKUP(A377,Database!$A:$AS,MATCH($B$1,Database!$A$1:$AS$1,0),FALSE))</f>
        <v/>
      </c>
      <c r="C377" s="77">
        <f>IF(VLOOKUP(A377,Database!$A:$AS,MATCH($C$1,Database!$A$1:$AS$1,0),FALSE)=0,#N/A,VLOOKUP(A377,Database!$A:$AS,MATCH($C$1,Database!$A$1:$AS$1,0),FALSE))</f>
        <v/>
      </c>
      <c r="D377" s="77">
        <f>IF(VLOOKUP(A377,Database!$A:$AS,MATCH($D$1,Database!$A$1:$AS$1,0),FALSE)=0,#N/A,VLOOKUP(A377,Database!$A:$AS,MATCH($D$1,Database!$A$1:$AS$1,0),FALSE))</f>
        <v/>
      </c>
      <c r="E377" s="77">
        <f>IF(VLOOKUP(A377,Database!$A:$AS,MATCH($E$1,Database!$A$1:$AS$1,0),FALSE)=0,#N/A,VLOOKUP(A377,Database!$A:$AS,MATCH($E$1,Database!$A$1:$AS$1,0),FALSE))</f>
        <v/>
      </c>
      <c r="F377" s="77">
        <f>IF(VLOOKUP(A377,Database!$A:$AS,MATCH($F$1,Database!$A$1:$AS$1,0),FALSE)=0,#N/A,VLOOKUP(A377,Database!$A:$AS,MATCH($F$1,Database!$A$1:$AS$1,0),FALSE))</f>
        <v/>
      </c>
      <c r="G377" s="77">
        <f>IF(VLOOKUP(A377,Database!$A:$AS,MATCH($G$1,Database!$A$1:$AS$1,0),FALSE)=0,#N/A,VLOOKUP(A377,Database!$A:$AS,MATCH($G$1,Database!$A$1:$AS$1,0),FALSE))</f>
        <v/>
      </c>
      <c r="H377" s="77">
        <f>(((Table134567891011121314151617343[[#This Row],[ITA]]-VLOOKUP($U$1,A:B,2,))/VLOOKUP($U$1,A:B,2,))*100)+100</f>
        <v/>
      </c>
      <c r="I377" s="77">
        <f>(((Table134567891011121314151617343[[#This Row],[FRA]]-VLOOKUP($U$1,A:C,3,))/VLOOKUP($U$1,A:C,3,))*100)+100</f>
        <v/>
      </c>
      <c r="J377" s="77">
        <f>(((Table134567891011121314151617343[[#This Row],[DEU]]-VLOOKUP($U$1,A:D,4,))/VLOOKUP($U$1,A:D,4,))*100)+100</f>
        <v/>
      </c>
      <c r="K377" s="77">
        <f>(((Table134567891011121314151617343[[#This Row],[ESP]]-VLOOKUP($U$1,A:E,5,))/VLOOKUP($U$1,A:E,5,))*100)+100</f>
        <v/>
      </c>
      <c r="L377" s="77">
        <f>(((Table134567891011121314151617343[[#This Row],[EA19]]-VLOOKUP($U$1,A:F,6,))/VLOOKUP($U$1,A:F,6,))*100)+100</f>
        <v/>
      </c>
      <c r="M377" s="77">
        <f>(((Table134567891011121314151617343[[#This Row],[GBR]]-VLOOKUP($U$1,A:G,7,))/VLOOKUP($U$1,A:G,7,))*100)+100</f>
        <v/>
      </c>
      <c r="N377" s="77">
        <f>IF(VLOOKUP(A377,Database!$A:$AU,MATCH($N$1,Database!$A$1:$AU$1,0),FALSE)=0,#N/A,VLOOKUP(A377,Database!$A:$AU,MATCH($N$1,Database!$A$1:$AU$1,0),FALSE))</f>
        <v/>
      </c>
      <c r="O377" s="77">
        <f>(((Table134567891011121314151617343[[#This Row],[USA]]-VLOOKUP($U$1,A:N,14,))/VLOOKUP($U$1,A:N,14,))*100)+100</f>
        <v/>
      </c>
      <c r="P377" s="77">
        <f>IF(VLOOKUP(A377,Database!$A:$AS,MATCH($P$1,Database!$A$1:$AS$1,0),FALSE)=0,#N/A,VLOOKUP(A377,Database!$A:$AS,MATCH($P$1,Database!$A$1:$AS$1,0),FALSE))</f>
        <v/>
      </c>
      <c r="Q377" s="77">
        <f>(((Table134567891011121314151617343[[#This Row],[JPN]]-VLOOKUP($U$1,A:Q,16,))/VLOOKUP($U$1,A:Q,16,))*100)+100</f>
        <v/>
      </c>
    </row>
    <row r="378" customFormat="1" s="87">
      <c r="A378" s="21" t="n">
        <v>44317</v>
      </c>
      <c r="B378" s="77">
        <f>IF(VLOOKUP(A378,Database!$A:$AS,MATCH($B$1,Database!$A$1:$AS$1,0),FALSE)=0,#N/A,VLOOKUP(A378,Database!$A:$AS,MATCH($B$1,Database!$A$1:$AS$1,0),FALSE))</f>
        <v/>
      </c>
      <c r="C378" s="77">
        <f>IF(VLOOKUP(A378,Database!$A:$AS,MATCH($C$1,Database!$A$1:$AS$1,0),FALSE)=0,#N/A,VLOOKUP(A378,Database!$A:$AS,MATCH($C$1,Database!$A$1:$AS$1,0),FALSE))</f>
        <v/>
      </c>
      <c r="D378" s="77">
        <f>IF(VLOOKUP(A378,Database!$A:$AS,MATCH($D$1,Database!$A$1:$AS$1,0),FALSE)=0,#N/A,VLOOKUP(A378,Database!$A:$AS,MATCH($D$1,Database!$A$1:$AS$1,0),FALSE))</f>
        <v/>
      </c>
      <c r="E378" s="77">
        <f>IF(VLOOKUP(A378,Database!$A:$AS,MATCH($E$1,Database!$A$1:$AS$1,0),FALSE)=0,#N/A,VLOOKUP(A378,Database!$A:$AS,MATCH($E$1,Database!$A$1:$AS$1,0),FALSE))</f>
        <v/>
      </c>
      <c r="F378" s="77">
        <f>IF(VLOOKUP(A378,Database!$A:$AS,MATCH($F$1,Database!$A$1:$AS$1,0),FALSE)=0,#N/A,VLOOKUP(A378,Database!$A:$AS,MATCH($F$1,Database!$A$1:$AS$1,0),FALSE))</f>
        <v/>
      </c>
      <c r="G378" s="77">
        <f>IF(VLOOKUP(A378,Database!$A:$AS,MATCH($G$1,Database!$A$1:$AS$1,0),FALSE)=0,#N/A,VLOOKUP(A378,Database!$A:$AS,MATCH($G$1,Database!$A$1:$AS$1,0),FALSE))</f>
        <v/>
      </c>
      <c r="H378" s="77">
        <f>(((Table134567891011121314151617343[[#This Row],[ITA]]-VLOOKUP($U$1,A:B,2,))/VLOOKUP($U$1,A:B,2,))*100)+100</f>
        <v/>
      </c>
      <c r="I378" s="77">
        <f>(((Table134567891011121314151617343[[#This Row],[FRA]]-VLOOKUP($U$1,A:C,3,))/VLOOKUP($U$1,A:C,3,))*100)+100</f>
        <v/>
      </c>
      <c r="J378" s="77">
        <f>(((Table134567891011121314151617343[[#This Row],[DEU]]-VLOOKUP($U$1,A:D,4,))/VLOOKUP($U$1,A:D,4,))*100)+100</f>
        <v/>
      </c>
      <c r="K378" s="77">
        <f>(((Table134567891011121314151617343[[#This Row],[ESP]]-VLOOKUP($U$1,A:E,5,))/VLOOKUP($U$1,A:E,5,))*100)+100</f>
        <v/>
      </c>
      <c r="L378" s="77">
        <f>(((Table134567891011121314151617343[[#This Row],[EA19]]-VLOOKUP($U$1,A:F,6,))/VLOOKUP($U$1,A:F,6,))*100)+100</f>
        <v/>
      </c>
      <c r="M378" s="77">
        <f>(((Table134567891011121314151617343[[#This Row],[GBR]]-VLOOKUP($U$1,A:G,7,))/VLOOKUP($U$1,A:G,7,))*100)+100</f>
        <v/>
      </c>
      <c r="N378" s="77">
        <f>IF(VLOOKUP(A378,Database!$A:$AU,MATCH($N$1,Database!$A$1:$AU$1,0),FALSE)=0,#N/A,VLOOKUP(A378,Database!$A:$AU,MATCH($N$1,Database!$A$1:$AU$1,0),FALSE))</f>
        <v/>
      </c>
      <c r="O378" s="77">
        <f>(((Table134567891011121314151617343[[#This Row],[USA]]-VLOOKUP($U$1,A:N,14,))/VLOOKUP($U$1,A:N,14,))*100)+100</f>
        <v/>
      </c>
      <c r="P378" s="77">
        <f>IF(VLOOKUP(A378,Database!$A:$AS,MATCH($P$1,Database!$A$1:$AS$1,0),FALSE)=0,#N/A,VLOOKUP(A378,Database!$A:$AS,MATCH($P$1,Database!$A$1:$AS$1,0),FALSE))</f>
        <v/>
      </c>
      <c r="Q378" s="77">
        <f>(((Table134567891011121314151617343[[#This Row],[JPN]]-VLOOKUP($U$1,A:Q,16,))/VLOOKUP($U$1,A:Q,16,))*100)+100</f>
        <v/>
      </c>
    </row>
    <row r="379" customFormat="1" s="87">
      <c r="A379" s="21" t="n">
        <v>44348</v>
      </c>
      <c r="B379" s="77">
        <f>IF(VLOOKUP(A379,Database!$A:$AS,MATCH($B$1,Database!$A$1:$AS$1,0),FALSE)=0,#N/A,VLOOKUP(A379,Database!$A:$AS,MATCH($B$1,Database!$A$1:$AS$1,0),FALSE))</f>
        <v/>
      </c>
      <c r="C379" s="77">
        <f>IF(VLOOKUP(A379,Database!$A:$AS,MATCH($C$1,Database!$A$1:$AS$1,0),FALSE)=0,#N/A,VLOOKUP(A379,Database!$A:$AS,MATCH($C$1,Database!$A$1:$AS$1,0),FALSE))</f>
        <v/>
      </c>
      <c r="D379" s="77">
        <f>IF(VLOOKUP(A379,Database!$A:$AS,MATCH($D$1,Database!$A$1:$AS$1,0),FALSE)=0,#N/A,VLOOKUP(A379,Database!$A:$AS,MATCH($D$1,Database!$A$1:$AS$1,0),FALSE))</f>
        <v/>
      </c>
      <c r="E379" s="77">
        <f>IF(VLOOKUP(A379,Database!$A:$AS,MATCH($E$1,Database!$A$1:$AS$1,0),FALSE)=0,#N/A,VLOOKUP(A379,Database!$A:$AS,MATCH($E$1,Database!$A$1:$AS$1,0),FALSE))</f>
        <v/>
      </c>
      <c r="F379" s="77">
        <f>IF(VLOOKUP(A379,Database!$A:$AS,MATCH($F$1,Database!$A$1:$AS$1,0),FALSE)=0,#N/A,VLOOKUP(A379,Database!$A:$AS,MATCH($F$1,Database!$A$1:$AS$1,0),FALSE))</f>
        <v/>
      </c>
      <c r="G379" s="77">
        <f>IF(VLOOKUP(A379,Database!$A:$AS,MATCH($G$1,Database!$A$1:$AS$1,0),FALSE)=0,#N/A,VLOOKUP(A379,Database!$A:$AS,MATCH($G$1,Database!$A$1:$AS$1,0),FALSE))</f>
        <v/>
      </c>
      <c r="H379" s="77">
        <f>(((Table134567891011121314151617343[[#This Row],[ITA]]-VLOOKUP($U$1,A:B,2,))/VLOOKUP($U$1,A:B,2,))*100)+100</f>
        <v/>
      </c>
      <c r="I379" s="77">
        <f>(((Table134567891011121314151617343[[#This Row],[FRA]]-VLOOKUP($U$1,A:C,3,))/VLOOKUP($U$1,A:C,3,))*100)+100</f>
        <v/>
      </c>
      <c r="J379" s="77">
        <f>(((Table134567891011121314151617343[[#This Row],[DEU]]-VLOOKUP($U$1,A:D,4,))/VLOOKUP($U$1,A:D,4,))*100)+100</f>
        <v/>
      </c>
      <c r="K379" s="77">
        <f>(((Table134567891011121314151617343[[#This Row],[ESP]]-VLOOKUP($U$1,A:E,5,))/VLOOKUP($U$1,A:E,5,))*100)+100</f>
        <v/>
      </c>
      <c r="L379" s="77">
        <f>(((Table134567891011121314151617343[[#This Row],[EA19]]-VLOOKUP($U$1,A:F,6,))/VLOOKUP($U$1,A:F,6,))*100)+100</f>
        <v/>
      </c>
      <c r="M379" s="77">
        <f>(((Table134567891011121314151617343[[#This Row],[GBR]]-VLOOKUP($U$1,A:G,7,))/VLOOKUP($U$1,A:G,7,))*100)+100</f>
        <v/>
      </c>
      <c r="N379" s="77">
        <f>IF(VLOOKUP(A379,Database!$A:$AU,MATCH($N$1,Database!$A$1:$AU$1,0),FALSE)=0,#N/A,VLOOKUP(A379,Database!$A:$AU,MATCH($N$1,Database!$A$1:$AU$1,0),FALSE))</f>
        <v/>
      </c>
      <c r="O379" s="77">
        <f>(((Table134567891011121314151617343[[#This Row],[USA]]-VLOOKUP($U$1,A:N,14,))/VLOOKUP($U$1,A:N,14,))*100)+100</f>
        <v/>
      </c>
      <c r="P379" s="77">
        <f>IF(VLOOKUP(A379,Database!$A:$AS,MATCH($P$1,Database!$A$1:$AS$1,0),FALSE)=0,#N/A,VLOOKUP(A379,Database!$A:$AS,MATCH($P$1,Database!$A$1:$AS$1,0),FALSE))</f>
        <v/>
      </c>
      <c r="Q379" s="77">
        <f>(((Table134567891011121314151617343[[#This Row],[JPN]]-VLOOKUP($U$1,A:Q,16,))/VLOOKUP($U$1,A:Q,16,))*100)+100</f>
        <v/>
      </c>
    </row>
    <row r="380" customFormat="1" s="87">
      <c r="A380" s="21" t="n">
        <v>44378</v>
      </c>
      <c r="B380" s="77">
        <f>IF(VLOOKUP(A380,Database!$A:$AS,MATCH($B$1,Database!$A$1:$AS$1,0),FALSE)=0,#N/A,VLOOKUP(A380,Database!$A:$AS,MATCH($B$1,Database!$A$1:$AS$1,0),FALSE))</f>
        <v/>
      </c>
      <c r="C380" s="77">
        <f>IF(VLOOKUP(A380,Database!$A:$AS,MATCH($C$1,Database!$A$1:$AS$1,0),FALSE)=0,#N/A,VLOOKUP(A380,Database!$A:$AS,MATCH($C$1,Database!$A$1:$AS$1,0),FALSE))</f>
        <v/>
      </c>
      <c r="D380" s="77">
        <f>IF(VLOOKUP(A380,Database!$A:$AS,MATCH($D$1,Database!$A$1:$AS$1,0),FALSE)=0,#N/A,VLOOKUP(A380,Database!$A:$AS,MATCH($D$1,Database!$A$1:$AS$1,0),FALSE))</f>
        <v/>
      </c>
      <c r="E380" s="77">
        <f>IF(VLOOKUP(A380,Database!$A:$AS,MATCH($E$1,Database!$A$1:$AS$1,0),FALSE)=0,#N/A,VLOOKUP(A380,Database!$A:$AS,MATCH($E$1,Database!$A$1:$AS$1,0),FALSE))</f>
        <v/>
      </c>
      <c r="F380" s="77">
        <f>IF(VLOOKUP(A380,Database!$A:$AS,MATCH($F$1,Database!$A$1:$AS$1,0),FALSE)=0,#N/A,VLOOKUP(A380,Database!$A:$AS,MATCH($F$1,Database!$A$1:$AS$1,0),FALSE))</f>
        <v/>
      </c>
      <c r="G380" s="77">
        <f>IF(VLOOKUP(A380,Database!$A:$AS,MATCH($G$1,Database!$A$1:$AS$1,0),FALSE)=0,#N/A,VLOOKUP(A380,Database!$A:$AS,MATCH($G$1,Database!$A$1:$AS$1,0),FALSE))</f>
        <v/>
      </c>
      <c r="H380" s="77">
        <f>(((Table134567891011121314151617343[[#This Row],[ITA]]-VLOOKUP($U$1,A:B,2,))/VLOOKUP($U$1,A:B,2,))*100)+100</f>
        <v/>
      </c>
      <c r="I380" s="77">
        <f>(((Table134567891011121314151617343[[#This Row],[FRA]]-VLOOKUP($U$1,A:C,3,))/VLOOKUP($U$1,A:C,3,))*100)+100</f>
        <v/>
      </c>
      <c r="J380" s="77">
        <f>(((Table134567891011121314151617343[[#This Row],[DEU]]-VLOOKUP($U$1,A:D,4,))/VLOOKUP($U$1,A:D,4,))*100)+100</f>
        <v/>
      </c>
      <c r="K380" s="77">
        <f>(((Table134567891011121314151617343[[#This Row],[ESP]]-VLOOKUP($U$1,A:E,5,))/VLOOKUP($U$1,A:E,5,))*100)+100</f>
        <v/>
      </c>
      <c r="L380" s="77">
        <f>(((Table134567891011121314151617343[[#This Row],[EA19]]-VLOOKUP($U$1,A:F,6,))/VLOOKUP($U$1,A:F,6,))*100)+100</f>
        <v/>
      </c>
      <c r="M380" s="77">
        <f>(((Table134567891011121314151617343[[#This Row],[GBR]]-VLOOKUP($U$1,A:G,7,))/VLOOKUP($U$1,A:G,7,))*100)+100</f>
        <v/>
      </c>
      <c r="N380" s="77">
        <f>IF(VLOOKUP(A380,Database!$A:$AU,MATCH($N$1,Database!$A$1:$AU$1,0),FALSE)=0,#N/A,VLOOKUP(A380,Database!$A:$AU,MATCH($N$1,Database!$A$1:$AU$1,0),FALSE))</f>
        <v/>
      </c>
      <c r="O380" s="77">
        <f>(((Table134567891011121314151617343[[#This Row],[USA]]-VLOOKUP($U$1,A:N,14,))/VLOOKUP($U$1,A:N,14,))*100)+100</f>
        <v/>
      </c>
      <c r="P380" s="77">
        <f>IF(VLOOKUP(A380,Database!$A:$AS,MATCH($P$1,Database!$A$1:$AS$1,0),FALSE)=0,#N/A,VLOOKUP(A380,Database!$A:$AS,MATCH($P$1,Database!$A$1:$AS$1,0),FALSE))</f>
        <v/>
      </c>
      <c r="Q380" s="77">
        <f>(((Table134567891011121314151617343[[#This Row],[JPN]]-VLOOKUP($U$1,A:Q,16,))/VLOOKUP($U$1,A:Q,16,))*100)+100</f>
        <v/>
      </c>
    </row>
    <row r="381" customFormat="1" s="87">
      <c r="A381" s="21" t="n">
        <v>44409</v>
      </c>
      <c r="B381" s="77">
        <f>IF(VLOOKUP(A381,Database!$A:$AS,MATCH($B$1,Database!$A$1:$AS$1,0),FALSE)=0,#N/A,VLOOKUP(A381,Database!$A:$AS,MATCH($B$1,Database!$A$1:$AS$1,0),FALSE))</f>
        <v/>
      </c>
      <c r="C381" s="77">
        <f>IF(VLOOKUP(A381,Database!$A:$AS,MATCH($C$1,Database!$A$1:$AS$1,0),FALSE)=0,#N/A,VLOOKUP(A381,Database!$A:$AS,MATCH($C$1,Database!$A$1:$AS$1,0),FALSE))</f>
        <v/>
      </c>
      <c r="D381" s="77">
        <f>IF(VLOOKUP(A381,Database!$A:$AS,MATCH($D$1,Database!$A$1:$AS$1,0),FALSE)=0,#N/A,VLOOKUP(A381,Database!$A:$AS,MATCH($D$1,Database!$A$1:$AS$1,0),FALSE))</f>
        <v/>
      </c>
      <c r="E381" s="77">
        <f>IF(VLOOKUP(A381,Database!$A:$AS,MATCH($E$1,Database!$A$1:$AS$1,0),FALSE)=0,#N/A,VLOOKUP(A381,Database!$A:$AS,MATCH($E$1,Database!$A$1:$AS$1,0),FALSE))</f>
        <v/>
      </c>
      <c r="F381" s="77">
        <f>IF(VLOOKUP(A381,Database!$A:$AS,MATCH($F$1,Database!$A$1:$AS$1,0),FALSE)=0,#N/A,VLOOKUP(A381,Database!$A:$AS,MATCH($F$1,Database!$A$1:$AS$1,0),FALSE))</f>
        <v/>
      </c>
      <c r="G381" s="77">
        <f>IF(VLOOKUP(A381,Database!$A:$AS,MATCH($G$1,Database!$A$1:$AS$1,0),FALSE)=0,#N/A,VLOOKUP(A381,Database!$A:$AS,MATCH($G$1,Database!$A$1:$AS$1,0),FALSE))</f>
        <v/>
      </c>
      <c r="H381" s="77">
        <f>(((Table134567891011121314151617343[[#This Row],[ITA]]-VLOOKUP($U$1,A:B,2,))/VLOOKUP($U$1,A:B,2,))*100)+100</f>
        <v/>
      </c>
      <c r="I381" s="77">
        <f>(((Table134567891011121314151617343[[#This Row],[FRA]]-VLOOKUP($U$1,A:C,3,))/VLOOKUP($U$1,A:C,3,))*100)+100</f>
        <v/>
      </c>
      <c r="J381" s="77">
        <f>(((Table134567891011121314151617343[[#This Row],[DEU]]-VLOOKUP($U$1,A:D,4,))/VLOOKUP($U$1,A:D,4,))*100)+100</f>
        <v/>
      </c>
      <c r="K381" s="77">
        <f>(((Table134567891011121314151617343[[#This Row],[ESP]]-VLOOKUP($U$1,A:E,5,))/VLOOKUP($U$1,A:E,5,))*100)+100</f>
        <v/>
      </c>
      <c r="L381" s="77">
        <f>(((Table134567891011121314151617343[[#This Row],[EA19]]-VLOOKUP($U$1,A:F,6,))/VLOOKUP($U$1,A:F,6,))*100)+100</f>
        <v/>
      </c>
      <c r="M381" s="77">
        <f>(((Table134567891011121314151617343[[#This Row],[GBR]]-VLOOKUP($U$1,A:G,7,))/VLOOKUP($U$1,A:G,7,))*100)+100</f>
        <v/>
      </c>
      <c r="N381" s="77">
        <f>IF(VLOOKUP(A381,Database!$A:$AU,MATCH($N$1,Database!$A$1:$AU$1,0),FALSE)=0,#N/A,VLOOKUP(A381,Database!$A:$AU,MATCH($N$1,Database!$A$1:$AU$1,0),FALSE))</f>
        <v/>
      </c>
      <c r="O381" s="77">
        <f>(((Table134567891011121314151617343[[#This Row],[USA]]-VLOOKUP($U$1,A:N,14,))/VLOOKUP($U$1,A:N,14,))*100)+100</f>
        <v/>
      </c>
      <c r="P381" s="77">
        <f>IF(VLOOKUP(A381,Database!$A:$AS,MATCH($P$1,Database!$A$1:$AS$1,0),FALSE)=0,#N/A,VLOOKUP(A381,Database!$A:$AS,MATCH($P$1,Database!$A$1:$AS$1,0),FALSE))</f>
        <v/>
      </c>
      <c r="Q381" s="77">
        <f>(((Table134567891011121314151617343[[#This Row],[JPN]]-VLOOKUP($U$1,A:Q,16,))/VLOOKUP($U$1,A:Q,16,))*100)+100</f>
        <v/>
      </c>
    </row>
    <row r="382" customFormat="1" s="87">
      <c r="A382" s="21" t="n">
        <v>44440</v>
      </c>
      <c r="B382" s="77">
        <f>IF(VLOOKUP(A382,Database!$A:$AS,MATCH($B$1,Database!$A$1:$AS$1,0),FALSE)=0,#N/A,VLOOKUP(A382,Database!$A:$AS,MATCH($B$1,Database!$A$1:$AS$1,0),FALSE))</f>
        <v/>
      </c>
      <c r="C382" s="77">
        <f>IF(VLOOKUP(A382,Database!$A:$AS,MATCH($C$1,Database!$A$1:$AS$1,0),FALSE)=0,#N/A,VLOOKUP(A382,Database!$A:$AS,MATCH($C$1,Database!$A$1:$AS$1,0),FALSE))</f>
        <v/>
      </c>
      <c r="D382" s="77">
        <f>IF(VLOOKUP(A382,Database!$A:$AS,MATCH($D$1,Database!$A$1:$AS$1,0),FALSE)=0,#N/A,VLOOKUP(A382,Database!$A:$AS,MATCH($D$1,Database!$A$1:$AS$1,0),FALSE))</f>
        <v/>
      </c>
      <c r="E382" s="77">
        <f>IF(VLOOKUP(A382,Database!$A:$AS,MATCH($E$1,Database!$A$1:$AS$1,0),FALSE)=0,#N/A,VLOOKUP(A382,Database!$A:$AS,MATCH($E$1,Database!$A$1:$AS$1,0),FALSE))</f>
        <v/>
      </c>
      <c r="F382" s="77">
        <f>IF(VLOOKUP(A382,Database!$A:$AS,MATCH($F$1,Database!$A$1:$AS$1,0),FALSE)=0,#N/A,VLOOKUP(A382,Database!$A:$AS,MATCH($F$1,Database!$A$1:$AS$1,0),FALSE))</f>
        <v/>
      </c>
      <c r="G382" s="77">
        <f>IF(VLOOKUP(A382,Database!$A:$AS,MATCH($G$1,Database!$A$1:$AS$1,0),FALSE)=0,#N/A,VLOOKUP(A382,Database!$A:$AS,MATCH($G$1,Database!$A$1:$AS$1,0),FALSE))</f>
        <v/>
      </c>
      <c r="H382" s="77">
        <f>(((Table134567891011121314151617343[[#This Row],[ITA]]-VLOOKUP($U$1,A:B,2,))/VLOOKUP($U$1,A:B,2,))*100)+100</f>
        <v/>
      </c>
      <c r="I382" s="77">
        <f>(((Table134567891011121314151617343[[#This Row],[FRA]]-VLOOKUP($U$1,A:C,3,))/VLOOKUP($U$1,A:C,3,))*100)+100</f>
        <v/>
      </c>
      <c r="J382" s="77">
        <f>(((Table134567891011121314151617343[[#This Row],[DEU]]-VLOOKUP($U$1,A:D,4,))/VLOOKUP($U$1,A:D,4,))*100)+100</f>
        <v/>
      </c>
      <c r="K382" s="77">
        <f>(((Table134567891011121314151617343[[#This Row],[ESP]]-VLOOKUP($U$1,A:E,5,))/VLOOKUP($U$1,A:E,5,))*100)+100</f>
        <v/>
      </c>
      <c r="L382" s="77">
        <f>(((Table134567891011121314151617343[[#This Row],[EA19]]-VLOOKUP($U$1,A:F,6,))/VLOOKUP($U$1,A:F,6,))*100)+100</f>
        <v/>
      </c>
      <c r="M382" s="77">
        <f>(((Table134567891011121314151617343[[#This Row],[GBR]]-VLOOKUP($U$1,A:G,7,))/VLOOKUP($U$1,A:G,7,))*100)+100</f>
        <v/>
      </c>
      <c r="N382" s="77">
        <f>IF(VLOOKUP(A382,Database!$A:$AU,MATCH($N$1,Database!$A$1:$AU$1,0),FALSE)=0,#N/A,VLOOKUP(A382,Database!$A:$AU,MATCH($N$1,Database!$A$1:$AU$1,0),FALSE))</f>
        <v/>
      </c>
      <c r="O382" s="77">
        <f>(((Table134567891011121314151617343[[#This Row],[USA]]-VLOOKUP($U$1,A:N,14,))/VLOOKUP($U$1,A:N,14,))*100)+100</f>
        <v/>
      </c>
      <c r="P382" s="77">
        <f>IF(VLOOKUP(A382,Database!$A:$AS,MATCH($P$1,Database!$A$1:$AS$1,0),FALSE)=0,#N/A,VLOOKUP(A382,Database!$A:$AS,MATCH($P$1,Database!$A$1:$AS$1,0),FALSE))</f>
        <v/>
      </c>
      <c r="Q382" s="77">
        <f>(((Table134567891011121314151617343[[#This Row],[JPN]]-VLOOKUP($U$1,A:Q,16,))/VLOOKUP($U$1,A:Q,16,))*100)+100</f>
        <v/>
      </c>
    </row>
    <row r="383" customFormat="1" s="87">
      <c r="A383" s="21" t="n">
        <v>44470</v>
      </c>
      <c r="B383" s="77">
        <f>IF(VLOOKUP(A383,Database!$A:$AS,MATCH($B$1,Database!$A$1:$AS$1,0),FALSE)=0,#N/A,VLOOKUP(A383,Database!$A:$AS,MATCH($B$1,Database!$A$1:$AS$1,0),FALSE))</f>
        <v/>
      </c>
      <c r="C383" s="77">
        <f>IF(VLOOKUP(A383,Database!$A:$AS,MATCH($C$1,Database!$A$1:$AS$1,0),FALSE)=0,#N/A,VLOOKUP(A383,Database!$A:$AS,MATCH($C$1,Database!$A$1:$AS$1,0),FALSE))</f>
        <v/>
      </c>
      <c r="D383" s="77">
        <f>IF(VLOOKUP(A383,Database!$A:$AS,MATCH($D$1,Database!$A$1:$AS$1,0),FALSE)=0,#N/A,VLOOKUP(A383,Database!$A:$AS,MATCH($D$1,Database!$A$1:$AS$1,0),FALSE))</f>
        <v/>
      </c>
      <c r="E383" s="77">
        <f>IF(VLOOKUP(A383,Database!$A:$AS,MATCH($E$1,Database!$A$1:$AS$1,0),FALSE)=0,#N/A,VLOOKUP(A383,Database!$A:$AS,MATCH($E$1,Database!$A$1:$AS$1,0),FALSE))</f>
        <v/>
      </c>
      <c r="F383" s="77">
        <f>IF(VLOOKUP(A383,Database!$A:$AS,MATCH($F$1,Database!$A$1:$AS$1,0),FALSE)=0,#N/A,VLOOKUP(A383,Database!$A:$AS,MATCH($F$1,Database!$A$1:$AS$1,0),FALSE))</f>
        <v/>
      </c>
      <c r="G383" s="77">
        <f>IF(VLOOKUP(A383,Database!$A:$AS,MATCH($G$1,Database!$A$1:$AS$1,0),FALSE)=0,#N/A,VLOOKUP(A383,Database!$A:$AS,MATCH($G$1,Database!$A$1:$AS$1,0),FALSE))</f>
        <v/>
      </c>
      <c r="H383" s="77">
        <f>(((Table134567891011121314151617343[[#This Row],[ITA]]-VLOOKUP($U$1,A:B,2,))/VLOOKUP($U$1,A:B,2,))*100)+100</f>
        <v/>
      </c>
      <c r="I383" s="77">
        <f>(((Table134567891011121314151617343[[#This Row],[FRA]]-VLOOKUP($U$1,A:C,3,))/VLOOKUP($U$1,A:C,3,))*100)+100</f>
        <v/>
      </c>
      <c r="J383" s="77">
        <f>(((Table134567891011121314151617343[[#This Row],[DEU]]-VLOOKUP($U$1,A:D,4,))/VLOOKUP($U$1,A:D,4,))*100)+100</f>
        <v/>
      </c>
      <c r="K383" s="77">
        <f>(((Table134567891011121314151617343[[#This Row],[ESP]]-VLOOKUP($U$1,A:E,5,))/VLOOKUP($U$1,A:E,5,))*100)+100</f>
        <v/>
      </c>
      <c r="L383" s="77">
        <f>(((Table134567891011121314151617343[[#This Row],[EA19]]-VLOOKUP($U$1,A:F,6,))/VLOOKUP($U$1,A:F,6,))*100)+100</f>
        <v/>
      </c>
      <c r="M383" s="77">
        <f>(((Table134567891011121314151617343[[#This Row],[GBR]]-VLOOKUP($U$1,A:G,7,))/VLOOKUP($U$1,A:G,7,))*100)+100</f>
        <v/>
      </c>
      <c r="N383" s="77">
        <f>IF(VLOOKUP(A383,Database!$A:$AU,MATCH($N$1,Database!$A$1:$AU$1,0),FALSE)=0,#N/A,VLOOKUP(A383,Database!$A:$AU,MATCH($N$1,Database!$A$1:$AU$1,0),FALSE))</f>
        <v/>
      </c>
      <c r="O383" s="77">
        <f>(((Table134567891011121314151617343[[#This Row],[USA]]-VLOOKUP($U$1,A:N,14,))/VLOOKUP($U$1,A:N,14,))*100)+100</f>
        <v/>
      </c>
      <c r="P383" s="77">
        <f>IF(VLOOKUP(A383,Database!$A:$AS,MATCH($P$1,Database!$A$1:$AS$1,0),FALSE)=0,#N/A,VLOOKUP(A383,Database!$A:$AS,MATCH($P$1,Database!$A$1:$AS$1,0),FALSE))</f>
        <v/>
      </c>
      <c r="Q383" s="77">
        <f>(((Table134567891011121314151617343[[#This Row],[JPN]]-VLOOKUP($U$1,A:Q,16,))/VLOOKUP($U$1,A:Q,16,))*100)+100</f>
        <v/>
      </c>
    </row>
    <row r="384" customFormat="1" s="87">
      <c r="A384" s="21" t="n">
        <v>44501</v>
      </c>
      <c r="B384" s="77">
        <f>IF(VLOOKUP(A384,Database!$A:$AS,MATCH($B$1,Database!$A$1:$AS$1,0),FALSE)=0,#N/A,VLOOKUP(A384,Database!$A:$AS,MATCH($B$1,Database!$A$1:$AS$1,0),FALSE))</f>
        <v/>
      </c>
      <c r="C384" s="77">
        <f>IF(VLOOKUP(A384,Database!$A:$AS,MATCH($C$1,Database!$A$1:$AS$1,0),FALSE)=0,#N/A,VLOOKUP(A384,Database!$A:$AS,MATCH($C$1,Database!$A$1:$AS$1,0),FALSE))</f>
        <v/>
      </c>
      <c r="D384" s="77">
        <f>IF(VLOOKUP(A384,Database!$A:$AS,MATCH($D$1,Database!$A$1:$AS$1,0),FALSE)=0,#N/A,VLOOKUP(A384,Database!$A:$AS,MATCH($D$1,Database!$A$1:$AS$1,0),FALSE))</f>
        <v/>
      </c>
      <c r="E384" s="77">
        <f>IF(VLOOKUP(A384,Database!$A:$AS,MATCH($E$1,Database!$A$1:$AS$1,0),FALSE)=0,#N/A,VLOOKUP(A384,Database!$A:$AS,MATCH($E$1,Database!$A$1:$AS$1,0),FALSE))</f>
        <v/>
      </c>
      <c r="F384" s="77">
        <f>IF(VLOOKUP(A384,Database!$A:$AS,MATCH($F$1,Database!$A$1:$AS$1,0),FALSE)=0,#N/A,VLOOKUP(A384,Database!$A:$AS,MATCH($F$1,Database!$A$1:$AS$1,0),FALSE))</f>
        <v/>
      </c>
      <c r="G384" s="77">
        <f>IF(VLOOKUP(A384,Database!$A:$AS,MATCH($G$1,Database!$A$1:$AS$1,0),FALSE)=0,#N/A,VLOOKUP(A384,Database!$A:$AS,MATCH($G$1,Database!$A$1:$AS$1,0),FALSE))</f>
        <v/>
      </c>
      <c r="H384" s="77">
        <f>(((Table134567891011121314151617343[[#This Row],[ITA]]-VLOOKUP($U$1,A:B,2,))/VLOOKUP($U$1,A:B,2,))*100)+100</f>
        <v/>
      </c>
      <c r="I384" s="77">
        <f>(((Table134567891011121314151617343[[#This Row],[FRA]]-VLOOKUP($U$1,A:C,3,))/VLOOKUP($U$1,A:C,3,))*100)+100</f>
        <v/>
      </c>
      <c r="J384" s="77">
        <f>(((Table134567891011121314151617343[[#This Row],[DEU]]-VLOOKUP($U$1,A:D,4,))/VLOOKUP($U$1,A:D,4,))*100)+100</f>
        <v/>
      </c>
      <c r="K384" s="77">
        <f>(((Table134567891011121314151617343[[#This Row],[ESP]]-VLOOKUP($U$1,A:E,5,))/VLOOKUP($U$1,A:E,5,))*100)+100</f>
        <v/>
      </c>
      <c r="L384" s="77">
        <f>(((Table134567891011121314151617343[[#This Row],[EA19]]-VLOOKUP($U$1,A:F,6,))/VLOOKUP($U$1,A:F,6,))*100)+100</f>
        <v/>
      </c>
      <c r="M384" s="77">
        <f>(((Table134567891011121314151617343[[#This Row],[GBR]]-VLOOKUP($U$1,A:G,7,))/VLOOKUP($U$1,A:G,7,))*100)+100</f>
        <v/>
      </c>
      <c r="N384" s="77">
        <f>IF(VLOOKUP(A384,Database!$A:$AU,MATCH($N$1,Database!$A$1:$AU$1,0),FALSE)=0,#N/A,VLOOKUP(A384,Database!$A:$AU,MATCH($N$1,Database!$A$1:$AU$1,0),FALSE))</f>
        <v/>
      </c>
      <c r="O384" s="77">
        <f>(((Table134567891011121314151617343[[#This Row],[USA]]-VLOOKUP($U$1,A:N,14,))/VLOOKUP($U$1,A:N,14,))*100)+100</f>
        <v/>
      </c>
      <c r="P384" s="77">
        <f>IF(VLOOKUP(A384,Database!$A:$AS,MATCH($P$1,Database!$A$1:$AS$1,0),FALSE)=0,#N/A,VLOOKUP(A384,Database!$A:$AS,MATCH($P$1,Database!$A$1:$AS$1,0),FALSE))</f>
        <v/>
      </c>
      <c r="Q384" s="77">
        <f>(((Table134567891011121314151617343[[#This Row],[JPN]]-VLOOKUP($U$1,A:Q,16,))/VLOOKUP($U$1,A:Q,16,))*100)+100</f>
        <v/>
      </c>
    </row>
    <row r="385" customFormat="1" s="87">
      <c r="A385" s="21" t="n">
        <v>44531</v>
      </c>
      <c r="B385" s="77">
        <f>IF(VLOOKUP(A385,Database!$A:$AS,MATCH($B$1,Database!$A$1:$AS$1,0),FALSE)=0,#N/A,VLOOKUP(A385,Database!$A:$AS,MATCH($B$1,Database!$A$1:$AS$1,0),FALSE))</f>
        <v/>
      </c>
      <c r="C385" s="77">
        <f>IF(VLOOKUP(A385,Database!$A:$AS,MATCH($C$1,Database!$A$1:$AS$1,0),FALSE)=0,#N/A,VLOOKUP(A385,Database!$A:$AS,MATCH($C$1,Database!$A$1:$AS$1,0),FALSE))</f>
        <v/>
      </c>
      <c r="D385" s="77">
        <f>IF(VLOOKUP(A385,Database!$A:$AS,MATCH($D$1,Database!$A$1:$AS$1,0),FALSE)=0,#N/A,VLOOKUP(A385,Database!$A:$AS,MATCH($D$1,Database!$A$1:$AS$1,0),FALSE))</f>
        <v/>
      </c>
      <c r="E385" s="77">
        <f>IF(VLOOKUP(A385,Database!$A:$AS,MATCH($E$1,Database!$A$1:$AS$1,0),FALSE)=0,#N/A,VLOOKUP(A385,Database!$A:$AS,MATCH($E$1,Database!$A$1:$AS$1,0),FALSE))</f>
        <v/>
      </c>
      <c r="F385" s="77">
        <f>IF(VLOOKUP(A385,Database!$A:$AS,MATCH($F$1,Database!$A$1:$AS$1,0),FALSE)=0,#N/A,VLOOKUP(A385,Database!$A:$AS,MATCH($F$1,Database!$A$1:$AS$1,0),FALSE))</f>
        <v/>
      </c>
      <c r="G385" s="77">
        <f>IF(VLOOKUP(A385,Database!$A:$AS,MATCH($G$1,Database!$A$1:$AS$1,0),FALSE)=0,#N/A,VLOOKUP(A385,Database!$A:$AS,MATCH($G$1,Database!$A$1:$AS$1,0),FALSE))</f>
        <v/>
      </c>
      <c r="H385" s="77">
        <f>(((Table134567891011121314151617343[[#This Row],[ITA]]-VLOOKUP($U$1,A:B,2,))/VLOOKUP($U$1,A:B,2,))*100)+100</f>
        <v/>
      </c>
      <c r="I385" s="77">
        <f>(((Table134567891011121314151617343[[#This Row],[FRA]]-VLOOKUP($U$1,A:C,3,))/VLOOKUP($U$1,A:C,3,))*100)+100</f>
        <v/>
      </c>
      <c r="J385" s="77">
        <f>(((Table134567891011121314151617343[[#This Row],[DEU]]-VLOOKUP($U$1,A:D,4,))/VLOOKUP($U$1,A:D,4,))*100)+100</f>
        <v/>
      </c>
      <c r="K385" s="77">
        <f>(((Table134567891011121314151617343[[#This Row],[ESP]]-VLOOKUP($U$1,A:E,5,))/VLOOKUP($U$1,A:E,5,))*100)+100</f>
        <v/>
      </c>
      <c r="L385" s="77">
        <f>(((Table134567891011121314151617343[[#This Row],[EA19]]-VLOOKUP($U$1,A:F,6,))/VLOOKUP($U$1,A:F,6,))*100)+100</f>
        <v/>
      </c>
      <c r="M385" s="77">
        <f>(((Table134567891011121314151617343[[#This Row],[GBR]]-VLOOKUP($U$1,A:G,7,))/VLOOKUP($U$1,A:G,7,))*100)+100</f>
        <v/>
      </c>
      <c r="N385" s="77">
        <f>IF(VLOOKUP(A385,Database!$A:$AU,MATCH($N$1,Database!$A$1:$AU$1,0),FALSE)=0,#N/A,VLOOKUP(A385,Database!$A:$AU,MATCH($N$1,Database!$A$1:$AU$1,0),FALSE))</f>
        <v/>
      </c>
      <c r="O385" s="77">
        <f>(((Table134567891011121314151617343[[#This Row],[USA]]-VLOOKUP($U$1,A:N,14,))/VLOOKUP($U$1,A:N,14,))*100)+100</f>
        <v/>
      </c>
      <c r="P385" s="77">
        <f>IF(VLOOKUP(A385,Database!$A:$AS,MATCH($P$1,Database!$A$1:$AS$1,0),FALSE)=0,#N/A,VLOOKUP(A385,Database!$A:$AS,MATCH($P$1,Database!$A$1:$AS$1,0),FALSE))</f>
        <v/>
      </c>
      <c r="Q385" s="77">
        <f>(((Table134567891011121314151617343[[#This Row],[JPN]]-VLOOKUP($U$1,A:Q,16,))/VLOOKUP($U$1,A:Q,16,))*100)+100</f>
        <v/>
      </c>
    </row>
    <row r="386" customFormat="1" s="87">
      <c r="A386" s="21" t="n">
        <v>44562</v>
      </c>
      <c r="B386" s="77">
        <f>IF(VLOOKUP(A386,Database!$A:$AS,MATCH($B$1,Database!$A$1:$AS$1,0),FALSE)=0,#N/A,VLOOKUP(A386,Database!$A:$AS,MATCH($B$1,Database!$A$1:$AS$1,0),FALSE))</f>
        <v/>
      </c>
      <c r="C386" s="77">
        <f>IF(VLOOKUP(A386,Database!$A:$AS,MATCH($C$1,Database!$A$1:$AS$1,0),FALSE)=0,#N/A,VLOOKUP(A386,Database!$A:$AS,MATCH($C$1,Database!$A$1:$AS$1,0),FALSE))</f>
        <v/>
      </c>
      <c r="D386" s="77">
        <f>IF(VLOOKUP(A386,Database!$A:$AS,MATCH($D$1,Database!$A$1:$AS$1,0),FALSE)=0,#N/A,VLOOKUP(A386,Database!$A:$AS,MATCH($D$1,Database!$A$1:$AS$1,0),FALSE))</f>
        <v/>
      </c>
      <c r="E386" s="77">
        <f>IF(VLOOKUP(A386,Database!$A:$AS,MATCH($E$1,Database!$A$1:$AS$1,0),FALSE)=0,#N/A,VLOOKUP(A386,Database!$A:$AS,MATCH($E$1,Database!$A$1:$AS$1,0),FALSE))</f>
        <v/>
      </c>
      <c r="F386" s="77">
        <f>IF(VLOOKUP(A386,Database!$A:$AS,MATCH($F$1,Database!$A$1:$AS$1,0),FALSE)=0,#N/A,VLOOKUP(A386,Database!$A:$AS,MATCH($F$1,Database!$A$1:$AS$1,0),FALSE))</f>
        <v/>
      </c>
      <c r="G386" s="77">
        <f>IF(VLOOKUP(A386,Database!$A:$AS,MATCH($G$1,Database!$A$1:$AS$1,0),FALSE)=0,#N/A,VLOOKUP(A386,Database!$A:$AS,MATCH($G$1,Database!$A$1:$AS$1,0),FALSE))</f>
        <v/>
      </c>
      <c r="H386" s="77">
        <f>(((Table134567891011121314151617343[[#This Row],[ITA]]-VLOOKUP($U$1,A:B,2,))/VLOOKUP($U$1,A:B,2,))*100)+100</f>
        <v/>
      </c>
      <c r="I386" s="77">
        <f>(((Table134567891011121314151617343[[#This Row],[FRA]]-VLOOKUP($U$1,A:C,3,))/VLOOKUP($U$1,A:C,3,))*100)+100</f>
        <v/>
      </c>
      <c r="J386" s="77">
        <f>(((Table134567891011121314151617343[[#This Row],[DEU]]-VLOOKUP($U$1,A:D,4,))/VLOOKUP($U$1,A:D,4,))*100)+100</f>
        <v/>
      </c>
      <c r="K386" s="77">
        <f>(((Table134567891011121314151617343[[#This Row],[ESP]]-VLOOKUP($U$1,A:E,5,))/VLOOKUP($U$1,A:E,5,))*100)+100</f>
        <v/>
      </c>
      <c r="L386" s="77">
        <f>(((Table134567891011121314151617343[[#This Row],[EA19]]-VLOOKUP($U$1,A:F,6,))/VLOOKUP($U$1,A:F,6,))*100)+100</f>
        <v/>
      </c>
      <c r="M386" s="77">
        <f>(((Table134567891011121314151617343[[#This Row],[GBR]]-VLOOKUP($U$1,A:G,7,))/VLOOKUP($U$1,A:G,7,))*100)+100</f>
        <v/>
      </c>
      <c r="N386" s="77">
        <f>IF(VLOOKUP(A386,Database!$A:$AU,MATCH($N$1,Database!$A$1:$AU$1,0),FALSE)=0,#N/A,VLOOKUP(A386,Database!$A:$AU,MATCH($N$1,Database!$A$1:$AU$1,0),FALSE))</f>
        <v/>
      </c>
      <c r="O386" s="77">
        <f>(((Table134567891011121314151617343[[#This Row],[USA]]-VLOOKUP($U$1,A:N,14,))/VLOOKUP($U$1,A:N,14,))*100)+100</f>
        <v/>
      </c>
      <c r="P386" s="77">
        <f>IF(VLOOKUP(A386,Database!$A:$AS,MATCH($P$1,Database!$A$1:$AS$1,0),FALSE)=0,#N/A,VLOOKUP(A386,Database!$A:$AS,MATCH($P$1,Database!$A$1:$AS$1,0),FALSE))</f>
        <v/>
      </c>
      <c r="Q386" s="77">
        <f>(((Table134567891011121314151617343[[#This Row],[JPN]]-VLOOKUP($U$1,A:Q,16,))/VLOOKUP($U$1,A:Q,16,))*100)+100</f>
        <v/>
      </c>
    </row>
    <row r="387" customFormat="1" s="87">
      <c r="A387" s="21" t="n">
        <v>44593</v>
      </c>
      <c r="B387" s="77">
        <f>IF(VLOOKUP(A387,Database!$A:$AS,MATCH($B$1,Database!$A$1:$AS$1,0),FALSE)=0,#N/A,VLOOKUP(A387,Database!$A:$AS,MATCH($B$1,Database!$A$1:$AS$1,0),FALSE))</f>
        <v/>
      </c>
      <c r="C387" s="77">
        <f>IF(VLOOKUP(A387,Database!$A:$AS,MATCH($C$1,Database!$A$1:$AS$1,0),FALSE)=0,#N/A,VLOOKUP(A387,Database!$A:$AS,MATCH($C$1,Database!$A$1:$AS$1,0),FALSE))</f>
        <v/>
      </c>
      <c r="D387" s="77">
        <f>IF(VLOOKUP(A387,Database!$A:$AS,MATCH($D$1,Database!$A$1:$AS$1,0),FALSE)=0,#N/A,VLOOKUP(A387,Database!$A:$AS,MATCH($D$1,Database!$A$1:$AS$1,0),FALSE))</f>
        <v/>
      </c>
      <c r="E387" s="77">
        <f>IF(VLOOKUP(A387,Database!$A:$AS,MATCH($E$1,Database!$A$1:$AS$1,0),FALSE)=0,#N/A,VLOOKUP(A387,Database!$A:$AS,MATCH($E$1,Database!$A$1:$AS$1,0),FALSE))</f>
        <v/>
      </c>
      <c r="F387" s="77">
        <f>IF(VLOOKUP(A387,Database!$A:$AS,MATCH($F$1,Database!$A$1:$AS$1,0),FALSE)=0,#N/A,VLOOKUP(A387,Database!$A:$AS,MATCH($F$1,Database!$A$1:$AS$1,0),FALSE))</f>
        <v/>
      </c>
      <c r="G387" s="77">
        <f>IF(VLOOKUP(A387,Database!$A:$AS,MATCH($G$1,Database!$A$1:$AS$1,0),FALSE)=0,#N/A,VLOOKUP(A387,Database!$A:$AS,MATCH($G$1,Database!$A$1:$AS$1,0),FALSE))</f>
        <v/>
      </c>
      <c r="H387" s="77">
        <f>(((Table134567891011121314151617343[[#This Row],[ITA]]-VLOOKUP($U$1,A:B,2,))/VLOOKUP($U$1,A:B,2,))*100)+100</f>
        <v/>
      </c>
      <c r="I387" s="77">
        <f>(((Table134567891011121314151617343[[#This Row],[FRA]]-VLOOKUP($U$1,A:C,3,))/VLOOKUP($U$1,A:C,3,))*100)+100</f>
        <v/>
      </c>
      <c r="J387" s="77">
        <f>(((Table134567891011121314151617343[[#This Row],[DEU]]-VLOOKUP($U$1,A:D,4,))/VLOOKUP($U$1,A:D,4,))*100)+100</f>
        <v/>
      </c>
      <c r="K387" s="77">
        <f>(((Table134567891011121314151617343[[#This Row],[ESP]]-VLOOKUP($U$1,A:E,5,))/VLOOKUP($U$1,A:E,5,))*100)+100</f>
        <v/>
      </c>
      <c r="L387" s="77">
        <f>(((Table134567891011121314151617343[[#This Row],[EA19]]-VLOOKUP($U$1,A:F,6,))/VLOOKUP($U$1,A:F,6,))*100)+100</f>
        <v/>
      </c>
      <c r="M387" s="77">
        <f>(((Table134567891011121314151617343[[#This Row],[GBR]]-VLOOKUP($U$1,A:G,7,))/VLOOKUP($U$1,A:G,7,))*100)+100</f>
        <v/>
      </c>
      <c r="N387" s="77">
        <f>IF(VLOOKUP(A387,Database!$A:$AU,MATCH($N$1,Database!$A$1:$AU$1,0),FALSE)=0,#N/A,VLOOKUP(A387,Database!$A:$AU,MATCH($N$1,Database!$A$1:$AU$1,0),FALSE))</f>
        <v/>
      </c>
      <c r="O387" s="77">
        <f>(((Table134567891011121314151617343[[#This Row],[USA]]-VLOOKUP($U$1,A:N,14,))/VLOOKUP($U$1,A:N,14,))*100)+100</f>
        <v/>
      </c>
      <c r="P387" s="77">
        <f>IF(VLOOKUP(A387,Database!$A:$AS,MATCH($P$1,Database!$A$1:$AS$1,0),FALSE)=0,#N/A,VLOOKUP(A387,Database!$A:$AS,MATCH($P$1,Database!$A$1:$AS$1,0),FALSE))</f>
        <v/>
      </c>
      <c r="Q387" s="77">
        <f>(((Table134567891011121314151617343[[#This Row],[JPN]]-VLOOKUP($U$1,A:Q,16,))/VLOOKUP($U$1,A:Q,16,))*100)+100</f>
        <v/>
      </c>
    </row>
    <row r="388" customFormat="1" s="87">
      <c r="A388" s="21" t="n">
        <v>44621</v>
      </c>
      <c r="B388" s="77">
        <f>IF(VLOOKUP(A388,Database!$A:$AS,MATCH($B$1,Database!$A$1:$AS$1,0),FALSE)=0,#N/A,VLOOKUP(A388,Database!$A:$AS,MATCH($B$1,Database!$A$1:$AS$1,0),FALSE))</f>
        <v/>
      </c>
      <c r="C388" s="77">
        <f>IF(VLOOKUP(A388,Database!$A:$AS,MATCH($C$1,Database!$A$1:$AS$1,0),FALSE)=0,#N/A,VLOOKUP(A388,Database!$A:$AS,MATCH($C$1,Database!$A$1:$AS$1,0),FALSE))</f>
        <v/>
      </c>
      <c r="D388" s="77">
        <f>IF(VLOOKUP(A388,Database!$A:$AS,MATCH($D$1,Database!$A$1:$AS$1,0),FALSE)=0,#N/A,VLOOKUP(A388,Database!$A:$AS,MATCH($D$1,Database!$A$1:$AS$1,0),FALSE))</f>
        <v/>
      </c>
      <c r="E388" s="77">
        <f>IF(VLOOKUP(A388,Database!$A:$AS,MATCH($E$1,Database!$A$1:$AS$1,0),FALSE)=0,#N/A,VLOOKUP(A388,Database!$A:$AS,MATCH($E$1,Database!$A$1:$AS$1,0),FALSE))</f>
        <v/>
      </c>
      <c r="F388" s="77">
        <f>IF(VLOOKUP(A388,Database!$A:$AS,MATCH($F$1,Database!$A$1:$AS$1,0),FALSE)=0,#N/A,VLOOKUP(A388,Database!$A:$AS,MATCH($F$1,Database!$A$1:$AS$1,0),FALSE))</f>
        <v/>
      </c>
      <c r="G388" s="77">
        <f>IF(VLOOKUP(A388,Database!$A:$AS,MATCH($G$1,Database!$A$1:$AS$1,0),FALSE)=0,#N/A,VLOOKUP(A388,Database!$A:$AS,MATCH($G$1,Database!$A$1:$AS$1,0),FALSE))</f>
        <v/>
      </c>
      <c r="H388" s="77">
        <f>(((Table134567891011121314151617343[[#This Row],[ITA]]-VLOOKUP($U$1,A:B,2,))/VLOOKUP($U$1,A:B,2,))*100)+100</f>
        <v/>
      </c>
      <c r="I388" s="77">
        <f>(((Table134567891011121314151617343[[#This Row],[FRA]]-VLOOKUP($U$1,A:C,3,))/VLOOKUP($U$1,A:C,3,))*100)+100</f>
        <v/>
      </c>
      <c r="J388" s="77">
        <f>(((Table134567891011121314151617343[[#This Row],[DEU]]-VLOOKUP($U$1,A:D,4,))/VLOOKUP($U$1,A:D,4,))*100)+100</f>
        <v/>
      </c>
      <c r="K388" s="77">
        <f>(((Table134567891011121314151617343[[#This Row],[ESP]]-VLOOKUP($U$1,A:E,5,))/VLOOKUP($U$1,A:E,5,))*100)+100</f>
        <v/>
      </c>
      <c r="L388" s="77">
        <f>(((Table134567891011121314151617343[[#This Row],[EA19]]-VLOOKUP($U$1,A:F,6,))/VLOOKUP($U$1,A:F,6,))*100)+100</f>
        <v/>
      </c>
      <c r="M388" s="77">
        <f>(((Table134567891011121314151617343[[#This Row],[GBR]]-VLOOKUP($U$1,A:G,7,))/VLOOKUP($U$1,A:G,7,))*100)+100</f>
        <v/>
      </c>
      <c r="N388" s="77">
        <f>IF(VLOOKUP(A388,Database!$A:$AU,MATCH($N$1,Database!$A$1:$AU$1,0),FALSE)=0,#N/A,VLOOKUP(A388,Database!$A:$AU,MATCH($N$1,Database!$A$1:$AU$1,0),FALSE))</f>
        <v/>
      </c>
      <c r="O388" s="77">
        <f>(((Table134567891011121314151617343[[#This Row],[USA]]-VLOOKUP($U$1,A:N,14,))/VLOOKUP($U$1,A:N,14,))*100)+100</f>
        <v/>
      </c>
      <c r="P388" s="77">
        <f>IF(VLOOKUP(A388,Database!$A:$AS,MATCH($P$1,Database!$A$1:$AS$1,0),FALSE)=0,#N/A,VLOOKUP(A388,Database!$A:$AS,MATCH($P$1,Database!$A$1:$AS$1,0),FALSE))</f>
        <v/>
      </c>
      <c r="Q388" s="77">
        <f>(((Table134567891011121314151617343[[#This Row],[JPN]]-VLOOKUP($U$1,A:Q,16,))/VLOOKUP($U$1,A:Q,16,))*100)+100</f>
        <v/>
      </c>
    </row>
    <row r="389" customFormat="1" s="87">
      <c r="A389" s="21" t="n">
        <v>44652</v>
      </c>
      <c r="B389" s="77">
        <f>IF(VLOOKUP(A389,Database!$A:$AS,MATCH($B$1,Database!$A$1:$AS$1,0),FALSE)=0,#N/A,VLOOKUP(A389,Database!$A:$AS,MATCH($B$1,Database!$A$1:$AS$1,0),FALSE))</f>
        <v/>
      </c>
      <c r="C389" s="77">
        <f>IF(VLOOKUP(A389,Database!$A:$AS,MATCH($C$1,Database!$A$1:$AS$1,0),FALSE)=0,#N/A,VLOOKUP(A389,Database!$A:$AS,MATCH($C$1,Database!$A$1:$AS$1,0),FALSE))</f>
        <v/>
      </c>
      <c r="D389" s="77">
        <f>IF(VLOOKUP(A389,Database!$A:$AS,MATCH($D$1,Database!$A$1:$AS$1,0),FALSE)=0,#N/A,VLOOKUP(A389,Database!$A:$AS,MATCH($D$1,Database!$A$1:$AS$1,0),FALSE))</f>
        <v/>
      </c>
      <c r="E389" s="77">
        <f>IF(VLOOKUP(A389,Database!$A:$AS,MATCH($E$1,Database!$A$1:$AS$1,0),FALSE)=0,#N/A,VLOOKUP(A389,Database!$A:$AS,MATCH($E$1,Database!$A$1:$AS$1,0),FALSE))</f>
        <v/>
      </c>
      <c r="F389" s="77">
        <f>IF(VLOOKUP(A389,Database!$A:$AS,MATCH($F$1,Database!$A$1:$AS$1,0),FALSE)=0,#N/A,VLOOKUP(A389,Database!$A:$AS,MATCH($F$1,Database!$A$1:$AS$1,0),FALSE))</f>
        <v/>
      </c>
      <c r="G389" s="77">
        <f>IF(VLOOKUP(A389,Database!$A:$AS,MATCH($G$1,Database!$A$1:$AS$1,0),FALSE)=0,#N/A,VLOOKUP(A389,Database!$A:$AS,MATCH($G$1,Database!$A$1:$AS$1,0),FALSE))</f>
        <v/>
      </c>
      <c r="H389" s="77">
        <f>(((Table134567891011121314151617343[[#This Row],[ITA]]-VLOOKUP($U$1,A:B,2,))/VLOOKUP($U$1,A:B,2,))*100)+100</f>
        <v/>
      </c>
      <c r="I389" s="77">
        <f>(((Table134567891011121314151617343[[#This Row],[FRA]]-VLOOKUP($U$1,A:C,3,))/VLOOKUP($U$1,A:C,3,))*100)+100</f>
        <v/>
      </c>
      <c r="J389" s="77">
        <f>(((Table134567891011121314151617343[[#This Row],[DEU]]-VLOOKUP($U$1,A:D,4,))/VLOOKUP($U$1,A:D,4,))*100)+100</f>
        <v/>
      </c>
      <c r="K389" s="77">
        <f>(((Table134567891011121314151617343[[#This Row],[ESP]]-VLOOKUP($U$1,A:E,5,))/VLOOKUP($U$1,A:E,5,))*100)+100</f>
        <v/>
      </c>
      <c r="L389" s="77">
        <f>(((Table134567891011121314151617343[[#This Row],[EA19]]-VLOOKUP($U$1,A:F,6,))/VLOOKUP($U$1,A:F,6,))*100)+100</f>
        <v/>
      </c>
      <c r="M389" s="77">
        <f>(((Table134567891011121314151617343[[#This Row],[GBR]]-VLOOKUP($U$1,A:G,7,))/VLOOKUP($U$1,A:G,7,))*100)+100</f>
        <v/>
      </c>
      <c r="N389" s="77">
        <f>IF(VLOOKUP(A389,Database!$A:$AU,MATCH($N$1,Database!$A$1:$AU$1,0),FALSE)=0,#N/A,VLOOKUP(A389,Database!$A:$AU,MATCH($N$1,Database!$A$1:$AU$1,0),FALSE))</f>
        <v/>
      </c>
      <c r="O389" s="77">
        <f>(((Table134567891011121314151617343[[#This Row],[USA]]-VLOOKUP($U$1,A:N,14,))/VLOOKUP($U$1,A:N,14,))*100)+100</f>
        <v/>
      </c>
      <c r="P389" s="77">
        <f>IF(VLOOKUP(A389,Database!$A:$AS,MATCH($P$1,Database!$A$1:$AS$1,0),FALSE)=0,#N/A,VLOOKUP(A389,Database!$A:$AS,MATCH($P$1,Database!$A$1:$AS$1,0),FALSE))</f>
        <v/>
      </c>
      <c r="Q389" s="77">
        <f>(((Table134567891011121314151617343[[#This Row],[JPN]]-VLOOKUP($U$1,A:Q,16,))/VLOOKUP($U$1,A:Q,16,))*100)+100</f>
        <v/>
      </c>
    </row>
    <row r="390" customFormat="1" s="87">
      <c r="A390" s="16" t="n"/>
      <c r="C390" s="35" t="n"/>
      <c r="D390" s="36" t="n"/>
    </row>
    <row r="391" customFormat="1" s="87">
      <c r="A391" s="16" t="n"/>
      <c r="C391" s="35" t="n"/>
      <c r="D391" s="36" t="n"/>
    </row>
    <row r="392" customFormat="1" s="87">
      <c r="A392" s="16" t="n"/>
      <c r="C392" s="35" t="n"/>
      <c r="D392" s="36" t="n"/>
    </row>
    <row r="393" customFormat="1" s="87">
      <c r="A393" s="16" t="n"/>
      <c r="C393" s="35" t="n"/>
      <c r="D393" s="36" t="n"/>
    </row>
    <row r="394" customFormat="1" s="87">
      <c r="A394" s="16" t="n"/>
      <c r="C394" s="35" t="n"/>
      <c r="D394" s="36" t="n"/>
    </row>
    <row r="395" customFormat="1" s="87">
      <c r="A395" s="16" t="n"/>
      <c r="C395" s="35" t="n"/>
      <c r="D395" s="36" t="n"/>
    </row>
    <row r="396" customFormat="1" s="87">
      <c r="A396" s="16" t="n"/>
      <c r="C396" s="35" t="n"/>
      <c r="D396" s="36" t="n"/>
    </row>
    <row r="397" customFormat="1" s="87">
      <c r="A397" s="16" t="n"/>
      <c r="C397" s="35" t="n"/>
      <c r="D397" s="36" t="n"/>
    </row>
    <row r="398" customFormat="1" s="87">
      <c r="A398" s="16" t="n"/>
      <c r="C398" s="35" t="n"/>
      <c r="D398" s="36" t="n"/>
    </row>
    <row r="399" customFormat="1" s="87">
      <c r="A399" s="16" t="n"/>
      <c r="C399" s="35" t="n"/>
      <c r="D399" s="36" t="n"/>
    </row>
    <row r="400" customFormat="1" s="87">
      <c r="A400" s="16" t="n"/>
      <c r="C400" s="35" t="n"/>
      <c r="D400" s="36" t="n"/>
    </row>
    <row r="401" customFormat="1" s="87">
      <c r="A401" s="16" t="n"/>
      <c r="C401" s="35" t="n"/>
      <c r="D401" s="36" t="n"/>
    </row>
    <row r="402" customFormat="1" s="87">
      <c r="A402" s="16" t="n"/>
      <c r="C402" s="35" t="n"/>
      <c r="D402" s="36" t="n"/>
    </row>
    <row r="403" customFormat="1" s="87">
      <c r="A403" s="16" t="n"/>
      <c r="C403" s="35" t="n"/>
      <c r="D403" s="36" t="n"/>
    </row>
    <row r="404" customFormat="1" s="87">
      <c r="A404" s="16" t="n"/>
      <c r="C404" s="35" t="n"/>
      <c r="D404" s="36" t="n"/>
    </row>
    <row r="405" customFormat="1" s="87">
      <c r="A405" s="16" t="n"/>
      <c r="C405" s="35" t="n"/>
      <c r="D405" s="36" t="n"/>
    </row>
    <row r="406" customFormat="1" s="87">
      <c r="A406" s="16" t="n"/>
      <c r="C406" s="35" t="n"/>
      <c r="D406" s="36" t="n"/>
    </row>
    <row r="407" customFormat="1" s="87">
      <c r="A407" s="16" t="n"/>
      <c r="C407" s="35" t="n"/>
      <c r="D407" s="36" t="n"/>
    </row>
    <row r="408" customFormat="1" s="87">
      <c r="A408" s="16" t="n"/>
      <c r="C408" s="35" t="n"/>
      <c r="D408" s="36" t="n"/>
    </row>
    <row r="409" customFormat="1" s="87">
      <c r="A409" s="16" t="n"/>
      <c r="C409" s="35" t="n"/>
      <c r="D409" s="36" t="n"/>
    </row>
    <row r="410" customFormat="1" s="87">
      <c r="A410" s="16" t="n"/>
      <c r="C410" s="35" t="n"/>
      <c r="D410" s="36" t="n"/>
    </row>
    <row r="411" customFormat="1" s="87">
      <c r="A411" s="16" t="n"/>
      <c r="C411" s="35" t="n"/>
      <c r="D411" s="36" t="n"/>
    </row>
    <row r="412" customFormat="1" s="87">
      <c r="A412" s="16" t="n"/>
      <c r="C412" s="35" t="n"/>
      <c r="D412" s="36" t="n"/>
    </row>
    <row r="413" customFormat="1" s="87">
      <c r="A413" s="16" t="n"/>
      <c r="C413" s="35" t="n"/>
      <c r="D413" s="36" t="n"/>
    </row>
    <row r="414" customFormat="1" s="87">
      <c r="A414" s="16" t="n"/>
      <c r="C414" s="35" t="n"/>
      <c r="D414" s="36" t="n"/>
    </row>
    <row r="415" customFormat="1" s="87">
      <c r="A415" s="16" t="n"/>
      <c r="C415" s="35" t="n"/>
      <c r="D415" s="36" t="n"/>
    </row>
    <row r="416" customFormat="1" s="87">
      <c r="A416" s="16" t="n"/>
      <c r="C416" s="35" t="n"/>
      <c r="D416" s="36" t="n"/>
    </row>
    <row r="417" customFormat="1" s="87">
      <c r="A417" s="16" t="n"/>
      <c r="C417" s="35" t="n"/>
      <c r="D417" s="36" t="n"/>
    </row>
    <row r="418" customFormat="1" s="87">
      <c r="A418" s="16" t="n"/>
      <c r="C418" s="35" t="n"/>
      <c r="D418" s="36" t="n"/>
    </row>
    <row r="419" customFormat="1" s="87">
      <c r="A419" s="16" t="n"/>
      <c r="C419" s="35" t="n"/>
      <c r="D419" s="36" t="n"/>
    </row>
    <row r="420" customFormat="1" s="87">
      <c r="A420" s="16" t="n"/>
      <c r="C420" s="35" t="n"/>
      <c r="D420" s="36" t="n"/>
    </row>
    <row r="421" customFormat="1" s="87">
      <c r="A421" s="16" t="n"/>
      <c r="C421" s="35" t="n"/>
      <c r="D421" s="36" t="n"/>
    </row>
    <row r="422" customFormat="1" s="87">
      <c r="A422" s="16" t="n"/>
      <c r="C422" s="35" t="n"/>
      <c r="D422" s="36" t="n"/>
    </row>
    <row r="423" customFormat="1" s="87">
      <c r="A423" s="16" t="n"/>
      <c r="C423" s="35" t="n"/>
      <c r="D423" s="36" t="n"/>
    </row>
    <row r="424" customFormat="1" s="87">
      <c r="A424" s="16" t="n"/>
      <c r="C424" s="35" t="n"/>
      <c r="D424" s="36" t="n"/>
    </row>
    <row r="425" customFormat="1" s="87">
      <c r="A425" s="16" t="n"/>
      <c r="C425" s="35" t="n"/>
      <c r="D425" s="36" t="n"/>
    </row>
    <row r="426" customFormat="1" s="87">
      <c r="A426" s="16" t="n"/>
      <c r="C426" s="35" t="n"/>
      <c r="D426" s="36" t="n"/>
    </row>
    <row r="427" customFormat="1" s="87">
      <c r="A427" s="16" t="n"/>
      <c r="C427" s="35" t="n"/>
      <c r="D427" s="36" t="n"/>
    </row>
    <row r="428" customFormat="1" s="87">
      <c r="A428" s="16" t="n"/>
      <c r="C428" s="35" t="n"/>
      <c r="D428" s="36" t="n"/>
    </row>
    <row r="429" customFormat="1" s="87">
      <c r="A429" s="16" t="n"/>
      <c r="C429" s="35" t="n"/>
      <c r="D429" s="36" t="n"/>
    </row>
    <row r="430" customFormat="1" s="87">
      <c r="A430" s="16" t="n"/>
      <c r="C430" s="35" t="n"/>
      <c r="D430" s="36" t="n"/>
    </row>
    <row r="431" customFormat="1" s="87">
      <c r="A431" s="16" t="n"/>
      <c r="C431" s="35" t="n"/>
      <c r="D431" s="36" t="n"/>
    </row>
    <row r="432" customFormat="1" s="87">
      <c r="A432" s="16" t="n"/>
      <c r="C432" s="35" t="n"/>
      <c r="D432" s="36" t="n"/>
    </row>
    <row r="433" customFormat="1" s="87">
      <c r="A433" s="16" t="n"/>
      <c r="C433" s="35" t="n"/>
      <c r="D433" s="36" t="n"/>
    </row>
    <row r="434" customFormat="1" s="87">
      <c r="A434" s="16" t="n"/>
      <c r="C434" s="35" t="n"/>
      <c r="D434" s="36" t="n"/>
    </row>
    <row r="435" customFormat="1" s="87">
      <c r="A435" s="16" t="n"/>
      <c r="C435" s="35" t="n"/>
      <c r="D435" s="36" t="n"/>
    </row>
    <row r="436" customFormat="1" s="87">
      <c r="A436" s="16" t="n"/>
      <c r="C436" s="35" t="n"/>
      <c r="D436" s="36" t="n"/>
    </row>
    <row r="437" customFormat="1" s="87">
      <c r="A437" s="16" t="n"/>
      <c r="C437" s="35" t="n"/>
      <c r="D437" s="36" t="n"/>
    </row>
    <row r="438" customFormat="1" s="87">
      <c r="A438" s="16" t="n"/>
      <c r="C438" s="35" t="n"/>
      <c r="D438" s="36" t="n"/>
    </row>
    <row r="439" customFormat="1" s="87">
      <c r="A439" s="16" t="n"/>
      <c r="C439" s="35" t="n"/>
      <c r="D439" s="36" t="n"/>
    </row>
    <row r="440" customFormat="1" s="87">
      <c r="A440" s="16" t="n"/>
      <c r="C440" s="35" t="n"/>
      <c r="D440" s="36" t="n"/>
    </row>
    <row r="441" customFormat="1" s="87">
      <c r="A441" s="16" t="n"/>
      <c r="C441" s="35" t="n"/>
      <c r="D441" s="36" t="n"/>
    </row>
    <row r="442" customFormat="1" s="87">
      <c r="A442" s="16" t="n"/>
      <c r="C442" s="35" t="n"/>
      <c r="D442" s="36" t="n"/>
    </row>
    <row r="443" customFormat="1" s="87">
      <c r="A443" s="16" t="n"/>
      <c r="C443" s="35" t="n"/>
      <c r="D443" s="36" t="n"/>
    </row>
    <row r="444" customFormat="1" s="87">
      <c r="A444" s="16" t="n"/>
      <c r="C444" s="35" t="n"/>
      <c r="D444" s="36" t="n"/>
    </row>
    <row r="445" customFormat="1" s="87">
      <c r="A445" s="16" t="n"/>
      <c r="C445" s="35" t="n"/>
      <c r="D445" s="36" t="n"/>
    </row>
    <row r="446" customFormat="1" s="87">
      <c r="A446" s="16" t="n"/>
      <c r="C446" s="35" t="n"/>
      <c r="D446" s="36" t="n"/>
    </row>
    <row r="447" customFormat="1" s="87">
      <c r="A447" s="16" t="n"/>
      <c r="C447" s="35" t="n"/>
      <c r="D447" s="36" t="n"/>
    </row>
    <row r="448" customFormat="1" s="87">
      <c r="A448" s="16" t="n"/>
      <c r="C448" s="35" t="n"/>
      <c r="D448" s="36" t="n"/>
    </row>
    <row r="449" customFormat="1" s="87">
      <c r="A449" s="16" t="n"/>
      <c r="C449" s="35" t="n"/>
      <c r="D449" s="36" t="n"/>
    </row>
    <row r="450" customFormat="1" s="87">
      <c r="A450" s="16" t="n"/>
      <c r="C450" s="35" t="n"/>
      <c r="D450" s="36" t="n"/>
    </row>
    <row r="451" customFormat="1" s="87">
      <c r="A451" s="16" t="n"/>
      <c r="C451" s="35" t="n"/>
      <c r="D451" s="36" t="n"/>
    </row>
    <row r="452" customFormat="1" s="87">
      <c r="A452" s="16" t="n"/>
      <c r="C452" s="35" t="n"/>
      <c r="D452" s="36" t="n"/>
    </row>
    <row r="453" customFormat="1" s="87">
      <c r="A453" s="16" t="n"/>
      <c r="C453" s="35" t="n"/>
      <c r="D453" s="36" t="n"/>
    </row>
    <row r="454" customFormat="1" s="87">
      <c r="A454" s="16" t="n"/>
      <c r="C454" s="35" t="n"/>
      <c r="D454" s="36" t="n"/>
    </row>
    <row r="455" customFormat="1" s="87">
      <c r="A455" s="16" t="n"/>
      <c r="C455" s="35" t="n"/>
      <c r="D455" s="36" t="n"/>
    </row>
    <row r="456" customFormat="1" s="87">
      <c r="A456" s="16" t="n"/>
      <c r="C456" s="35" t="n"/>
      <c r="D456" s="36" t="n"/>
    </row>
    <row r="457" customFormat="1" s="87">
      <c r="A457" s="16" t="n"/>
      <c r="C457" s="35" t="n"/>
      <c r="D457" s="36" t="n"/>
    </row>
    <row r="458" customFormat="1" s="87">
      <c r="A458" s="16" t="n"/>
      <c r="C458" s="35" t="n"/>
      <c r="D458" s="36" t="n"/>
    </row>
    <row r="459" customFormat="1" s="87">
      <c r="A459" s="16" t="n"/>
      <c r="C459" s="35" t="n"/>
      <c r="D459" s="36" t="n"/>
    </row>
    <row r="460" customFormat="1" s="87">
      <c r="A460" s="16" t="n"/>
      <c r="C460" s="35" t="n"/>
      <c r="D460" s="36" t="n"/>
    </row>
    <row r="461" customFormat="1" s="87">
      <c r="A461" s="16" t="n"/>
      <c r="C461" s="35" t="n"/>
      <c r="D461" s="36" t="n"/>
    </row>
    <row r="462" customFormat="1" s="87">
      <c r="A462" s="16" t="n"/>
      <c r="C462" s="35" t="n"/>
      <c r="D462" s="36" t="n"/>
    </row>
    <row r="463" customFormat="1" s="87">
      <c r="A463" s="16" t="n"/>
      <c r="C463" s="35" t="n"/>
      <c r="D463" s="36" t="n"/>
    </row>
    <row r="464" customFormat="1" s="87">
      <c r="A464" s="16" t="n"/>
      <c r="C464" s="35" t="n"/>
      <c r="D464" s="36" t="n"/>
    </row>
    <row r="465" customFormat="1" s="87">
      <c r="A465" s="16" t="n"/>
      <c r="C465" s="35" t="n"/>
      <c r="D465" s="36" t="n"/>
    </row>
    <row r="466" customFormat="1" s="87">
      <c r="A466" s="16" t="n"/>
      <c r="C466" s="35" t="n"/>
      <c r="D466" s="36" t="n"/>
    </row>
    <row r="467" customFormat="1" s="87">
      <c r="A467" s="16" t="n"/>
      <c r="C467" s="35" t="n"/>
      <c r="D467" s="36" t="n"/>
    </row>
    <row r="468" customFormat="1" s="87">
      <c r="A468" s="16" t="n"/>
      <c r="C468" s="35" t="n"/>
      <c r="D468" s="36" t="n"/>
    </row>
    <row r="469" customFormat="1" s="87">
      <c r="A469" s="16" t="n"/>
      <c r="C469" s="35" t="n"/>
      <c r="D469" s="36" t="n"/>
    </row>
    <row r="470" customFormat="1" s="87">
      <c r="A470" s="16" t="n"/>
      <c r="C470" s="35" t="n"/>
      <c r="D470" s="36" t="n"/>
    </row>
    <row r="471" customFormat="1" s="87">
      <c r="A471" s="16" t="n"/>
      <c r="C471" s="35" t="n"/>
      <c r="D471" s="36" t="n"/>
    </row>
    <row r="472" customFormat="1" s="87">
      <c r="A472" s="16" t="n"/>
      <c r="C472" s="35" t="n"/>
      <c r="D472" s="36" t="n"/>
    </row>
    <row r="473" customFormat="1" s="87">
      <c r="A473" s="16" t="n"/>
      <c r="C473" s="35" t="n"/>
      <c r="D473" s="36" t="n"/>
    </row>
    <row r="474" customFormat="1" s="87">
      <c r="A474" s="16" t="n"/>
      <c r="C474" s="35" t="n"/>
      <c r="D474" s="36" t="n"/>
    </row>
    <row r="475" customFormat="1" s="87">
      <c r="A475" s="16" t="n"/>
      <c r="C475" s="35" t="n"/>
      <c r="D475" s="36" t="n"/>
    </row>
    <row r="476" customFormat="1" s="87">
      <c r="A476" s="16" t="n"/>
      <c r="C476" s="35" t="n"/>
      <c r="D476" s="36" t="n"/>
    </row>
    <row r="477" customFormat="1" s="87">
      <c r="A477" s="16" t="n"/>
      <c r="C477" s="35" t="n"/>
      <c r="D477" s="36" t="n"/>
    </row>
    <row r="478" customFormat="1" s="87">
      <c r="A478" s="16" t="n"/>
      <c r="C478" s="35" t="n"/>
      <c r="D478" s="36" t="n"/>
    </row>
    <row r="479" customFormat="1" s="87">
      <c r="A479" s="16" t="n"/>
      <c r="C479" s="35" t="n"/>
      <c r="D479" s="36" t="n"/>
    </row>
    <row r="480" customFormat="1" s="87">
      <c r="A480" s="16" t="n"/>
      <c r="C480" s="35" t="n"/>
      <c r="D480" s="36" t="n"/>
    </row>
    <row r="481" customFormat="1" s="87">
      <c r="A481" s="16" t="n"/>
      <c r="C481" s="35" t="n"/>
      <c r="D481" s="36" t="n"/>
    </row>
    <row r="482" customFormat="1" s="87">
      <c r="A482" s="16" t="n"/>
      <c r="C482" s="35" t="n"/>
      <c r="D482" s="36" t="n"/>
    </row>
    <row r="483" customFormat="1" s="87">
      <c r="A483" s="16" t="n"/>
      <c r="C483" s="35" t="n"/>
      <c r="D483" s="36" t="n"/>
    </row>
    <row r="484" customFormat="1" s="87">
      <c r="A484" s="16" t="n"/>
      <c r="C484" s="35" t="n"/>
      <c r="D484" s="36" t="n"/>
    </row>
    <row r="485" customFormat="1" s="87">
      <c r="A485" s="16" t="n"/>
      <c r="C485" s="35" t="n"/>
      <c r="D485" s="36" t="n"/>
    </row>
    <row r="486" customFormat="1" s="87">
      <c r="A486" s="16" t="n"/>
      <c r="C486" s="35" t="n"/>
      <c r="D486" s="36" t="n"/>
    </row>
    <row r="487" customFormat="1" s="87">
      <c r="A487" s="16" t="n"/>
      <c r="C487" s="35" t="n"/>
      <c r="D487" s="36" t="n"/>
    </row>
    <row r="488" customFormat="1" s="87">
      <c r="A488" s="16" t="n"/>
      <c r="C488" s="35" t="n"/>
      <c r="D488" s="36" t="n"/>
    </row>
    <row r="489" customFormat="1" s="87">
      <c r="A489" s="16" t="n"/>
      <c r="C489" s="35" t="n"/>
      <c r="D489" s="36" t="n"/>
    </row>
    <row r="490" customFormat="1" s="87">
      <c r="A490" s="16" t="n"/>
      <c r="C490" s="35" t="n"/>
      <c r="D490" s="36" t="n"/>
    </row>
    <row r="491" customFormat="1" s="87">
      <c r="A491" s="16" t="n"/>
      <c r="C491" s="35" t="n"/>
      <c r="D491" s="36" t="n"/>
    </row>
    <row r="492" customFormat="1" s="87">
      <c r="A492" s="16" t="n"/>
      <c r="C492" s="35" t="n"/>
      <c r="D492" s="36" t="n"/>
    </row>
    <row r="493" customFormat="1" s="87">
      <c r="A493" s="16" t="n"/>
      <c r="C493" s="35" t="n"/>
      <c r="D493" s="36" t="n"/>
    </row>
    <row r="494" customFormat="1" s="87">
      <c r="A494" s="16" t="n"/>
      <c r="C494" s="35" t="n"/>
      <c r="D494" s="36" t="n"/>
    </row>
    <row r="495" customFormat="1" s="87">
      <c r="A495" s="16" t="n"/>
      <c r="C495" s="35" t="n"/>
      <c r="D495" s="36" t="n"/>
    </row>
    <row r="496" customFormat="1" s="87">
      <c r="A496" s="16" t="n"/>
      <c r="C496" s="35" t="n"/>
      <c r="D496" s="36" t="n"/>
    </row>
    <row r="497" customFormat="1" s="87">
      <c r="A497" s="16" t="n"/>
      <c r="C497" s="35" t="n"/>
      <c r="D497" s="36" t="n"/>
    </row>
    <row r="498" customFormat="1" s="87">
      <c r="A498" s="16" t="n"/>
      <c r="C498" s="35" t="n"/>
      <c r="D498" s="36" t="n"/>
    </row>
    <row r="499" customFormat="1" s="87">
      <c r="A499" s="16" t="n"/>
      <c r="C499" s="35" t="n"/>
      <c r="D499" s="36" t="n"/>
    </row>
    <row r="500" customFormat="1" s="87">
      <c r="A500" s="16" t="n"/>
      <c r="C500" s="35" t="n"/>
      <c r="D500" s="36" t="n"/>
    </row>
    <row r="501" customFormat="1" s="87">
      <c r="A501" s="16" t="n"/>
      <c r="C501" s="35" t="n"/>
      <c r="D501" s="36" t="n"/>
    </row>
    <row r="502" customFormat="1" s="87">
      <c r="A502" s="16" t="n"/>
      <c r="C502" s="35" t="n"/>
      <c r="D502" s="36" t="n"/>
    </row>
    <row r="503" customFormat="1" s="87">
      <c r="A503" s="16" t="n"/>
      <c r="C503" s="35" t="n"/>
      <c r="D503" s="36" t="n"/>
    </row>
    <row r="504" customFormat="1" s="87">
      <c r="A504" s="16" t="n"/>
      <c r="C504" s="35" t="n"/>
      <c r="D504" s="36" t="n"/>
    </row>
    <row r="505" customFormat="1" s="87">
      <c r="A505" s="16" t="n"/>
      <c r="C505" s="35" t="n"/>
      <c r="D505" s="36" t="n"/>
    </row>
    <row r="506" customFormat="1" s="87">
      <c r="A506" s="16" t="n"/>
      <c r="C506" s="35" t="n"/>
      <c r="D506" s="36" t="n"/>
    </row>
    <row r="507" customFormat="1" s="87">
      <c r="A507" s="16" t="n"/>
      <c r="C507" s="35" t="n"/>
      <c r="D507" s="36" t="n"/>
    </row>
    <row r="508" customFormat="1" s="87">
      <c r="A508" s="16" t="n"/>
      <c r="C508" s="35" t="n"/>
      <c r="D508" s="36" t="n"/>
    </row>
    <row r="509" customFormat="1" s="87">
      <c r="A509" s="16" t="n"/>
      <c r="C509" s="35" t="n"/>
      <c r="D509" s="36" t="n"/>
    </row>
    <row r="510" customFormat="1" s="87">
      <c r="A510" s="16" t="n"/>
      <c r="C510" s="35" t="n"/>
      <c r="D510" s="36" t="n"/>
    </row>
    <row r="511" customFormat="1" s="87">
      <c r="A511" s="16" t="n"/>
      <c r="C511" s="35" t="n"/>
      <c r="D511" s="36" t="n"/>
    </row>
    <row r="512" customFormat="1" s="87">
      <c r="A512" s="16" t="n"/>
      <c r="C512" s="35" t="n"/>
      <c r="D512" s="36" t="n"/>
    </row>
    <row r="513" customFormat="1" s="87">
      <c r="A513" s="16" t="n"/>
      <c r="C513" s="35" t="n"/>
      <c r="D513" s="36" t="n"/>
    </row>
    <row r="514" customFormat="1" s="87">
      <c r="A514" s="16" t="n"/>
      <c r="C514" s="35" t="n"/>
      <c r="D514" s="36" t="n"/>
    </row>
    <row r="515" customFormat="1" s="87">
      <c r="A515" s="16" t="n"/>
      <c r="C515" s="35" t="n"/>
      <c r="D515" s="36" t="n"/>
    </row>
    <row r="516" customFormat="1" s="87">
      <c r="A516" s="16" t="n"/>
      <c r="C516" s="35" t="n"/>
      <c r="D516" s="36" t="n"/>
    </row>
    <row r="517" customFormat="1" s="87">
      <c r="A517" s="16" t="n"/>
      <c r="C517" s="35" t="n"/>
      <c r="D517" s="36" t="n"/>
    </row>
    <row r="518" customFormat="1" s="87">
      <c r="A518" s="16" t="n"/>
      <c r="C518" s="35" t="n"/>
      <c r="D518" s="36" t="n"/>
    </row>
    <row r="519" customFormat="1" s="87">
      <c r="A519" s="16" t="n"/>
      <c r="C519" s="35" t="n"/>
      <c r="D519" s="36" t="n"/>
    </row>
    <row r="520" customFormat="1" s="87">
      <c r="A520" s="16" t="n"/>
      <c r="C520" s="35" t="n"/>
      <c r="D520" s="36" t="n"/>
    </row>
    <row r="521" customFormat="1" s="87">
      <c r="A521" s="16" t="n"/>
      <c r="C521" s="35" t="n"/>
      <c r="D521" s="36" t="n"/>
    </row>
    <row r="522" customFormat="1" s="87">
      <c r="A522" s="16" t="n"/>
      <c r="C522" s="35" t="n"/>
      <c r="D522" s="36" t="n"/>
    </row>
    <row r="523" customFormat="1" s="87">
      <c r="A523" s="16" t="n"/>
      <c r="C523" s="35" t="n"/>
      <c r="D523" s="36" t="n"/>
    </row>
    <row r="524" customFormat="1" s="87">
      <c r="A524" s="16" t="n"/>
      <c r="C524" s="35" t="n"/>
      <c r="D524" s="36" t="n"/>
    </row>
    <row r="525" customFormat="1" s="87">
      <c r="A525" s="16" t="n"/>
      <c r="C525" s="35" t="n"/>
      <c r="D525" s="36" t="n"/>
    </row>
    <row r="526" customFormat="1" s="87">
      <c r="A526" s="16" t="n"/>
      <c r="C526" s="35" t="n"/>
      <c r="D526" s="36" t="n"/>
    </row>
    <row r="527" customFormat="1" s="87">
      <c r="A527" s="16" t="n"/>
      <c r="C527" s="35" t="n"/>
      <c r="D527" s="36" t="n"/>
    </row>
    <row r="528" customFormat="1" s="87">
      <c r="A528" s="16" t="n"/>
      <c r="C528" s="35" t="n"/>
      <c r="D528" s="36" t="n"/>
    </row>
    <row r="529" customFormat="1" s="87">
      <c r="A529" s="16" t="n"/>
      <c r="C529" s="35" t="n"/>
      <c r="D529" s="36" t="n"/>
    </row>
    <row r="530" customFormat="1" s="87">
      <c r="A530" s="16" t="n"/>
      <c r="C530" s="35" t="n"/>
      <c r="D530" s="36" t="n"/>
    </row>
    <row r="531" customFormat="1" s="87">
      <c r="A531" s="16" t="n"/>
      <c r="C531" s="35" t="n"/>
      <c r="D531" s="36" t="n"/>
    </row>
    <row r="532" customFormat="1" s="87">
      <c r="A532" s="16" t="n"/>
      <c r="C532" s="35" t="n"/>
      <c r="D532" s="36" t="n"/>
    </row>
    <row r="533" customFormat="1" s="87">
      <c r="A533" s="16" t="n"/>
      <c r="C533" s="35" t="n"/>
      <c r="D533" s="36" t="n"/>
    </row>
    <row r="534" customFormat="1" s="87">
      <c r="A534" s="16" t="n"/>
      <c r="C534" s="35" t="n"/>
      <c r="D534" s="36" t="n"/>
    </row>
    <row r="535" customFormat="1" s="87">
      <c r="A535" s="16" t="n"/>
      <c r="C535" s="35" t="n"/>
      <c r="D535" s="36" t="n"/>
    </row>
    <row r="536" customFormat="1" s="87">
      <c r="A536" s="16" t="n"/>
      <c r="C536" s="35" t="n"/>
      <c r="D536" s="36" t="n"/>
    </row>
    <row r="537" customFormat="1" s="87">
      <c r="A537" s="16" t="n"/>
      <c r="C537" s="35" t="n"/>
      <c r="D537" s="36" t="n"/>
    </row>
    <row r="538" customFormat="1" s="87">
      <c r="A538" s="16" t="n"/>
      <c r="C538" s="35" t="n"/>
      <c r="D538" s="36" t="n"/>
    </row>
    <row r="539" customFormat="1" s="87">
      <c r="A539" s="16" t="n"/>
      <c r="C539" s="35" t="n"/>
      <c r="D539" s="36" t="n"/>
    </row>
    <row r="540" customFormat="1" s="87">
      <c r="A540" s="16" t="n"/>
      <c r="C540" s="35" t="n"/>
      <c r="D540" s="36" t="n"/>
    </row>
    <row r="541" customFormat="1" s="87">
      <c r="A541" s="16" t="n"/>
      <c r="C541" s="35" t="n"/>
      <c r="D541" s="36" t="n"/>
    </row>
    <row r="542" customFormat="1" s="87">
      <c r="A542" s="16" t="n"/>
      <c r="C542" s="35" t="n"/>
      <c r="D542" s="36" t="n"/>
    </row>
    <row r="543" customFormat="1" s="87">
      <c r="A543" s="16" t="n"/>
      <c r="C543" s="35" t="n"/>
      <c r="D543" s="36" t="n"/>
    </row>
    <row r="544" customFormat="1" s="87">
      <c r="A544" s="16" t="n"/>
      <c r="C544" s="35" t="n"/>
      <c r="D544" s="36" t="n"/>
    </row>
    <row r="545" customFormat="1" s="87">
      <c r="A545" s="16" t="n"/>
      <c r="C545" s="35" t="n"/>
      <c r="D545" s="36" t="n"/>
    </row>
    <row r="546" customFormat="1" s="87">
      <c r="A546" s="16" t="n"/>
      <c r="C546" s="35" t="n"/>
      <c r="D546" s="36" t="n"/>
    </row>
    <row r="547" customFormat="1" s="87">
      <c r="A547" s="16" t="n"/>
      <c r="C547" s="35" t="n"/>
      <c r="D547" s="36" t="n"/>
    </row>
    <row r="548" customFormat="1" s="87">
      <c r="A548" s="16" t="n"/>
      <c r="C548" s="35" t="n"/>
      <c r="D548" s="36" t="n"/>
    </row>
    <row r="549" customFormat="1" s="87">
      <c r="A549" s="16" t="n"/>
      <c r="C549" s="35" t="n"/>
      <c r="D549" s="36" t="n"/>
    </row>
    <row r="550" customFormat="1" s="87">
      <c r="A550" s="16" t="n"/>
      <c r="C550" s="35" t="n"/>
      <c r="D550" s="36" t="n"/>
    </row>
    <row r="551" customFormat="1" s="87">
      <c r="A551" s="16" t="n"/>
      <c r="C551" s="35" t="n"/>
      <c r="D551" s="36" t="n"/>
    </row>
    <row r="552" customFormat="1" s="87">
      <c r="A552" s="16" t="n"/>
      <c r="C552" s="35" t="n"/>
      <c r="D552" s="36" t="n"/>
    </row>
    <row r="553" customFormat="1" s="87">
      <c r="A553" s="16" t="n"/>
      <c r="C553" s="35" t="n"/>
      <c r="D553" s="36" t="n"/>
    </row>
    <row r="554" customFormat="1" s="87">
      <c r="A554" s="16" t="n"/>
      <c r="C554" s="35" t="n"/>
      <c r="D554" s="36" t="n"/>
    </row>
    <row r="555" customFormat="1" s="87">
      <c r="A555" s="16" t="n"/>
      <c r="C555" s="35" t="n"/>
      <c r="D555" s="36" t="n"/>
    </row>
    <row r="556" customFormat="1" s="87">
      <c r="A556" s="16" t="n"/>
      <c r="C556" s="35" t="n"/>
      <c r="D556" s="36" t="n"/>
    </row>
    <row r="557" customFormat="1" s="87">
      <c r="A557" s="16" t="n"/>
      <c r="C557" s="35" t="n"/>
      <c r="D557" s="36" t="n"/>
    </row>
    <row r="558" customFormat="1" s="87">
      <c r="A558" s="16" t="n"/>
      <c r="C558" s="35" t="n"/>
      <c r="D558" s="36" t="n"/>
    </row>
    <row r="559" customFormat="1" s="87">
      <c r="A559" s="16" t="n"/>
      <c r="C559" s="35" t="n"/>
      <c r="D559" s="36" t="n"/>
    </row>
    <row r="560" customFormat="1" s="87">
      <c r="A560" s="16" t="n"/>
      <c r="C560" s="35" t="n"/>
      <c r="D560" s="36" t="n"/>
    </row>
    <row r="561" customFormat="1" s="87">
      <c r="A561" s="16" t="n"/>
      <c r="C561" s="35" t="n"/>
      <c r="D561" s="36" t="n"/>
    </row>
    <row r="562" customFormat="1" s="87">
      <c r="A562" s="16" t="n"/>
      <c r="C562" s="35" t="n"/>
      <c r="D562" s="36" t="n"/>
    </row>
    <row r="563" customFormat="1" s="87">
      <c r="A563" s="16" t="n"/>
      <c r="C563" s="35" t="n"/>
      <c r="D563" s="36" t="n"/>
    </row>
    <row r="564" customFormat="1" s="87">
      <c r="A564" s="16" t="n"/>
      <c r="C564" s="35" t="n"/>
      <c r="D564" s="36" t="n"/>
    </row>
    <row r="565" customFormat="1" s="87">
      <c r="A565" s="16" t="n"/>
      <c r="C565" s="35" t="n"/>
      <c r="D565" s="36" t="n"/>
    </row>
    <row r="566" customFormat="1" s="87">
      <c r="A566" s="16" t="n"/>
      <c r="C566" s="35" t="n"/>
      <c r="D566" s="36" t="n"/>
    </row>
    <row r="567" customFormat="1" s="87">
      <c r="A567" s="16" t="n"/>
      <c r="C567" s="35" t="n"/>
      <c r="D567" s="36" t="n"/>
    </row>
    <row r="568" customFormat="1" s="87">
      <c r="A568" s="16" t="n"/>
      <c r="C568" s="35" t="n"/>
      <c r="D568" s="36" t="n"/>
    </row>
    <row r="569" customFormat="1" s="87">
      <c r="A569" s="16" t="n"/>
      <c r="C569" s="35" t="n"/>
      <c r="D569" s="36" t="n"/>
    </row>
    <row r="570" customFormat="1" s="87">
      <c r="A570" s="16" t="n"/>
      <c r="C570" s="35" t="n"/>
      <c r="D570" s="36" t="n"/>
    </row>
    <row r="571" customFormat="1" s="87">
      <c r="A571" s="16" t="n"/>
      <c r="C571" s="35" t="n"/>
      <c r="D571" s="36" t="n"/>
    </row>
    <row r="572" customFormat="1" s="87">
      <c r="A572" s="16" t="n"/>
      <c r="C572" s="35" t="n"/>
      <c r="D572" s="36" t="n"/>
    </row>
    <row r="573" customFormat="1" s="87">
      <c r="A573" s="16" t="n"/>
      <c r="C573" s="35" t="n"/>
      <c r="D573" s="36" t="n"/>
    </row>
    <row r="574" customFormat="1" s="87">
      <c r="A574" s="16" t="n"/>
      <c r="C574" s="35" t="n"/>
      <c r="D574" s="36" t="n"/>
    </row>
    <row r="575" customFormat="1" s="87">
      <c r="A575" s="16" t="n"/>
      <c r="C575" s="35" t="n"/>
      <c r="D575" s="36" t="n"/>
    </row>
    <row r="576" customFormat="1" s="87">
      <c r="A576" s="16" t="n"/>
      <c r="C576" s="35" t="n"/>
      <c r="D576" s="36" t="n"/>
    </row>
    <row r="577" customFormat="1" s="87">
      <c r="A577" s="16" t="n"/>
      <c r="C577" s="35" t="n"/>
      <c r="D577" s="36" t="n"/>
    </row>
    <row r="578" customFormat="1" s="87">
      <c r="A578" s="16" t="n"/>
      <c r="C578" s="35" t="n"/>
      <c r="D578" s="36" t="n"/>
    </row>
    <row r="579" customFormat="1" s="87">
      <c r="A579" s="16" t="n"/>
      <c r="C579" s="35" t="n"/>
      <c r="D579" s="36" t="n"/>
    </row>
    <row r="580" customFormat="1" s="87">
      <c r="A580" s="16" t="n"/>
      <c r="C580" s="35" t="n"/>
      <c r="D580" s="36" t="n"/>
    </row>
    <row r="581" customFormat="1" s="87">
      <c r="A581" s="16" t="n"/>
      <c r="C581" s="35" t="n"/>
      <c r="D581" s="36" t="n"/>
    </row>
    <row r="582" customFormat="1" s="87">
      <c r="A582" s="16" t="n"/>
      <c r="C582" s="35" t="n"/>
      <c r="D582" s="36" t="n"/>
    </row>
    <row r="583" customFormat="1" s="87">
      <c r="A583" s="16" t="n"/>
      <c r="C583" s="35" t="n"/>
      <c r="D583" s="36" t="n"/>
    </row>
    <row r="584" customFormat="1" s="87">
      <c r="A584" s="16" t="n"/>
      <c r="C584" s="35" t="n"/>
      <c r="D584" s="36" t="n"/>
    </row>
    <row r="585" customFormat="1" s="87">
      <c r="A585" s="16" t="n"/>
      <c r="C585" s="35" t="n"/>
      <c r="D585" s="36" t="n"/>
    </row>
    <row r="586" customFormat="1" s="87">
      <c r="A586" s="16" t="n"/>
      <c r="C586" s="35" t="n"/>
      <c r="D586" s="36" t="n"/>
    </row>
    <row r="587" customFormat="1" s="87">
      <c r="A587" s="16" t="n"/>
      <c r="C587" s="35" t="n"/>
      <c r="D587" s="36" t="n"/>
    </row>
    <row r="588" customFormat="1" s="87">
      <c r="A588" s="16" t="n"/>
      <c r="C588" s="35" t="n"/>
      <c r="D588" s="36" t="n"/>
    </row>
    <row r="589" customFormat="1" s="87">
      <c r="A589" s="16" t="n"/>
      <c r="C589" s="35" t="n"/>
      <c r="D589" s="36" t="n"/>
    </row>
    <row r="590" customFormat="1" s="87">
      <c r="A590" s="16" t="n"/>
      <c r="C590" s="35" t="n"/>
      <c r="D590" s="36" t="n"/>
    </row>
    <row r="591" customFormat="1" s="87">
      <c r="A591" s="16" t="n"/>
      <c r="C591" s="35" t="n"/>
      <c r="D591" s="36" t="n"/>
    </row>
    <row r="592" customFormat="1" s="87">
      <c r="A592" s="16" t="n"/>
      <c r="C592" s="35" t="n"/>
      <c r="D592" s="36" t="n"/>
    </row>
    <row r="593" customFormat="1" s="87">
      <c r="A593" s="16" t="n"/>
      <c r="C593" s="35" t="n"/>
      <c r="D593" s="36" t="n"/>
    </row>
    <row r="594" customFormat="1" s="87">
      <c r="A594" s="16" t="n"/>
      <c r="C594" s="35" t="n"/>
      <c r="D594" s="36" t="n"/>
    </row>
    <row r="595" customFormat="1" s="87">
      <c r="A595" s="16" t="n"/>
      <c r="C595" s="35" t="n"/>
      <c r="D595" s="36" t="n"/>
    </row>
    <row r="596" customFormat="1" s="87">
      <c r="A596" s="16" t="n"/>
      <c r="C596" s="35" t="n"/>
      <c r="D596" s="36" t="n"/>
    </row>
    <row r="597" customFormat="1" s="87">
      <c r="A597" s="16" t="n"/>
      <c r="C597" s="35" t="n"/>
      <c r="D597" s="36" t="n"/>
    </row>
    <row r="598" customFormat="1" s="87">
      <c r="A598" s="16" t="n"/>
      <c r="C598" s="35" t="n"/>
      <c r="D598" s="36" t="n"/>
    </row>
    <row r="599" customFormat="1" s="87">
      <c r="A599" s="16" t="n"/>
      <c r="C599" s="35" t="n"/>
      <c r="D599" s="36" t="n"/>
    </row>
    <row r="600" customFormat="1" s="87">
      <c r="A600" s="16" t="n"/>
      <c r="C600" s="35" t="n"/>
      <c r="D600" s="36" t="n"/>
    </row>
    <row r="601" customFormat="1" s="87">
      <c r="A601" s="16" t="n"/>
      <c r="C601" s="35" t="n"/>
      <c r="D601" s="36" t="n"/>
    </row>
    <row r="602" customFormat="1" s="87">
      <c r="A602" s="16" t="n"/>
      <c r="C602" s="35" t="n"/>
      <c r="D602" s="36" t="n"/>
    </row>
    <row r="603" customFormat="1" s="87">
      <c r="A603" s="16" t="n"/>
      <c r="C603" s="35" t="n"/>
      <c r="D603" s="36" t="n"/>
    </row>
    <row r="604" customFormat="1" s="87">
      <c r="A604" s="16" t="n"/>
      <c r="C604" s="35" t="n"/>
      <c r="D604" s="36" t="n"/>
    </row>
    <row r="605" customFormat="1" s="87">
      <c r="A605" s="16" t="n"/>
      <c r="C605" s="35" t="n"/>
      <c r="D605" s="36" t="n"/>
    </row>
    <row r="606" customFormat="1" s="87">
      <c r="A606" s="16" t="n"/>
      <c r="C606" s="35" t="n"/>
      <c r="D606" s="36" t="n"/>
    </row>
    <row r="607" customFormat="1" s="87">
      <c r="A607" s="16" t="n"/>
      <c r="C607" s="35" t="n"/>
      <c r="D607" s="36" t="n"/>
    </row>
    <row r="608" customFormat="1" s="87">
      <c r="A608" s="16" t="n"/>
      <c r="C608" s="35" t="n"/>
      <c r="D608" s="36" t="n"/>
    </row>
    <row r="609" customFormat="1" s="87">
      <c r="A609" s="16" t="n"/>
      <c r="C609" s="35" t="n"/>
      <c r="D609" s="36" t="n"/>
    </row>
    <row r="610" customFormat="1" s="87">
      <c r="A610" s="16" t="n"/>
      <c r="C610" s="35" t="n"/>
      <c r="D610" s="36" t="n"/>
    </row>
    <row r="611" customFormat="1" s="87">
      <c r="A611" s="16" t="n"/>
      <c r="C611" s="35" t="n"/>
      <c r="D611" s="36" t="n"/>
    </row>
    <row r="612" customFormat="1" s="87">
      <c r="A612" s="16" t="n"/>
      <c r="C612" s="35" t="n"/>
      <c r="D612" s="36" t="n"/>
    </row>
    <row r="613" customFormat="1" s="87">
      <c r="A613" s="16" t="n"/>
      <c r="C613" s="35" t="n"/>
      <c r="D613" s="36" t="n"/>
    </row>
    <row r="614" customFormat="1" s="87">
      <c r="A614" s="16" t="n"/>
      <c r="C614" s="35" t="n"/>
      <c r="D614" s="36" t="n"/>
    </row>
    <row r="615" customFormat="1" s="87">
      <c r="A615" s="16" t="n"/>
      <c r="C615" s="35" t="n"/>
      <c r="D615" s="36" t="n"/>
    </row>
    <row r="616" customFormat="1" s="87">
      <c r="A616" s="16" t="n"/>
      <c r="C616" s="35" t="n"/>
      <c r="D616" s="36" t="n"/>
    </row>
    <row r="617" customFormat="1" s="87">
      <c r="A617" s="16" t="n"/>
      <c r="C617" s="35" t="n"/>
      <c r="D617" s="36" t="n"/>
    </row>
    <row r="618" customFormat="1" s="87">
      <c r="A618" s="16" t="n"/>
      <c r="C618" s="35" t="n"/>
      <c r="D618" s="36" t="n"/>
    </row>
    <row r="619" customFormat="1" s="87">
      <c r="A619" s="16" t="n"/>
      <c r="C619" s="35" t="n"/>
      <c r="D619" s="36" t="n"/>
    </row>
    <row r="620" customFormat="1" s="87">
      <c r="A620" s="16" t="n"/>
      <c r="C620" s="35" t="n"/>
      <c r="D620" s="36" t="n"/>
    </row>
    <row r="621" customFormat="1" s="87">
      <c r="A621" s="16" t="n"/>
      <c r="C621" s="35" t="n"/>
      <c r="D621" s="36" t="n"/>
    </row>
    <row r="622" customFormat="1" s="87">
      <c r="A622" s="16" t="n"/>
      <c r="C622" s="35" t="n"/>
      <c r="D622" s="36" t="n"/>
    </row>
    <row r="623" customFormat="1" s="87">
      <c r="A623" s="16" t="n"/>
      <c r="C623" s="35" t="n"/>
      <c r="D623" s="36" t="n"/>
    </row>
    <row r="624" customFormat="1" s="87">
      <c r="A624" s="16" t="n"/>
      <c r="C624" s="35" t="n"/>
      <c r="D624" s="36" t="n"/>
    </row>
    <row r="625" customFormat="1" s="87">
      <c r="A625" s="16" t="n"/>
      <c r="C625" s="35" t="n"/>
      <c r="D625" s="36" t="n"/>
    </row>
    <row r="626" customFormat="1" s="87">
      <c r="A626" s="16" t="n"/>
      <c r="C626" s="35" t="n"/>
      <c r="D626" s="36" t="n"/>
    </row>
    <row r="627" customFormat="1" s="87">
      <c r="A627" s="16" t="n"/>
      <c r="C627" s="35" t="n"/>
      <c r="D627" s="36" t="n"/>
    </row>
    <row r="628" customFormat="1" s="87">
      <c r="A628" s="16" t="n"/>
      <c r="C628" s="35" t="n"/>
      <c r="D628" s="36" t="n"/>
    </row>
    <row r="629" customFormat="1" s="87">
      <c r="A629" s="16" t="n"/>
      <c r="C629" s="35" t="n"/>
      <c r="D629" s="36" t="n"/>
    </row>
    <row r="630" customFormat="1" s="87">
      <c r="A630" s="16" t="n"/>
      <c r="C630" s="35" t="n"/>
      <c r="D630" s="36" t="n"/>
    </row>
    <row r="631" customFormat="1" s="87">
      <c r="A631" s="16" t="n"/>
      <c r="C631" s="35" t="n"/>
      <c r="D631" s="36" t="n"/>
    </row>
    <row r="632" customFormat="1" s="87">
      <c r="A632" s="16" t="n"/>
      <c r="C632" s="35" t="n"/>
      <c r="D632" s="36" t="n"/>
    </row>
    <row r="633" customFormat="1" s="87">
      <c r="A633" s="16" t="n"/>
      <c r="C633" s="35" t="n"/>
      <c r="D633" s="36" t="n"/>
    </row>
    <row r="634" customFormat="1" s="87">
      <c r="A634" s="16" t="n"/>
      <c r="C634" s="35" t="n"/>
      <c r="D634" s="36" t="n"/>
    </row>
    <row r="635" customFormat="1" s="87">
      <c r="A635" s="16" t="n"/>
      <c r="C635" s="35" t="n"/>
      <c r="D635" s="36" t="n"/>
    </row>
    <row r="636" customFormat="1" s="87">
      <c r="A636" s="16" t="n"/>
      <c r="C636" s="35" t="n"/>
      <c r="D636" s="36" t="n"/>
    </row>
    <row r="637" customFormat="1" s="87">
      <c r="A637" s="16" t="n"/>
      <c r="C637" s="35" t="n"/>
      <c r="D637" s="36" t="n"/>
    </row>
    <row r="638" customFormat="1" s="87">
      <c r="A638" s="16" t="n"/>
      <c r="C638" s="35" t="n"/>
      <c r="D638" s="36" t="n"/>
    </row>
    <row r="639" customFormat="1" s="87">
      <c r="A639" s="16" t="n"/>
      <c r="C639" s="35" t="n"/>
      <c r="D639" s="36" t="n"/>
    </row>
    <row r="640" customFormat="1" s="87">
      <c r="A640" s="16" t="n"/>
      <c r="C640" s="35" t="n"/>
      <c r="D640" s="36" t="n"/>
    </row>
    <row r="641" customFormat="1" s="87">
      <c r="A641" s="16" t="n"/>
      <c r="C641" s="35" t="n"/>
      <c r="D641" s="36" t="n"/>
    </row>
    <row r="642" customFormat="1" s="87">
      <c r="A642" s="16" t="n"/>
      <c r="C642" s="35" t="n"/>
      <c r="D642" s="36" t="n"/>
    </row>
    <row r="643" customFormat="1" s="87">
      <c r="A643" s="16" t="n"/>
      <c r="C643" s="35" t="n"/>
      <c r="D643" s="36" t="n"/>
    </row>
    <row r="644" customFormat="1" s="87">
      <c r="A644" s="16" t="n"/>
      <c r="C644" s="35" t="n"/>
      <c r="D644" s="36" t="n"/>
    </row>
    <row r="645" customFormat="1" s="87">
      <c r="A645" s="16" t="n"/>
      <c r="C645" s="35" t="n"/>
      <c r="D645" s="36" t="n"/>
    </row>
    <row r="646" customFormat="1" s="87">
      <c r="A646" s="16" t="n"/>
      <c r="C646" s="35" t="n"/>
      <c r="D646" s="36" t="n"/>
    </row>
    <row r="647" customFormat="1" s="87">
      <c r="A647" s="16" t="n"/>
      <c r="C647" s="35" t="n"/>
      <c r="D647" s="36" t="n"/>
    </row>
    <row r="648" customFormat="1" s="87">
      <c r="A648" s="16" t="n"/>
      <c r="C648" s="35" t="n"/>
      <c r="D648" s="36" t="n"/>
    </row>
    <row r="649" customFormat="1" s="87">
      <c r="A649" s="16" t="n"/>
      <c r="C649" s="35" t="n"/>
      <c r="D649" s="36" t="n"/>
    </row>
    <row r="650" customFormat="1" s="87">
      <c r="A650" s="16" t="n"/>
      <c r="C650" s="35" t="n"/>
      <c r="D650" s="36" t="n"/>
    </row>
    <row r="651" customFormat="1" s="87">
      <c r="A651" s="16" t="n"/>
      <c r="C651" s="35" t="n"/>
      <c r="D651" s="36" t="n"/>
    </row>
    <row r="652" customFormat="1" s="87">
      <c r="A652" s="16" t="n"/>
      <c r="C652" s="35" t="n"/>
      <c r="D652" s="36" t="n"/>
    </row>
    <row r="653" customFormat="1" s="87">
      <c r="A653" s="16" t="n"/>
      <c r="C653" s="35" t="n"/>
      <c r="D653" s="36" t="n"/>
    </row>
    <row r="654" customFormat="1" s="87">
      <c r="A654" s="16" t="n"/>
      <c r="C654" s="35" t="n"/>
      <c r="D654" s="36" t="n"/>
    </row>
    <row r="655" customFormat="1" s="87">
      <c r="A655" s="16" t="n"/>
      <c r="C655" s="35" t="n"/>
      <c r="D655" s="36" t="n"/>
    </row>
    <row r="656" customFormat="1" s="87">
      <c r="A656" s="16" t="n"/>
      <c r="C656" s="35" t="n"/>
      <c r="D656" s="36" t="n"/>
    </row>
    <row r="657" customFormat="1" s="87">
      <c r="A657" s="16" t="n"/>
      <c r="C657" s="35" t="n"/>
      <c r="D657" s="36" t="n"/>
    </row>
    <row r="658" customFormat="1" s="87">
      <c r="A658" s="16" t="n"/>
      <c r="C658" s="35" t="n"/>
      <c r="D658" s="36" t="n"/>
    </row>
    <row r="659" customFormat="1" s="87">
      <c r="A659" s="16" t="n"/>
      <c r="C659" s="35" t="n"/>
      <c r="D659" s="36" t="n"/>
    </row>
    <row r="660" customFormat="1" s="87">
      <c r="A660" s="16" t="n"/>
      <c r="C660" s="35" t="n"/>
      <c r="D660" s="36" t="n"/>
    </row>
    <row r="661" customFormat="1" s="87">
      <c r="A661" s="16" t="n"/>
      <c r="C661" s="35" t="n"/>
      <c r="D661" s="36" t="n"/>
    </row>
    <row r="662" customFormat="1" s="87">
      <c r="A662" s="16" t="n"/>
      <c r="C662" s="35" t="n"/>
      <c r="D662" s="36" t="n"/>
    </row>
    <row r="663" customFormat="1" s="87">
      <c r="A663" s="16" t="n"/>
      <c r="C663" s="35" t="n"/>
      <c r="D663" s="36" t="n"/>
    </row>
    <row r="664" customFormat="1" s="87">
      <c r="A664" s="16" t="n"/>
      <c r="C664" s="35" t="n"/>
      <c r="D664" s="36" t="n"/>
    </row>
    <row r="665" customFormat="1" s="87">
      <c r="A665" s="16" t="n"/>
      <c r="C665" s="35" t="n"/>
      <c r="D665" s="36" t="n"/>
    </row>
    <row r="666" customFormat="1" s="87">
      <c r="A666" s="16" t="n"/>
      <c r="C666" s="35" t="n"/>
      <c r="D666" s="36" t="n"/>
    </row>
    <row r="667" customFormat="1" s="87">
      <c r="A667" s="16" t="n"/>
      <c r="C667" s="35" t="n"/>
      <c r="D667" s="36" t="n"/>
    </row>
    <row r="668" customFormat="1" s="87">
      <c r="A668" s="16" t="n"/>
      <c r="C668" s="35" t="n"/>
      <c r="D668" s="36" t="n"/>
    </row>
    <row r="669" customFormat="1" s="87">
      <c r="A669" s="16" t="n"/>
      <c r="C669" s="35" t="n"/>
      <c r="D669" s="36" t="n"/>
    </row>
    <row r="670" customFormat="1" s="87">
      <c r="A670" s="16" t="n"/>
      <c r="C670" s="35" t="n"/>
      <c r="D670" s="36" t="n"/>
    </row>
    <row r="671" customFormat="1" s="87">
      <c r="A671" s="16" t="n"/>
      <c r="C671" s="35" t="n"/>
      <c r="D671" s="36" t="n"/>
    </row>
    <row r="672" customFormat="1" s="87">
      <c r="A672" s="16" t="n"/>
      <c r="C672" s="35" t="n"/>
      <c r="D672" s="36" t="n"/>
    </row>
    <row r="673" customFormat="1" s="87">
      <c r="A673" s="16" t="n"/>
      <c r="C673" s="35" t="n"/>
      <c r="D673" s="36" t="n"/>
    </row>
    <row r="674" customFormat="1" s="87">
      <c r="A674" s="16" t="n"/>
      <c r="C674" s="35" t="n"/>
      <c r="D674" s="36" t="n"/>
    </row>
    <row r="675" customFormat="1" s="87">
      <c r="A675" s="16" t="n"/>
      <c r="C675" s="35" t="n"/>
      <c r="D675" s="36" t="n"/>
    </row>
    <row r="676" customFormat="1" s="87">
      <c r="A676" s="16" t="n"/>
      <c r="C676" s="35" t="n"/>
      <c r="D676" s="36" t="n"/>
    </row>
    <row r="677" customFormat="1" s="87">
      <c r="A677" s="16" t="n"/>
      <c r="C677" s="35" t="n"/>
      <c r="D677" s="36" t="n"/>
    </row>
    <row r="678" customFormat="1" s="87">
      <c r="A678" s="16" t="n"/>
      <c r="C678" s="35" t="n"/>
      <c r="D678" s="36" t="n"/>
    </row>
    <row r="679" customFormat="1" s="87">
      <c r="A679" s="16" t="n"/>
      <c r="C679" s="35" t="n"/>
      <c r="D679" s="36" t="n"/>
    </row>
    <row r="680" customFormat="1" s="87">
      <c r="A680" s="16" t="n"/>
      <c r="C680" s="35" t="n"/>
      <c r="D680" s="36" t="n"/>
    </row>
    <row r="681" customFormat="1" s="87">
      <c r="A681" s="16" t="n"/>
      <c r="C681" s="35" t="n"/>
      <c r="D681" s="36" t="n"/>
    </row>
    <row r="682" customFormat="1" s="87">
      <c r="A682" s="16" t="n"/>
      <c r="C682" s="35" t="n"/>
      <c r="D682" s="36" t="n"/>
    </row>
    <row r="683" customFormat="1" s="87">
      <c r="A683" s="16" t="n"/>
      <c r="C683" s="35" t="n"/>
      <c r="D683" s="36" t="n"/>
    </row>
    <row r="684" customFormat="1" s="87">
      <c r="A684" s="16" t="n"/>
      <c r="C684" s="35" t="n"/>
      <c r="D684" s="36" t="n"/>
    </row>
    <row r="685" customFormat="1" s="87">
      <c r="A685" s="16" t="n"/>
      <c r="C685" s="35" t="n"/>
      <c r="D685" s="36" t="n"/>
    </row>
    <row r="686" customFormat="1" s="87">
      <c r="A686" s="16" t="n"/>
      <c r="C686" s="35" t="n"/>
      <c r="D686" s="36" t="n"/>
    </row>
    <row r="687" customFormat="1" s="87">
      <c r="A687" s="16" t="n"/>
      <c r="C687" s="35" t="n"/>
      <c r="D687" s="36" t="n"/>
    </row>
    <row r="688" customFormat="1" s="87">
      <c r="A688" s="16" t="n"/>
      <c r="C688" s="35" t="n"/>
      <c r="D688" s="36" t="n"/>
    </row>
    <row r="689" customFormat="1" s="87">
      <c r="A689" s="16" t="n"/>
      <c r="C689" s="35" t="n"/>
      <c r="D689" s="36" t="n"/>
    </row>
    <row r="690" customFormat="1" s="87">
      <c r="A690" s="16" t="n"/>
      <c r="C690" s="35" t="n"/>
      <c r="D690" s="36" t="n"/>
    </row>
    <row r="691" customFormat="1" s="87">
      <c r="A691" s="16" t="n"/>
      <c r="C691" s="35" t="n"/>
      <c r="D691" s="36" t="n"/>
    </row>
    <row r="692" customFormat="1" s="87">
      <c r="A692" s="16" t="n"/>
      <c r="C692" s="35" t="n"/>
      <c r="D692" s="36" t="n"/>
    </row>
    <row r="693" customFormat="1" s="87">
      <c r="A693" s="16" t="n"/>
      <c r="C693" s="35" t="n"/>
      <c r="D693" s="36" t="n"/>
    </row>
    <row r="694" customFormat="1" s="87">
      <c r="A694" s="16" t="n"/>
      <c r="C694" s="35" t="n"/>
      <c r="D694" s="36" t="n"/>
    </row>
    <row r="695" customFormat="1" s="87">
      <c r="A695" s="16" t="n"/>
      <c r="C695" s="35" t="n"/>
      <c r="D695" s="36" t="n"/>
    </row>
    <row r="696" customFormat="1" s="87">
      <c r="A696" s="16" t="n"/>
      <c r="C696" s="35" t="n"/>
      <c r="D696" s="36" t="n"/>
    </row>
    <row r="697" customFormat="1" s="87">
      <c r="A697" s="16" t="n"/>
      <c r="C697" s="35" t="n"/>
      <c r="D697" s="36" t="n"/>
    </row>
    <row r="698" customFormat="1" s="87">
      <c r="A698" s="16" t="n"/>
      <c r="C698" s="35" t="n"/>
      <c r="D698" s="36" t="n"/>
    </row>
    <row r="699" customFormat="1" s="87">
      <c r="A699" s="16" t="n"/>
      <c r="C699" s="35" t="n"/>
      <c r="D699" s="36" t="n"/>
    </row>
    <row r="700" customFormat="1" s="87">
      <c r="A700" s="16" t="n"/>
      <c r="C700" s="35" t="n"/>
      <c r="D700" s="36" t="n"/>
    </row>
    <row r="701" customFormat="1" s="87">
      <c r="A701" s="16" t="n"/>
      <c r="C701" s="35" t="n"/>
      <c r="D701" s="36" t="n"/>
    </row>
    <row r="702" customFormat="1" s="87">
      <c r="A702" s="16" t="n"/>
      <c r="C702" s="35" t="n"/>
      <c r="D702" s="36" t="n"/>
    </row>
    <row r="703" customFormat="1" s="87">
      <c r="A703" s="16" t="n"/>
      <c r="C703" s="35" t="n"/>
      <c r="D703" s="36" t="n"/>
    </row>
    <row r="704" customFormat="1" s="87">
      <c r="A704" s="16" t="n"/>
      <c r="C704" s="35" t="n"/>
      <c r="D704" s="36" t="n"/>
    </row>
    <row r="705" customFormat="1" s="87">
      <c r="A705" s="16" t="n"/>
      <c r="C705" s="35" t="n"/>
      <c r="D705" s="36" t="n"/>
    </row>
    <row r="706" customFormat="1" s="87">
      <c r="A706" s="16" t="n"/>
      <c r="C706" s="35" t="n"/>
      <c r="D706" s="36" t="n"/>
    </row>
    <row r="707" customFormat="1" s="87">
      <c r="A707" s="16" t="n"/>
      <c r="C707" s="35" t="n"/>
      <c r="D707" s="36" t="n"/>
    </row>
    <row r="708" customFormat="1" s="87">
      <c r="A708" s="16" t="n"/>
      <c r="C708" s="35" t="n"/>
      <c r="D708" s="36" t="n"/>
    </row>
    <row r="709" customFormat="1" s="87">
      <c r="A709" s="16" t="n"/>
      <c r="C709" s="35" t="n"/>
      <c r="D709" s="36" t="n"/>
    </row>
    <row r="710" customFormat="1" s="87">
      <c r="A710" s="16" t="n"/>
      <c r="C710" s="35" t="n"/>
      <c r="D710" s="36" t="n"/>
    </row>
    <row r="711" customFormat="1" s="87">
      <c r="A711" s="16" t="n"/>
      <c r="C711" s="35" t="n"/>
      <c r="D711" s="36" t="n"/>
    </row>
    <row r="712" customFormat="1" s="87">
      <c r="A712" s="16" t="n"/>
      <c r="C712" s="35" t="n"/>
      <c r="D712" s="36" t="n"/>
    </row>
    <row r="713" customFormat="1" s="87">
      <c r="A713" s="16" t="n"/>
      <c r="C713" s="35" t="n"/>
      <c r="D713" s="36" t="n"/>
    </row>
    <row r="714" customFormat="1" s="87">
      <c r="A714" s="16" t="n"/>
      <c r="C714" s="35" t="n"/>
      <c r="D714" s="36" t="n"/>
    </row>
    <row r="715" customFormat="1" s="87">
      <c r="A715" s="16" t="n"/>
      <c r="C715" s="35" t="n"/>
      <c r="D715" s="36" t="n"/>
    </row>
    <row r="716" customFormat="1" s="87">
      <c r="A716" s="16" t="n"/>
      <c r="C716" s="35" t="n"/>
      <c r="D716" s="36" t="n"/>
    </row>
    <row r="717" customFormat="1" s="87">
      <c r="A717" s="16" t="n"/>
      <c r="C717" s="35" t="n"/>
      <c r="D717" s="36" t="n"/>
    </row>
    <row r="718" customFormat="1" s="87">
      <c r="A718" s="16" t="n"/>
      <c r="C718" s="35" t="n"/>
      <c r="D718" s="36" t="n"/>
    </row>
    <row r="719" customFormat="1" s="87">
      <c r="A719" s="16" t="n"/>
      <c r="C719" s="35" t="n"/>
      <c r="D719" s="36" t="n"/>
    </row>
    <row r="720" customFormat="1" s="87">
      <c r="A720" s="16" t="n"/>
      <c r="C720" s="35" t="n"/>
      <c r="D720" s="36" t="n"/>
    </row>
    <row r="721" customFormat="1" s="87">
      <c r="A721" s="16" t="n"/>
      <c r="C721" s="35" t="n"/>
      <c r="D721" s="36" t="n"/>
    </row>
    <row r="722" customFormat="1" s="87">
      <c r="A722" s="16" t="n"/>
      <c r="C722" s="35" t="n"/>
      <c r="D722" s="36" t="n"/>
    </row>
    <row r="723" customFormat="1" s="87">
      <c r="A723" s="16" t="n"/>
      <c r="C723" s="35" t="n"/>
      <c r="D723" s="36" t="n"/>
    </row>
    <row r="724" customFormat="1" s="87">
      <c r="A724" s="16" t="n"/>
      <c r="C724" s="35" t="n"/>
      <c r="D724" s="36" t="n"/>
    </row>
    <row r="725" customFormat="1" s="87">
      <c r="A725" s="16" t="n"/>
      <c r="C725" s="35" t="n"/>
      <c r="D725" s="36" t="n"/>
    </row>
    <row r="726" customFormat="1" s="87">
      <c r="A726" s="16" t="n"/>
      <c r="C726" s="35" t="n"/>
      <c r="D726" s="36" t="n"/>
    </row>
    <row r="727" customFormat="1" s="87">
      <c r="A727" s="16" t="n"/>
      <c r="C727" s="35" t="n"/>
      <c r="D727" s="36" t="n"/>
    </row>
    <row r="728" customFormat="1" s="87">
      <c r="A728" s="16" t="n"/>
      <c r="C728" s="35" t="n"/>
      <c r="D728" s="36" t="n"/>
    </row>
    <row r="729" customFormat="1" s="87">
      <c r="A729" s="16" t="n"/>
      <c r="C729" s="35" t="n"/>
      <c r="D729" s="36" t="n"/>
    </row>
    <row r="730" customFormat="1" s="87">
      <c r="A730" s="16" t="n"/>
      <c r="C730" s="35" t="n"/>
      <c r="D730" s="36" t="n"/>
    </row>
    <row r="731" customFormat="1" s="87">
      <c r="A731" s="16" t="n"/>
      <c r="C731" s="35" t="n"/>
      <c r="D731" s="36" t="n"/>
    </row>
    <row r="732" customFormat="1" s="87">
      <c r="A732" s="16" t="n"/>
      <c r="C732" s="35" t="n"/>
      <c r="D732" s="36" t="n"/>
    </row>
    <row r="733" customFormat="1" s="87">
      <c r="A733" s="16" t="n"/>
      <c r="C733" s="35" t="n"/>
      <c r="D733" s="36" t="n"/>
    </row>
    <row r="734" customFormat="1" s="87">
      <c r="A734" s="16" t="n"/>
      <c r="C734" s="35" t="n"/>
      <c r="D734" s="36" t="n"/>
    </row>
    <row r="735" customFormat="1" s="87">
      <c r="A735" s="16" t="n"/>
      <c r="C735" s="35" t="n"/>
      <c r="D735" s="36" t="n"/>
    </row>
    <row r="736" customFormat="1" s="87">
      <c r="A736" s="16" t="n"/>
      <c r="C736" s="35" t="n"/>
      <c r="D736" s="36" t="n"/>
    </row>
    <row r="737" customFormat="1" s="87">
      <c r="A737" s="16" t="n"/>
      <c r="C737" s="35" t="n"/>
      <c r="D737" s="36" t="n"/>
    </row>
    <row r="738" customFormat="1" s="87">
      <c r="A738" s="16" t="n"/>
      <c r="C738" s="35" t="n"/>
      <c r="D738" s="36" t="n"/>
    </row>
    <row r="739" customFormat="1" s="87">
      <c r="A739" s="16" t="n"/>
      <c r="C739" s="35" t="n"/>
      <c r="D739" s="36" t="n"/>
    </row>
    <row r="740" customFormat="1" s="87">
      <c r="A740" s="16" t="n"/>
      <c r="C740" s="35" t="n"/>
      <c r="D740" s="36" t="n"/>
    </row>
    <row r="741" customFormat="1" s="87">
      <c r="A741" s="16" t="n"/>
      <c r="C741" s="35" t="n"/>
      <c r="D741" s="36" t="n"/>
    </row>
    <row r="742" customFormat="1" s="87">
      <c r="A742" s="16" t="n"/>
      <c r="C742" s="35" t="n"/>
      <c r="D742" s="36" t="n"/>
    </row>
    <row r="743" customFormat="1" s="87">
      <c r="A743" s="16" t="n"/>
      <c r="C743" s="35" t="n"/>
      <c r="D743" s="36" t="n"/>
    </row>
    <row r="744" customFormat="1" s="87">
      <c r="A744" s="16" t="n"/>
      <c r="C744" s="35" t="n"/>
      <c r="D744" s="36" t="n"/>
    </row>
    <row r="745" customFormat="1" s="87">
      <c r="A745" s="16" t="n"/>
      <c r="C745" s="35" t="n"/>
      <c r="D745" s="36" t="n"/>
    </row>
    <row r="746" customFormat="1" s="87">
      <c r="A746" s="16" t="n"/>
      <c r="C746" s="35" t="n"/>
      <c r="D746" s="36" t="n"/>
    </row>
    <row r="747" customFormat="1" s="87">
      <c r="A747" s="16" t="n"/>
      <c r="C747" s="35" t="n"/>
      <c r="D747" s="36" t="n"/>
    </row>
    <row r="748" customFormat="1" s="87">
      <c r="A748" s="16" t="n"/>
      <c r="C748" s="35" t="n"/>
      <c r="D748" s="36" t="n"/>
    </row>
    <row r="749" customFormat="1" s="87">
      <c r="A749" s="16" t="n"/>
      <c r="C749" s="35" t="n"/>
      <c r="D749" s="36" t="n"/>
    </row>
    <row r="750" customFormat="1" s="87">
      <c r="A750" s="16" t="n"/>
      <c r="C750" s="35" t="n"/>
      <c r="D750" s="36" t="n"/>
    </row>
    <row r="751" customFormat="1" s="87">
      <c r="A751" s="16" t="n"/>
      <c r="C751" s="35" t="n"/>
      <c r="D751" s="36" t="n"/>
    </row>
    <row r="752" customFormat="1" s="87">
      <c r="A752" s="16" t="n"/>
      <c r="C752" s="35" t="n"/>
      <c r="D752" s="36" t="n"/>
    </row>
    <row r="753" customFormat="1" s="87">
      <c r="A753" s="16" t="n"/>
      <c r="C753" s="35" t="n"/>
      <c r="D753" s="36" t="n"/>
    </row>
    <row r="754" customFormat="1" s="87">
      <c r="A754" s="16" t="n"/>
      <c r="C754" s="35" t="n"/>
      <c r="D754" s="36" t="n"/>
    </row>
    <row r="755" customFormat="1" s="87">
      <c r="A755" s="16" t="n"/>
      <c r="C755" s="35" t="n"/>
      <c r="D755" s="36" t="n"/>
    </row>
    <row r="756" customFormat="1" s="87">
      <c r="A756" s="16" t="n"/>
      <c r="C756" s="35" t="n"/>
      <c r="D756" s="36" t="n"/>
    </row>
    <row r="757" customFormat="1" s="87">
      <c r="A757" s="16" t="n"/>
      <c r="C757" s="35" t="n"/>
      <c r="D757" s="36" t="n"/>
    </row>
    <row r="758" customFormat="1" s="87">
      <c r="A758" s="16" t="n"/>
      <c r="C758" s="35" t="n"/>
      <c r="D758" s="36" t="n"/>
    </row>
    <row r="759" customFormat="1" s="87">
      <c r="A759" s="16" t="n"/>
      <c r="C759" s="35" t="n"/>
      <c r="D759" s="36" t="n"/>
    </row>
    <row r="760" customFormat="1" s="87">
      <c r="A760" s="16" t="n"/>
      <c r="C760" s="35" t="n"/>
      <c r="D760" s="36" t="n"/>
    </row>
    <row r="761" customFormat="1" s="87">
      <c r="A761" s="16" t="n"/>
      <c r="C761" s="35" t="n"/>
      <c r="D761" s="36" t="n"/>
    </row>
    <row r="762" customFormat="1" s="87">
      <c r="A762" s="16" t="n"/>
      <c r="C762" s="35" t="n"/>
      <c r="D762" s="36" t="n"/>
    </row>
    <row r="763" customFormat="1" s="87">
      <c r="A763" s="16" t="n"/>
      <c r="C763" s="35" t="n"/>
      <c r="D763" s="36" t="n"/>
    </row>
    <row r="764" customFormat="1" s="87">
      <c r="A764" s="16" t="n"/>
      <c r="C764" s="35" t="n"/>
      <c r="D764" s="36" t="n"/>
    </row>
    <row r="765" customFormat="1" s="87">
      <c r="A765" s="16" t="n"/>
      <c r="C765" s="35" t="n"/>
      <c r="D765" s="36" t="n"/>
    </row>
    <row r="766" customFormat="1" s="87">
      <c r="A766" s="16" t="n"/>
      <c r="C766" s="35" t="n"/>
      <c r="D766" s="36" t="n"/>
    </row>
    <row r="767" customFormat="1" s="87">
      <c r="A767" s="16" t="n"/>
      <c r="C767" s="35" t="n"/>
      <c r="D767" s="36" t="n"/>
    </row>
    <row r="768" customFormat="1" s="87">
      <c r="A768" s="16" t="n"/>
      <c r="C768" s="35" t="n"/>
      <c r="D768" s="36" t="n"/>
    </row>
    <row r="769" customFormat="1" s="87">
      <c r="A769" s="16" t="n"/>
      <c r="C769" s="35" t="n"/>
      <c r="D769" s="36" t="n"/>
    </row>
    <row r="770" customFormat="1" s="87">
      <c r="A770" s="16" t="n"/>
      <c r="C770" s="35" t="n"/>
      <c r="D770" s="36" t="n"/>
    </row>
    <row r="771" customFormat="1" s="87">
      <c r="A771" s="16" t="n"/>
      <c r="C771" s="35" t="n"/>
      <c r="D771" s="36" t="n"/>
    </row>
    <row r="772" customFormat="1" s="87">
      <c r="A772" s="16" t="n"/>
      <c r="C772" s="35" t="n"/>
      <c r="D772" s="36" t="n"/>
    </row>
    <row r="773" customFormat="1" s="87">
      <c r="A773" s="16" t="n"/>
      <c r="C773" s="35" t="n"/>
      <c r="D773" s="36" t="n"/>
    </row>
    <row r="774" customFormat="1" s="87">
      <c r="A774" s="16" t="n"/>
      <c r="C774" s="35" t="n"/>
      <c r="D774" s="36" t="n"/>
    </row>
    <row r="775" customFormat="1" s="87">
      <c r="A775" s="16" t="n"/>
      <c r="C775" s="35" t="n"/>
      <c r="D775" s="36" t="n"/>
    </row>
    <row r="776" customFormat="1" s="87">
      <c r="A776" s="16" t="n"/>
      <c r="C776" s="35" t="n"/>
      <c r="D776" s="36" t="n"/>
    </row>
    <row r="777" customFormat="1" s="87">
      <c r="A777" s="16" t="n"/>
      <c r="C777" s="35" t="n"/>
      <c r="D777" s="36" t="n"/>
    </row>
    <row r="778" customFormat="1" s="87">
      <c r="A778" s="16" t="n"/>
      <c r="C778" s="35" t="n"/>
      <c r="D778" s="36" t="n"/>
    </row>
    <row r="779" customFormat="1" s="87">
      <c r="A779" s="16" t="n"/>
      <c r="C779" s="35" t="n"/>
      <c r="D779" s="36" t="n"/>
    </row>
    <row r="780" customFormat="1" s="87">
      <c r="A780" s="16" t="n"/>
      <c r="C780" s="35" t="n"/>
      <c r="D780" s="36" t="n"/>
    </row>
    <row r="781" customFormat="1" s="87">
      <c r="A781" s="16" t="n"/>
      <c r="C781" s="35" t="n"/>
      <c r="D781" s="36" t="n"/>
    </row>
    <row r="782" customFormat="1" s="87">
      <c r="A782" s="16" t="n"/>
      <c r="C782" s="35" t="n"/>
      <c r="D782" s="36" t="n"/>
    </row>
    <row r="783" customFormat="1" s="87">
      <c r="A783" s="16" t="n"/>
      <c r="C783" s="35" t="n"/>
      <c r="D783" s="36" t="n"/>
    </row>
    <row r="784" customFormat="1" s="87">
      <c r="A784" s="16" t="n"/>
      <c r="C784" s="35" t="n"/>
      <c r="D784" s="36" t="n"/>
    </row>
    <row r="785" customFormat="1" s="87">
      <c r="A785" s="16" t="n"/>
      <c r="C785" s="35" t="n"/>
      <c r="D785" s="36" t="n"/>
    </row>
    <row r="786" customFormat="1" s="87">
      <c r="A786" s="16" t="n"/>
      <c r="C786" s="35" t="n"/>
      <c r="D786" s="36" t="n"/>
    </row>
    <row r="787" customFormat="1" s="87">
      <c r="A787" s="16" t="n"/>
      <c r="C787" s="35" t="n"/>
      <c r="D787" s="36" t="n"/>
    </row>
    <row r="788" customFormat="1" s="87">
      <c r="A788" s="16" t="n"/>
      <c r="C788" s="35" t="n"/>
      <c r="D788" s="36" t="n"/>
    </row>
    <row r="789" customFormat="1" s="87">
      <c r="A789" s="16" t="n"/>
      <c r="C789" s="35" t="n"/>
      <c r="D789" s="36" t="n"/>
    </row>
    <row r="790" customFormat="1" s="87">
      <c r="A790" s="16" t="n"/>
      <c r="C790" s="35" t="n"/>
      <c r="D790" s="36" t="n"/>
    </row>
    <row r="791" customFormat="1" s="87">
      <c r="A791" s="16" t="n"/>
      <c r="C791" s="35" t="n"/>
      <c r="D791" s="36" t="n"/>
    </row>
    <row r="792" customFormat="1" s="87">
      <c r="A792" s="16" t="n"/>
      <c r="C792" s="35" t="n"/>
      <c r="D792" s="36" t="n"/>
    </row>
    <row r="793" customFormat="1" s="87">
      <c r="A793" s="16" t="n"/>
      <c r="C793" s="35" t="n"/>
      <c r="D793" s="36" t="n"/>
    </row>
    <row r="794" customFormat="1" s="87">
      <c r="A794" s="16" t="n"/>
      <c r="C794" s="35" t="n"/>
      <c r="D794" s="36" t="n"/>
    </row>
    <row r="795" customFormat="1" s="87">
      <c r="A795" s="16" t="n"/>
      <c r="C795" s="35" t="n"/>
      <c r="D795" s="36" t="n"/>
    </row>
    <row r="796" customFormat="1" s="87">
      <c r="A796" s="16" t="n"/>
      <c r="C796" s="35" t="n"/>
      <c r="D796" s="36" t="n"/>
    </row>
    <row r="797" customFormat="1" s="87">
      <c r="A797" s="16" t="n"/>
      <c r="C797" s="35" t="n"/>
      <c r="D797" s="36" t="n"/>
    </row>
    <row r="798" customFormat="1" s="87">
      <c r="A798" s="16" t="n"/>
      <c r="C798" s="35" t="n"/>
      <c r="D798" s="36" t="n"/>
    </row>
    <row r="799" customFormat="1" s="87">
      <c r="A799" s="16" t="n"/>
      <c r="C799" s="35" t="n"/>
      <c r="D799" s="36" t="n"/>
    </row>
    <row r="800" customFormat="1" s="87">
      <c r="A800" s="16" t="n"/>
      <c r="C800" s="35" t="n"/>
      <c r="D800" s="36" t="n"/>
    </row>
    <row r="801" customFormat="1" s="87">
      <c r="A801" s="16" t="n"/>
      <c r="C801" s="35" t="n"/>
      <c r="D801" s="36" t="n"/>
    </row>
    <row r="802" customFormat="1" s="87">
      <c r="A802" s="16" t="n"/>
      <c r="C802" s="35" t="n"/>
      <c r="D802" s="36" t="n"/>
    </row>
    <row r="803" customFormat="1" s="87">
      <c r="A803" s="16" t="n"/>
      <c r="C803" s="35" t="n"/>
      <c r="D803" s="36" t="n"/>
    </row>
    <row r="804" customFormat="1" s="87">
      <c r="A804" s="16" t="n"/>
      <c r="C804" s="35" t="n"/>
      <c r="D804" s="36" t="n"/>
    </row>
    <row r="805" customFormat="1" s="87">
      <c r="A805" s="16" t="n"/>
      <c r="C805" s="35" t="n"/>
      <c r="D805" s="36" t="n"/>
    </row>
    <row r="806" customFormat="1" s="87">
      <c r="A806" s="16" t="n"/>
      <c r="C806" s="35" t="n"/>
      <c r="D806" s="36" t="n"/>
    </row>
    <row r="807" customFormat="1" s="87">
      <c r="A807" s="16" t="n"/>
      <c r="C807" s="35" t="n"/>
      <c r="D807" s="36" t="n"/>
    </row>
    <row r="808" customFormat="1" s="87">
      <c r="A808" s="16" t="n"/>
      <c r="C808" s="35" t="n"/>
      <c r="D808" s="36" t="n"/>
    </row>
    <row r="809" customFormat="1" s="87">
      <c r="A809" s="16" t="n"/>
      <c r="C809" s="35" t="n"/>
      <c r="D809" s="36" t="n"/>
    </row>
    <row r="810" customFormat="1" s="87">
      <c r="A810" s="16" t="n"/>
      <c r="C810" s="35" t="n"/>
      <c r="D810" s="36" t="n"/>
    </row>
    <row r="811" customFormat="1" s="87">
      <c r="A811" s="16" t="n"/>
      <c r="C811" s="35" t="n"/>
      <c r="D811" s="36" t="n"/>
    </row>
    <row r="812" customFormat="1" s="87">
      <c r="A812" s="16" t="n"/>
      <c r="C812" s="35" t="n"/>
      <c r="D812" s="36" t="n"/>
    </row>
    <row r="813" customFormat="1" s="87">
      <c r="A813" s="16" t="n"/>
      <c r="C813" s="35" t="n"/>
      <c r="D813" s="36" t="n"/>
    </row>
    <row r="814" customFormat="1" s="87">
      <c r="A814" s="16" t="n"/>
      <c r="C814" s="35" t="n"/>
      <c r="D814" s="36" t="n"/>
    </row>
    <row r="815" customFormat="1" s="87">
      <c r="A815" s="16" t="n"/>
      <c r="C815" s="35" t="n"/>
      <c r="D815" s="36" t="n"/>
    </row>
    <row r="816">
      <c r="A816" s="16" t="n"/>
      <c r="B816" s="87" t="n"/>
      <c r="C816" s="35" t="n"/>
      <c r="D816" s="36" t="n"/>
      <c r="E816" s="87" t="n"/>
      <c r="F816" s="87" t="n"/>
      <c r="G816" s="87" t="n"/>
      <c r="H816" s="87" t="n"/>
      <c r="I816" s="87" t="n"/>
      <c r="J816" s="87" t="n"/>
      <c r="K816" s="87" t="n"/>
      <c r="L816" s="87" t="n"/>
      <c r="M816" s="87" t="n"/>
      <c r="N816" s="87" t="n"/>
      <c r="O816" s="87" t="n"/>
      <c r="P816" s="87" t="n"/>
      <c r="Q816" s="87" t="n"/>
    </row>
    <row r="817">
      <c r="A817" s="16" t="n"/>
      <c r="B817" s="87" t="n"/>
      <c r="C817" s="35" t="n"/>
      <c r="D817" s="36" t="n"/>
      <c r="E817" s="87" t="n"/>
      <c r="F817" s="87" t="n"/>
      <c r="G817" s="87" t="n"/>
      <c r="H817" s="87" t="n"/>
      <c r="I817" s="87" t="n"/>
      <c r="J817" s="87" t="n"/>
      <c r="K817" s="87" t="n"/>
      <c r="L817" s="87" t="n"/>
      <c r="M817" s="87" t="n"/>
      <c r="N817" s="87" t="n"/>
      <c r="O817" s="87" t="n"/>
      <c r="P817" s="87" t="n"/>
      <c r="Q817" s="87" t="n"/>
    </row>
    <row r="818">
      <c r="A818" s="16" t="n"/>
      <c r="B818" s="87" t="n"/>
      <c r="C818" s="35" t="n"/>
      <c r="D818" s="36" t="n"/>
      <c r="E818" s="87" t="n"/>
      <c r="F818" s="87" t="n"/>
      <c r="G818" s="87" t="n"/>
      <c r="H818" s="87" t="n"/>
      <c r="I818" s="87" t="n"/>
      <c r="J818" s="87" t="n"/>
      <c r="K818" s="87" t="n"/>
      <c r="L818" s="87" t="n"/>
      <c r="M818" s="87" t="n"/>
      <c r="N818" s="87" t="n"/>
      <c r="O818" s="87" t="n"/>
      <c r="P818" s="87" t="n"/>
      <c r="Q818" s="87" t="n"/>
    </row>
    <row r="819">
      <c r="A819" s="16" t="n"/>
      <c r="B819" s="87" t="n"/>
      <c r="C819" s="35" t="n"/>
      <c r="D819" s="36" t="n"/>
      <c r="E819" s="87" t="n"/>
      <c r="F819" s="87" t="n"/>
      <c r="G819" s="87" t="n"/>
      <c r="H819" s="87" t="n"/>
      <c r="I819" s="87" t="n"/>
      <c r="J819" s="87" t="n"/>
      <c r="K819" s="87" t="n"/>
      <c r="L819" s="87" t="n"/>
      <c r="M819" s="87" t="n"/>
      <c r="N819" s="87" t="n"/>
      <c r="O819" s="87" t="n"/>
      <c r="P819" s="87" t="n"/>
      <c r="Q819" s="87" t="n"/>
    </row>
    <row r="820">
      <c r="A820" s="16" t="n"/>
      <c r="B820" s="87" t="n"/>
      <c r="C820" s="35" t="n"/>
      <c r="D820" s="36" t="n"/>
      <c r="E820" s="87" t="n"/>
      <c r="F820" s="87" t="n"/>
      <c r="G820" s="87" t="n"/>
      <c r="H820" s="87" t="n"/>
      <c r="I820" s="87" t="n"/>
      <c r="J820" s="87" t="n"/>
      <c r="K820" s="87" t="n"/>
      <c r="L820" s="87" t="n"/>
      <c r="M820" s="87" t="n"/>
      <c r="N820" s="87" t="n"/>
      <c r="O820" s="87" t="n"/>
      <c r="P820" s="87" t="n"/>
      <c r="Q820" s="87" t="n"/>
    </row>
    <row r="821">
      <c r="A821" s="16" t="n"/>
      <c r="B821" s="87" t="n"/>
      <c r="C821" s="35" t="n"/>
      <c r="D821" s="36" t="n"/>
      <c r="E821" s="87" t="n"/>
      <c r="F821" s="87" t="n"/>
      <c r="G821" s="87" t="n"/>
      <c r="H821" s="87" t="n"/>
      <c r="I821" s="87" t="n"/>
      <c r="J821" s="87" t="n"/>
      <c r="K821" s="87" t="n"/>
      <c r="L821" s="87" t="n"/>
      <c r="M821" s="87" t="n"/>
      <c r="N821" s="87" t="n"/>
      <c r="O821" s="87" t="n"/>
      <c r="P821" s="87" t="n"/>
      <c r="Q821" s="87" t="n"/>
    </row>
    <row r="822">
      <c r="A822" s="16" t="n"/>
      <c r="B822" s="87" t="n"/>
      <c r="C822" s="35" t="n"/>
      <c r="D822" s="36" t="n"/>
      <c r="E822" s="87" t="n"/>
      <c r="F822" s="87" t="n"/>
      <c r="G822" s="87" t="n"/>
      <c r="H822" s="87" t="n"/>
      <c r="I822" s="87" t="n"/>
      <c r="J822" s="87" t="n"/>
      <c r="K822" s="87" t="n"/>
      <c r="L822" s="87" t="n"/>
      <c r="M822" s="87" t="n"/>
      <c r="N822" s="87" t="n"/>
      <c r="O822" s="87" t="n"/>
      <c r="P822" s="87" t="n"/>
      <c r="Q822" s="87" t="n"/>
    </row>
    <row r="823">
      <c r="A823" s="16" t="n"/>
      <c r="B823" s="87" t="n"/>
      <c r="C823" s="35" t="n"/>
      <c r="D823" s="36" t="n"/>
      <c r="E823" s="87" t="n"/>
      <c r="F823" s="87" t="n"/>
      <c r="G823" s="87" t="n"/>
      <c r="H823" s="87" t="n"/>
      <c r="I823" s="87" t="n"/>
      <c r="J823" s="87" t="n"/>
      <c r="K823" s="87" t="n"/>
      <c r="L823" s="87" t="n"/>
      <c r="M823" s="87" t="n"/>
      <c r="N823" s="87" t="n"/>
      <c r="O823" s="87" t="n"/>
      <c r="P823" s="87" t="n"/>
      <c r="Q823" s="87" t="n"/>
    </row>
    <row r="824">
      <c r="A824" s="16" t="n"/>
      <c r="B824" s="87" t="n"/>
      <c r="C824" s="35" t="n"/>
      <c r="D824" s="36" t="n"/>
      <c r="E824" s="87" t="n"/>
      <c r="F824" s="87" t="n"/>
      <c r="G824" s="87" t="n"/>
      <c r="H824" s="87" t="n"/>
      <c r="I824" s="87" t="n"/>
      <c r="J824" s="87" t="n"/>
      <c r="K824" s="87" t="n"/>
      <c r="L824" s="87" t="n"/>
      <c r="M824" s="87" t="n"/>
      <c r="N824" s="87" t="n"/>
      <c r="O824" s="87" t="n"/>
      <c r="P824" s="87" t="n"/>
      <c r="Q824" s="87" t="n"/>
    </row>
    <row r="825">
      <c r="A825" s="16" t="n"/>
      <c r="B825" s="87" t="n"/>
      <c r="C825" s="35" t="n"/>
      <c r="D825" s="36" t="n"/>
      <c r="E825" s="87" t="n"/>
      <c r="F825" s="87" t="n"/>
      <c r="G825" s="87" t="n"/>
      <c r="H825" s="87" t="n"/>
      <c r="I825" s="87" t="n"/>
      <c r="J825" s="87" t="n"/>
      <c r="K825" s="87" t="n"/>
      <c r="L825" s="87" t="n"/>
      <c r="M825" s="87" t="n"/>
      <c r="N825" s="87" t="n"/>
      <c r="O825" s="87" t="n"/>
      <c r="P825" s="87" t="n"/>
      <c r="Q825" s="87" t="n"/>
    </row>
    <row r="826">
      <c r="A826" s="16" t="n"/>
      <c r="B826" s="87" t="n"/>
      <c r="C826" s="35" t="n"/>
      <c r="D826" s="36" t="n"/>
      <c r="E826" s="87" t="n"/>
      <c r="F826" s="87" t="n"/>
      <c r="G826" s="87" t="n"/>
      <c r="H826" s="87" t="n"/>
      <c r="I826" s="87" t="n"/>
      <c r="J826" s="87" t="n"/>
      <c r="K826" s="87" t="n"/>
      <c r="L826" s="87" t="n"/>
      <c r="M826" s="87" t="n"/>
      <c r="N826" s="87" t="n"/>
      <c r="O826" s="87" t="n"/>
      <c r="P826" s="87" t="n"/>
      <c r="Q826" s="87" t="n"/>
    </row>
    <row r="827">
      <c r="A827" s="16" t="n"/>
      <c r="B827" s="87" t="n"/>
      <c r="C827" s="35" t="n"/>
      <c r="D827" s="36" t="n"/>
      <c r="E827" s="87" t="n"/>
      <c r="F827" s="87" t="n"/>
      <c r="G827" s="87" t="n"/>
      <c r="H827" s="87" t="n"/>
      <c r="I827" s="87" t="n"/>
      <c r="J827" s="87" t="n"/>
      <c r="K827" s="87" t="n"/>
      <c r="L827" s="87" t="n"/>
      <c r="M827" s="87" t="n"/>
      <c r="N827" s="87" t="n"/>
      <c r="O827" s="87" t="n"/>
      <c r="P827" s="87" t="n"/>
      <c r="Q827" s="87" t="n"/>
    </row>
    <row r="828">
      <c r="A828" s="16" t="n"/>
      <c r="B828" s="87" t="n"/>
      <c r="C828" s="35" t="n"/>
      <c r="D828" s="36" t="n"/>
      <c r="E828" s="87" t="n"/>
      <c r="F828" s="87" t="n"/>
      <c r="G828" s="87" t="n"/>
      <c r="H828" s="87" t="n"/>
      <c r="I828" s="87" t="n"/>
      <c r="J828" s="87" t="n"/>
      <c r="K828" s="87" t="n"/>
      <c r="L828" s="87" t="n"/>
      <c r="M828" s="87" t="n"/>
      <c r="N828" s="87" t="n"/>
      <c r="O828" s="87" t="n"/>
      <c r="P828" s="87" t="n"/>
      <c r="Q828" s="87" t="n"/>
    </row>
    <row r="829">
      <c r="A829" s="16" t="n"/>
      <c r="B829" s="87" t="n"/>
      <c r="C829" s="35" t="n"/>
      <c r="D829" s="36" t="n"/>
      <c r="E829" s="87" t="n"/>
      <c r="F829" s="87" t="n"/>
      <c r="G829" s="87" t="n"/>
      <c r="H829" s="87" t="n"/>
      <c r="I829" s="87" t="n"/>
      <c r="J829" s="87" t="n"/>
      <c r="K829" s="87" t="n"/>
      <c r="L829" s="87" t="n"/>
      <c r="M829" s="87" t="n"/>
      <c r="N829" s="87" t="n"/>
      <c r="O829" s="87" t="n"/>
      <c r="P829" s="87" t="n"/>
      <c r="Q829" s="87" t="n"/>
    </row>
    <row r="830">
      <c r="A830" s="16" t="n"/>
      <c r="B830" s="87" t="n"/>
      <c r="C830" s="35" t="n"/>
      <c r="D830" s="36" t="n"/>
      <c r="E830" s="87" t="n"/>
      <c r="F830" s="87" t="n"/>
      <c r="G830" s="87" t="n"/>
      <c r="H830" s="87" t="n"/>
      <c r="I830" s="87" t="n"/>
      <c r="J830" s="87" t="n"/>
      <c r="K830" s="87" t="n"/>
      <c r="L830" s="87" t="n"/>
      <c r="M830" s="87" t="n"/>
      <c r="N830" s="87" t="n"/>
      <c r="O830" s="87" t="n"/>
      <c r="P830" s="87" t="n"/>
      <c r="Q830" s="87" t="n"/>
    </row>
    <row r="831">
      <c r="A831" s="16" t="n"/>
      <c r="B831" s="87" t="n"/>
      <c r="C831" s="35" t="n"/>
      <c r="D831" s="36" t="n"/>
      <c r="E831" s="87" t="n"/>
      <c r="F831" s="87" t="n"/>
      <c r="G831" s="87" t="n"/>
      <c r="H831" s="87" t="n"/>
      <c r="I831" s="87" t="n"/>
      <c r="J831" s="87" t="n"/>
      <c r="K831" s="87" t="n"/>
      <c r="L831" s="87" t="n"/>
      <c r="M831" s="87" t="n"/>
      <c r="N831" s="87" t="n"/>
      <c r="O831" s="87" t="n"/>
      <c r="P831" s="87" t="n"/>
      <c r="Q831" s="87" t="n"/>
    </row>
    <row r="832">
      <c r="A832" s="16" t="n"/>
      <c r="B832" s="87" t="n"/>
      <c r="C832" s="35" t="n"/>
      <c r="D832" s="36" t="n"/>
      <c r="E832" s="87" t="n"/>
      <c r="F832" s="87" t="n"/>
      <c r="G832" s="87" t="n"/>
      <c r="H832" s="87" t="n"/>
      <c r="I832" s="87" t="n"/>
      <c r="J832" s="87" t="n"/>
      <c r="K832" s="87" t="n"/>
      <c r="L832" s="87" t="n"/>
      <c r="M832" s="87" t="n"/>
      <c r="N832" s="87" t="n"/>
      <c r="O832" s="87" t="n"/>
      <c r="P832" s="87" t="n"/>
      <c r="Q832" s="87" t="n"/>
    </row>
    <row r="833">
      <c r="A833" s="16" t="n"/>
      <c r="B833" s="87" t="n"/>
      <c r="C833" s="35" t="n"/>
      <c r="D833" s="36" t="n"/>
      <c r="E833" s="87" t="n"/>
      <c r="F833" s="87" t="n"/>
      <c r="G833" s="87" t="n"/>
      <c r="H833" s="87" t="n"/>
      <c r="I833" s="87" t="n"/>
      <c r="J833" s="87" t="n"/>
      <c r="K833" s="87" t="n"/>
      <c r="L833" s="87" t="n"/>
      <c r="M833" s="87" t="n"/>
      <c r="N833" s="87" t="n"/>
      <c r="O833" s="87" t="n"/>
      <c r="P833" s="87" t="n"/>
      <c r="Q833" s="87" t="n"/>
    </row>
    <row r="834">
      <c r="A834" s="16" t="n"/>
      <c r="B834" s="87" t="n"/>
      <c r="C834" s="35" t="n"/>
      <c r="D834" s="36" t="n"/>
      <c r="E834" s="87" t="n"/>
      <c r="F834" s="87" t="n"/>
      <c r="G834" s="87" t="n"/>
      <c r="H834" s="87" t="n"/>
      <c r="I834" s="87" t="n"/>
      <c r="J834" s="87" t="n"/>
      <c r="K834" s="87" t="n"/>
      <c r="L834" s="87" t="n"/>
      <c r="M834" s="87" t="n"/>
      <c r="N834" s="87" t="n"/>
      <c r="O834" s="87" t="n"/>
      <c r="P834" s="87" t="n"/>
      <c r="Q834" s="87" t="n"/>
    </row>
    <row r="835">
      <c r="A835" s="16" t="n"/>
      <c r="B835" s="87" t="n"/>
      <c r="C835" s="35" t="n"/>
      <c r="D835" s="36" t="n"/>
      <c r="E835" s="87" t="n"/>
      <c r="F835" s="87" t="n"/>
      <c r="G835" s="87" t="n"/>
      <c r="H835" s="87" t="n"/>
      <c r="I835" s="87" t="n"/>
      <c r="J835" s="87" t="n"/>
      <c r="K835" s="87" t="n"/>
      <c r="L835" s="87" t="n"/>
      <c r="M835" s="87" t="n"/>
      <c r="N835" s="87" t="n"/>
      <c r="O835" s="87" t="n"/>
      <c r="P835" s="87" t="n"/>
      <c r="Q835" s="87" t="n"/>
    </row>
    <row r="836">
      <c r="A836" s="16" t="n"/>
      <c r="B836" s="87" t="n"/>
      <c r="C836" s="35" t="n"/>
      <c r="D836" s="36" t="n"/>
      <c r="E836" s="87" t="n"/>
      <c r="F836" s="87" t="n"/>
      <c r="G836" s="87" t="n"/>
      <c r="H836" s="87" t="n"/>
      <c r="I836" s="87" t="n"/>
      <c r="J836" s="87" t="n"/>
      <c r="K836" s="87" t="n"/>
      <c r="L836" s="87" t="n"/>
      <c r="M836" s="87" t="n"/>
      <c r="N836" s="87" t="n"/>
      <c r="O836" s="87" t="n"/>
      <c r="P836" s="87" t="n"/>
      <c r="Q836" s="87" t="n"/>
    </row>
    <row r="837">
      <c r="A837" s="16" t="n"/>
      <c r="B837" s="87" t="n"/>
      <c r="C837" s="35" t="n"/>
      <c r="D837" s="36" t="n"/>
      <c r="E837" s="87" t="n"/>
      <c r="F837" s="87" t="n"/>
      <c r="G837" s="87" t="n"/>
      <c r="H837" s="87" t="n"/>
      <c r="I837" s="87" t="n"/>
      <c r="J837" s="87" t="n"/>
      <c r="K837" s="87" t="n"/>
      <c r="L837" s="87" t="n"/>
      <c r="M837" s="87" t="n"/>
      <c r="N837" s="87" t="n"/>
      <c r="O837" s="87" t="n"/>
      <c r="P837" s="87" t="n"/>
      <c r="Q837" s="87" t="n"/>
    </row>
    <row r="838">
      <c r="A838" s="16" t="n"/>
      <c r="B838" s="87" t="n"/>
      <c r="C838" s="35" t="n"/>
      <c r="D838" s="36" t="n"/>
      <c r="E838" s="87" t="n"/>
      <c r="F838" s="87" t="n"/>
      <c r="G838" s="87" t="n"/>
      <c r="H838" s="87" t="n"/>
      <c r="I838" s="87" t="n"/>
      <c r="J838" s="87" t="n"/>
      <c r="K838" s="87" t="n"/>
      <c r="L838" s="87" t="n"/>
      <c r="M838" s="87" t="n"/>
      <c r="N838" s="87" t="n"/>
      <c r="O838" s="87" t="n"/>
      <c r="P838" s="87" t="n"/>
      <c r="Q838" s="87" t="n"/>
    </row>
    <row r="839">
      <c r="A839" s="16" t="n"/>
      <c r="B839" s="87" t="n"/>
      <c r="C839" s="35" t="n"/>
      <c r="D839" s="36" t="n"/>
      <c r="E839" s="87" t="n"/>
      <c r="F839" s="87" t="n"/>
      <c r="G839" s="87" t="n"/>
      <c r="H839" s="87" t="n"/>
      <c r="I839" s="87" t="n"/>
      <c r="J839" s="87" t="n"/>
      <c r="K839" s="87" t="n"/>
      <c r="L839" s="87" t="n"/>
      <c r="M839" s="87" t="n"/>
      <c r="N839" s="87" t="n"/>
      <c r="O839" s="87" t="n"/>
      <c r="P839" s="87" t="n"/>
      <c r="Q839" s="87" t="n"/>
    </row>
    <row r="840">
      <c r="A840" s="16" t="n"/>
      <c r="B840" s="87" t="n"/>
      <c r="C840" s="35" t="n"/>
      <c r="D840" s="36" t="n"/>
      <c r="E840" s="87" t="n"/>
      <c r="F840" s="87" t="n"/>
      <c r="G840" s="87" t="n"/>
      <c r="H840" s="87" t="n"/>
      <c r="I840" s="87" t="n"/>
      <c r="J840" s="87" t="n"/>
      <c r="K840" s="87" t="n"/>
      <c r="L840" s="87" t="n"/>
      <c r="M840" s="87" t="n"/>
      <c r="N840" s="87" t="n"/>
      <c r="O840" s="87" t="n"/>
      <c r="P840" s="87" t="n"/>
      <c r="Q840" s="87" t="n"/>
    </row>
    <row r="841">
      <c r="A841" s="16" t="n"/>
      <c r="B841" s="87" t="n"/>
      <c r="C841" s="35" t="n"/>
      <c r="D841" s="36" t="n"/>
      <c r="E841" s="87" t="n"/>
      <c r="F841" s="87" t="n"/>
      <c r="G841" s="87" t="n"/>
      <c r="H841" s="87" t="n"/>
      <c r="I841" s="87" t="n"/>
      <c r="J841" s="87" t="n"/>
      <c r="K841" s="87" t="n"/>
      <c r="L841" s="87" t="n"/>
      <c r="M841" s="87" t="n"/>
      <c r="N841" s="87" t="n"/>
      <c r="O841" s="87" t="n"/>
      <c r="P841" s="87" t="n"/>
      <c r="Q841" s="87" t="n"/>
    </row>
    <row r="842">
      <c r="A842" s="16" t="n"/>
      <c r="B842" s="87" t="n"/>
      <c r="C842" s="35" t="n"/>
      <c r="D842" s="36" t="n"/>
      <c r="E842" s="87" t="n"/>
      <c r="F842" s="87" t="n"/>
      <c r="G842" s="87" t="n"/>
      <c r="H842" s="87" t="n"/>
      <c r="I842" s="87" t="n"/>
      <c r="J842" s="87" t="n"/>
      <c r="K842" s="87" t="n"/>
      <c r="L842" s="87" t="n"/>
      <c r="M842" s="87" t="n"/>
      <c r="N842" s="87" t="n"/>
      <c r="O842" s="87" t="n"/>
      <c r="P842" s="87" t="n"/>
      <c r="Q842" s="87" t="n"/>
    </row>
    <row r="843">
      <c r="A843" s="16" t="n"/>
      <c r="B843" s="87" t="n"/>
      <c r="C843" s="35" t="n"/>
      <c r="D843" s="36" t="n"/>
      <c r="E843" s="87" t="n"/>
      <c r="F843" s="87" t="n"/>
      <c r="G843" s="87" t="n"/>
      <c r="H843" s="87" t="n"/>
      <c r="I843" s="87" t="n"/>
      <c r="J843" s="87" t="n"/>
      <c r="K843" s="87" t="n"/>
      <c r="L843" s="87" t="n"/>
      <c r="M843" s="87" t="n"/>
      <c r="N843" s="87" t="n"/>
      <c r="O843" s="87" t="n"/>
      <c r="P843" s="87" t="n"/>
      <c r="Q843" s="87" t="n"/>
    </row>
    <row r="844">
      <c r="A844" s="16" t="n"/>
      <c r="B844" s="87" t="n"/>
      <c r="C844" s="35" t="n"/>
      <c r="D844" s="36" t="n"/>
      <c r="E844" s="87" t="n"/>
      <c r="F844" s="87" t="n"/>
      <c r="G844" s="87" t="n"/>
      <c r="H844" s="87" t="n"/>
      <c r="I844" s="87" t="n"/>
      <c r="J844" s="87" t="n"/>
      <c r="K844" s="87" t="n"/>
      <c r="L844" s="87" t="n"/>
      <c r="M844" s="87" t="n"/>
      <c r="N844" s="87" t="n"/>
      <c r="O844" s="87" t="n"/>
      <c r="P844" s="87" t="n"/>
      <c r="Q844" s="87" t="n"/>
    </row>
    <row r="845">
      <c r="A845" s="16" t="n"/>
      <c r="B845" s="87" t="n"/>
      <c r="C845" s="35" t="n"/>
      <c r="D845" s="36" t="n"/>
      <c r="E845" s="87" t="n"/>
      <c r="F845" s="87" t="n"/>
      <c r="G845" s="87" t="n"/>
      <c r="H845" s="87" t="n"/>
      <c r="I845" s="87" t="n"/>
      <c r="J845" s="87" t="n"/>
      <c r="K845" s="87" t="n"/>
      <c r="L845" s="87" t="n"/>
      <c r="M845" s="87" t="n"/>
      <c r="N845" s="87" t="n"/>
      <c r="O845" s="87" t="n"/>
      <c r="P845" s="87" t="n"/>
      <c r="Q845" s="87" t="n"/>
    </row>
    <row r="846">
      <c r="A846" s="16" t="n"/>
      <c r="B846" s="87" t="n"/>
      <c r="C846" s="35" t="n"/>
      <c r="D846" s="36" t="n"/>
      <c r="E846" s="87" t="n"/>
      <c r="F846" s="87" t="n"/>
      <c r="G846" s="87" t="n"/>
      <c r="H846" s="87" t="n"/>
      <c r="I846" s="87" t="n"/>
      <c r="J846" s="87" t="n"/>
      <c r="K846" s="87" t="n"/>
      <c r="L846" s="87" t="n"/>
      <c r="M846" s="87" t="n"/>
      <c r="N846" s="87" t="n"/>
      <c r="O846" s="87" t="n"/>
      <c r="P846" s="87" t="n"/>
      <c r="Q846" s="87" t="n"/>
    </row>
    <row r="847">
      <c r="A847" s="16" t="n"/>
      <c r="B847" s="87" t="n"/>
      <c r="C847" s="35" t="n"/>
      <c r="D847" s="36" t="n"/>
      <c r="E847" s="87" t="n"/>
      <c r="F847" s="87" t="n"/>
      <c r="G847" s="87" t="n"/>
      <c r="H847" s="87" t="n"/>
      <c r="I847" s="87" t="n"/>
      <c r="J847" s="87" t="n"/>
      <c r="K847" s="87" t="n"/>
      <c r="L847" s="87" t="n"/>
      <c r="M847" s="87" t="n"/>
      <c r="N847" s="87" t="n"/>
      <c r="O847" s="87" t="n"/>
      <c r="P847" s="87" t="n"/>
      <c r="Q847" s="87" t="n"/>
    </row>
    <row r="848">
      <c r="A848" s="16" t="n"/>
      <c r="B848" s="87" t="n"/>
      <c r="C848" s="35" t="n"/>
      <c r="D848" s="36" t="n"/>
      <c r="E848" s="87" t="n"/>
      <c r="F848" s="87" t="n"/>
      <c r="G848" s="87" t="n"/>
      <c r="H848" s="87" t="n"/>
      <c r="I848" s="87" t="n"/>
      <c r="J848" s="87" t="n"/>
      <c r="K848" s="87" t="n"/>
      <c r="L848" s="87" t="n"/>
      <c r="M848" s="87" t="n"/>
      <c r="N848" s="87" t="n"/>
      <c r="O848" s="87" t="n"/>
      <c r="P848" s="87" t="n"/>
      <c r="Q848" s="87" t="n"/>
    </row>
    <row r="849">
      <c r="A849" s="16" t="n"/>
      <c r="B849" s="87" t="n"/>
      <c r="C849" s="35" t="n"/>
      <c r="D849" s="36" t="n"/>
      <c r="E849" s="87" t="n"/>
      <c r="F849" s="87" t="n"/>
      <c r="G849" s="87" t="n"/>
      <c r="H849" s="87" t="n"/>
      <c r="I849" s="87" t="n"/>
      <c r="J849" s="87" t="n"/>
      <c r="K849" s="87" t="n"/>
      <c r="L849" s="87" t="n"/>
      <c r="M849" s="87" t="n"/>
      <c r="N849" s="87" t="n"/>
      <c r="O849" s="87" t="n"/>
      <c r="P849" s="87" t="n"/>
      <c r="Q849" s="87" t="n"/>
    </row>
    <row r="850">
      <c r="A850" s="16" t="n"/>
      <c r="B850" s="87" t="n"/>
      <c r="C850" s="35" t="n"/>
      <c r="D850" s="36" t="n"/>
      <c r="E850" s="87" t="n"/>
      <c r="F850" s="87" t="n"/>
      <c r="G850" s="87" t="n"/>
      <c r="H850" s="87" t="n"/>
      <c r="I850" s="87" t="n"/>
      <c r="J850" s="87" t="n"/>
      <c r="K850" s="87" t="n"/>
      <c r="L850" s="87" t="n"/>
      <c r="M850" s="87" t="n"/>
      <c r="N850" s="87" t="n"/>
      <c r="O850" s="87" t="n"/>
      <c r="P850" s="87" t="n"/>
      <c r="Q850" s="87" t="n"/>
    </row>
    <row r="851">
      <c r="A851" s="16" t="n"/>
      <c r="B851" s="87" t="n"/>
      <c r="C851" s="35" t="n"/>
      <c r="D851" s="36" t="n"/>
      <c r="E851" s="87" t="n"/>
      <c r="F851" s="87" t="n"/>
      <c r="G851" s="87" t="n"/>
      <c r="H851" s="87" t="n"/>
      <c r="I851" s="87" t="n"/>
      <c r="J851" s="87" t="n"/>
      <c r="K851" s="87" t="n"/>
      <c r="L851" s="87" t="n"/>
      <c r="M851" s="87" t="n"/>
      <c r="N851" s="87" t="n"/>
      <c r="O851" s="87" t="n"/>
      <c r="P851" s="87" t="n"/>
      <c r="Q851" s="87" t="n"/>
    </row>
    <row r="852">
      <c r="A852" s="16" t="n"/>
      <c r="B852" s="87" t="n"/>
      <c r="C852" s="35" t="n"/>
      <c r="D852" s="36" t="n"/>
      <c r="E852" s="87" t="n"/>
      <c r="F852" s="87" t="n"/>
      <c r="G852" s="87" t="n"/>
      <c r="H852" s="87" t="n"/>
      <c r="I852" s="87" t="n"/>
      <c r="J852" s="87" t="n"/>
      <c r="K852" s="87" t="n"/>
      <c r="L852" s="87" t="n"/>
      <c r="M852" s="87" t="n"/>
      <c r="N852" s="87" t="n"/>
      <c r="O852" s="87" t="n"/>
      <c r="P852" s="87" t="n"/>
      <c r="Q852" s="87" t="n"/>
    </row>
    <row r="853">
      <c r="A853" s="16" t="n"/>
      <c r="B853" s="87" t="n"/>
      <c r="C853" s="35" t="n"/>
      <c r="D853" s="36" t="n"/>
      <c r="E853" s="87" t="n"/>
      <c r="F853" s="87" t="n"/>
      <c r="G853" s="87" t="n"/>
      <c r="H853" s="87" t="n"/>
      <c r="I853" s="87" t="n"/>
      <c r="J853" s="87" t="n"/>
      <c r="K853" s="87" t="n"/>
      <c r="L853" s="87" t="n"/>
      <c r="M853" s="87" t="n"/>
      <c r="N853" s="87" t="n"/>
      <c r="O853" s="87" t="n"/>
      <c r="P853" s="87" t="n"/>
      <c r="Q853" s="87" t="n"/>
    </row>
    <row r="854">
      <c r="A854" s="16" t="n"/>
      <c r="B854" s="87" t="n"/>
      <c r="C854" s="35" t="n"/>
      <c r="D854" s="36" t="n"/>
      <c r="E854" s="87" t="n"/>
      <c r="F854" s="87" t="n"/>
      <c r="G854" s="87" t="n"/>
      <c r="H854" s="87" t="n"/>
      <c r="I854" s="87" t="n"/>
      <c r="J854" s="87" t="n"/>
      <c r="K854" s="87" t="n"/>
      <c r="L854" s="87" t="n"/>
      <c r="M854" s="87" t="n"/>
      <c r="N854" s="87" t="n"/>
      <c r="O854" s="87" t="n"/>
      <c r="P854" s="87" t="n"/>
      <c r="Q854" s="87" t="n"/>
    </row>
    <row r="855">
      <c r="A855" s="16" t="n"/>
      <c r="B855" s="87" t="n"/>
      <c r="C855" s="35" t="n"/>
      <c r="D855" s="36" t="n"/>
      <c r="E855" s="87" t="n"/>
      <c r="F855" s="87" t="n"/>
      <c r="G855" s="87" t="n"/>
      <c r="H855" s="87" t="n"/>
      <c r="I855" s="87" t="n"/>
      <c r="J855" s="87" t="n"/>
      <c r="K855" s="87" t="n"/>
      <c r="L855" s="87" t="n"/>
      <c r="M855" s="87" t="n"/>
      <c r="N855" s="87" t="n"/>
      <c r="O855" s="87" t="n"/>
      <c r="P855" s="87" t="n"/>
      <c r="Q855" s="87" t="n"/>
    </row>
    <row r="856">
      <c r="A856" s="16" t="n"/>
      <c r="B856" s="87" t="n"/>
      <c r="C856" s="35" t="n"/>
      <c r="D856" s="36" t="n"/>
      <c r="E856" s="87" t="n"/>
      <c r="F856" s="87" t="n"/>
      <c r="G856" s="87" t="n"/>
      <c r="H856" s="87" t="n"/>
      <c r="I856" s="87" t="n"/>
      <c r="J856" s="87" t="n"/>
      <c r="K856" s="87" t="n"/>
      <c r="L856" s="87" t="n"/>
      <c r="M856" s="87" t="n"/>
      <c r="N856" s="87" t="n"/>
      <c r="O856" s="87" t="n"/>
      <c r="P856" s="87" t="n"/>
      <c r="Q856" s="87" t="n"/>
    </row>
    <row r="857">
      <c r="A857" s="16" t="n"/>
      <c r="B857" s="87" t="n"/>
      <c r="C857" s="35" t="n"/>
      <c r="D857" s="36" t="n"/>
      <c r="E857" s="87" t="n"/>
      <c r="F857" s="87" t="n"/>
      <c r="G857" s="87" t="n"/>
      <c r="H857" s="87" t="n"/>
      <c r="I857" s="87" t="n"/>
      <c r="J857" s="87" t="n"/>
      <c r="K857" s="87" t="n"/>
      <c r="L857" s="87" t="n"/>
      <c r="M857" s="87" t="n"/>
      <c r="N857" s="87" t="n"/>
      <c r="O857" s="87" t="n"/>
      <c r="P857" s="87" t="n"/>
      <c r="Q857" s="87" t="n"/>
    </row>
    <row r="858">
      <c r="A858" s="16" t="n"/>
      <c r="B858" s="87" t="n"/>
      <c r="C858" s="35" t="n"/>
      <c r="D858" s="36" t="n"/>
      <c r="E858" s="87" t="n"/>
      <c r="F858" s="87" t="n"/>
      <c r="G858" s="87" t="n"/>
      <c r="H858" s="87" t="n"/>
      <c r="I858" s="87" t="n"/>
      <c r="J858" s="87" t="n"/>
      <c r="K858" s="87" t="n"/>
      <c r="L858" s="87" t="n"/>
      <c r="M858" s="87" t="n"/>
      <c r="N858" s="87" t="n"/>
      <c r="O858" s="87" t="n"/>
      <c r="P858" s="87" t="n"/>
      <c r="Q858" s="87" t="n"/>
    </row>
    <row r="859">
      <c r="A859" s="16" t="n"/>
      <c r="B859" s="87" t="n"/>
      <c r="C859" s="35" t="n"/>
      <c r="D859" s="36" t="n"/>
      <c r="E859" s="87" t="n"/>
      <c r="F859" s="87" t="n"/>
      <c r="G859" s="87" t="n"/>
      <c r="H859" s="87" t="n"/>
      <c r="I859" s="87" t="n"/>
      <c r="J859" s="87" t="n"/>
      <c r="K859" s="87" t="n"/>
      <c r="L859" s="87" t="n"/>
      <c r="M859" s="87" t="n"/>
      <c r="N859" s="87" t="n"/>
      <c r="O859" s="87" t="n"/>
      <c r="P859" s="87" t="n"/>
      <c r="Q859" s="87" t="n"/>
    </row>
    <row r="860">
      <c r="A860" s="16" t="n"/>
      <c r="B860" s="87" t="n"/>
      <c r="C860" s="35" t="n"/>
      <c r="D860" s="36" t="n"/>
      <c r="E860" s="87" t="n"/>
      <c r="F860" s="87" t="n"/>
      <c r="G860" s="87" t="n"/>
      <c r="H860" s="87" t="n"/>
      <c r="I860" s="87" t="n"/>
      <c r="J860" s="87" t="n"/>
      <c r="K860" s="87" t="n"/>
      <c r="L860" s="87" t="n"/>
      <c r="M860" s="87" t="n"/>
      <c r="N860" s="87" t="n"/>
      <c r="O860" s="87" t="n"/>
      <c r="P860" s="87" t="n"/>
      <c r="Q860" s="87" t="n"/>
    </row>
    <row r="861">
      <c r="A861" s="16" t="n"/>
      <c r="B861" s="87" t="n"/>
      <c r="C861" s="35" t="n"/>
      <c r="D861" s="36" t="n"/>
      <c r="E861" s="87" t="n"/>
      <c r="F861" s="87" t="n"/>
      <c r="G861" s="87" t="n"/>
      <c r="H861" s="87" t="n"/>
      <c r="I861" s="87" t="n"/>
      <c r="J861" s="87" t="n"/>
      <c r="K861" s="87" t="n"/>
      <c r="L861" s="87" t="n"/>
      <c r="M861" s="87" t="n"/>
      <c r="N861" s="87" t="n"/>
      <c r="O861" s="87" t="n"/>
      <c r="P861" s="87" t="n"/>
      <c r="Q861" s="87" t="n"/>
    </row>
    <row r="862">
      <c r="A862" s="16" t="n"/>
      <c r="B862" s="87" t="n"/>
      <c r="C862" s="35" t="n"/>
      <c r="D862" s="36" t="n"/>
      <c r="E862" s="87" t="n"/>
      <c r="F862" s="87" t="n"/>
      <c r="G862" s="87" t="n"/>
      <c r="H862" s="87" t="n"/>
      <c r="I862" s="87" t="n"/>
      <c r="J862" s="87" t="n"/>
      <c r="K862" s="87" t="n"/>
      <c r="L862" s="87" t="n"/>
      <c r="M862" s="87" t="n"/>
      <c r="N862" s="87" t="n"/>
      <c r="O862" s="87" t="n"/>
      <c r="P862" s="87" t="n"/>
      <c r="Q862" s="87" t="n"/>
    </row>
    <row r="863">
      <c r="A863" s="16" t="n"/>
      <c r="B863" s="87" t="n"/>
      <c r="C863" s="35" t="n"/>
      <c r="D863" s="36" t="n"/>
      <c r="E863" s="87" t="n"/>
      <c r="F863" s="87" t="n"/>
      <c r="G863" s="87" t="n"/>
      <c r="H863" s="87" t="n"/>
      <c r="I863" s="87" t="n"/>
      <c r="J863" s="87" t="n"/>
      <c r="K863" s="87" t="n"/>
      <c r="L863" s="87" t="n"/>
      <c r="M863" s="87" t="n"/>
      <c r="N863" s="87" t="n"/>
      <c r="O863" s="87" t="n"/>
      <c r="P863" s="87" t="n"/>
      <c r="Q863" s="87" t="n"/>
    </row>
    <row r="864">
      <c r="A864" s="16" t="n"/>
      <c r="B864" s="87" t="n"/>
      <c r="C864" s="35" t="n"/>
      <c r="D864" s="36" t="n"/>
      <c r="E864" s="87" t="n"/>
      <c r="F864" s="87" t="n"/>
      <c r="G864" s="87" t="n"/>
      <c r="H864" s="87" t="n"/>
      <c r="I864" s="87" t="n"/>
      <c r="J864" s="87" t="n"/>
      <c r="K864" s="87" t="n"/>
      <c r="L864" s="87" t="n"/>
      <c r="M864" s="87" t="n"/>
      <c r="N864" s="87" t="n"/>
      <c r="O864" s="87" t="n"/>
      <c r="P864" s="87" t="n"/>
      <c r="Q864" s="87" t="n"/>
    </row>
    <row r="865">
      <c r="A865" s="16" t="n"/>
      <c r="B865" s="87" t="n"/>
      <c r="C865" s="35" t="n"/>
      <c r="D865" s="36" t="n"/>
      <c r="E865" s="87" t="n"/>
      <c r="F865" s="87" t="n"/>
      <c r="G865" s="87" t="n"/>
      <c r="H865" s="87" t="n"/>
      <c r="I865" s="87" t="n"/>
      <c r="J865" s="87" t="n"/>
      <c r="K865" s="87" t="n"/>
      <c r="L865" s="87" t="n"/>
      <c r="M865" s="87" t="n"/>
      <c r="N865" s="87" t="n"/>
      <c r="O865" s="87" t="n"/>
      <c r="P865" s="87" t="n"/>
      <c r="Q865" s="87" t="n"/>
    </row>
    <row r="866">
      <c r="A866" s="16" t="n"/>
      <c r="B866" s="87" t="n"/>
      <c r="C866" s="35" t="n"/>
      <c r="D866" s="36" t="n"/>
      <c r="E866" s="87" t="n"/>
      <c r="F866" s="87" t="n"/>
      <c r="G866" s="87" t="n"/>
      <c r="H866" s="87" t="n"/>
      <c r="I866" s="87" t="n"/>
      <c r="J866" s="87" t="n"/>
      <c r="K866" s="87" t="n"/>
      <c r="L866" s="87" t="n"/>
      <c r="M866" s="87" t="n"/>
      <c r="N866" s="87" t="n"/>
      <c r="O866" s="87" t="n"/>
      <c r="P866" s="87" t="n"/>
      <c r="Q866" s="87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37" activePane="bottomLeft" state="frozen"/>
      <selection pane="bottomLeft" activeCell="AD370" sqref="AD370"/>
    </sheetView>
  </sheetViews>
  <sheetFormatPr baseColWidth="10" defaultColWidth="8.83203125" defaultRowHeight="15"/>
  <cols>
    <col width="14.1640625" customWidth="1" style="1" min="1" max="1"/>
    <col width="12.6640625" bestFit="1" customWidth="1" style="81" min="2" max="2"/>
    <col width="11.6640625" customWidth="1" style="9" min="3" max="4"/>
    <col width="9.1640625" customWidth="1" style="87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7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7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7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7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7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7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7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7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7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7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7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7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7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7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7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7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7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7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7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7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7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7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7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7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7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7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7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7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7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7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7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7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7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7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7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7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7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7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7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7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7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7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7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7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7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7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7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7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7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7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7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7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7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7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7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7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7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7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7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7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7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7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7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7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7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7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7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7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7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7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7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7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7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7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7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7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7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7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7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7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7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7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7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7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7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7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7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7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7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7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7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7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7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7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7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7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7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7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7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7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7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7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7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7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7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7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7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7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7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7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7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7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7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7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7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7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7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7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7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7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7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7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7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7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7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7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7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7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7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7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7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7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7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7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7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7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7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7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7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7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7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7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7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7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7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7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7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7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7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7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7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7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7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7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7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7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7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7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7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7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7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7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7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7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7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7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7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7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7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7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7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7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7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7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7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7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7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7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7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7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7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7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7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7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7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7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7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7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7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7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7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7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7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7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7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7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7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7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7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7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7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7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7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7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7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7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7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7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7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7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7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7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7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7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7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7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7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7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7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7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7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7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7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7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7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7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7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7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7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7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7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7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7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7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7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7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7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7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7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7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7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7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7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7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7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7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7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7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7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7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7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7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7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7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7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7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7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7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7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7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7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7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7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7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7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7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7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7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7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7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7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7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7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7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7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7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7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7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7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7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7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7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7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7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7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7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7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7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7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7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7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7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7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7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7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7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7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7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7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7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7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7">
      <c r="A306" s="21" t="n">
        <v>42370</v>
      </c>
      <c r="B306" s="77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7">
      <c r="A307" s="21" t="n">
        <v>42401</v>
      </c>
      <c r="B307" s="77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7">
      <c r="A308" s="21" t="n">
        <v>42430</v>
      </c>
      <c r="B308" s="77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7">
      <c r="A309" s="21" t="n">
        <v>42461</v>
      </c>
      <c r="B309" s="77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7">
      <c r="A310" s="21" t="n">
        <v>42491</v>
      </c>
      <c r="B310" s="77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7">
      <c r="A311" s="21" t="n">
        <v>42522</v>
      </c>
      <c r="B311" s="77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7">
      <c r="A312" s="21" t="n">
        <v>42552</v>
      </c>
      <c r="B312" s="77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7">
      <c r="A313" s="21" t="n">
        <v>42583</v>
      </c>
      <c r="B313" s="77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7">
      <c r="A314" s="21" t="n">
        <v>42614</v>
      </c>
      <c r="B314" s="77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7">
      <c r="A315" s="21" t="n">
        <v>42644</v>
      </c>
      <c r="B315" s="77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7">
      <c r="A316" s="21" t="n">
        <v>42675</v>
      </c>
      <c r="B316" s="77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7">
      <c r="A317" s="21" t="n">
        <v>42705</v>
      </c>
      <c r="B317" s="77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7">
      <c r="A318" s="21" t="n">
        <v>42736</v>
      </c>
      <c r="B318" s="77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7">
      <c r="A319" s="21" t="n">
        <v>42767</v>
      </c>
      <c r="B319" s="77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7">
      <c r="A320" s="21" t="n">
        <v>42795</v>
      </c>
      <c r="B320" s="77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7">
      <c r="A321" s="21" t="n">
        <v>42826</v>
      </c>
      <c r="B321" s="77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7">
      <c r="A322" s="21" t="n">
        <v>42856</v>
      </c>
      <c r="B322" s="77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7">
      <c r="A323" s="21" t="n">
        <v>42887</v>
      </c>
      <c r="B323" s="77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7">
      <c r="A324" s="21" t="n">
        <v>42917</v>
      </c>
      <c r="B324" s="77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7">
      <c r="A325" s="21" t="n">
        <v>42948</v>
      </c>
      <c r="B325" s="77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7">
      <c r="A326" s="21" t="n">
        <v>42979</v>
      </c>
      <c r="B326" s="77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7">
      <c r="A327" s="21" t="n">
        <v>43009</v>
      </c>
      <c r="B327" s="77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7">
      <c r="A328" s="21" t="n">
        <v>43040</v>
      </c>
      <c r="B328" s="77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7">
      <c r="A329" s="21" t="n">
        <v>43070</v>
      </c>
      <c r="B329" s="77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7">
      <c r="A330" s="21" t="n">
        <v>43101</v>
      </c>
      <c r="B330" s="77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7">
      <c r="A331" s="21" t="n">
        <v>43132</v>
      </c>
      <c r="B331" s="77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7">
      <c r="A332" s="21" t="n">
        <v>43160</v>
      </c>
      <c r="B332" s="77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7">
      <c r="A333" s="21" t="n">
        <v>43191</v>
      </c>
      <c r="B333" s="77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7">
      <c r="A334" s="21" t="n">
        <v>43221</v>
      </c>
      <c r="B334" s="77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7">
      <c r="A335" s="21" t="n">
        <v>43252</v>
      </c>
      <c r="B335" s="77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7">
      <c r="A336" s="21" t="n">
        <v>43282</v>
      </c>
      <c r="B336" s="77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7">
      <c r="A337" s="21" t="n">
        <v>43313</v>
      </c>
      <c r="B337" s="77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7">
      <c r="A338" s="21" t="n">
        <v>43344</v>
      </c>
      <c r="B338" s="77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7">
      <c r="A339" s="21" t="n">
        <v>43374</v>
      </c>
      <c r="B339" s="77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7">
      <c r="A340" s="21" t="n">
        <v>43405</v>
      </c>
      <c r="B340" s="77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7">
      <c r="A341" s="21" t="n">
        <v>43435</v>
      </c>
      <c r="B341" s="77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7">
      <c r="A342" s="21" t="n">
        <v>43466</v>
      </c>
      <c r="B342" s="77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7">
      <c r="A343" s="21" t="n">
        <v>43497</v>
      </c>
      <c r="B343" s="77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7">
      <c r="A344" s="21" t="n">
        <v>43525</v>
      </c>
      <c r="B344" s="77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7">
      <c r="A345" s="21" t="n">
        <v>43556</v>
      </c>
      <c r="B345" s="77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7">
      <c r="A346" s="21" t="n">
        <v>43586</v>
      </c>
      <c r="B346" s="77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7">
      <c r="A347" s="21" t="n">
        <v>43617</v>
      </c>
      <c r="B347" s="77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7">
      <c r="A348" s="21" t="n">
        <v>43647</v>
      </c>
      <c r="B348" s="77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7">
      <c r="A349" s="21" t="n">
        <v>43678</v>
      </c>
      <c r="B349" s="77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7">
      <c r="A350" s="21" t="n">
        <v>43709</v>
      </c>
      <c r="B350" s="77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7">
      <c r="A351" s="21" t="n">
        <v>43739</v>
      </c>
      <c r="B351" s="77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7">
      <c r="A352" s="21" t="n">
        <v>43770</v>
      </c>
      <c r="B352" s="77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7">
      <c r="A353" s="21" t="n">
        <v>43800</v>
      </c>
      <c r="B353" s="77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7">
      <c r="A354" s="21" t="n">
        <v>43831</v>
      </c>
      <c r="B354" s="77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7">
      <c r="A355" s="21" t="n">
        <v>43862</v>
      </c>
      <c r="B355" s="77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7">
      <c r="A356" s="21" t="n">
        <v>43891</v>
      </c>
      <c r="B356" s="77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7">
      <c r="A357" s="21" t="n">
        <v>43922</v>
      </c>
      <c r="B357" s="77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7">
      <c r="A358" s="21" t="n">
        <v>43952</v>
      </c>
      <c r="B358" s="77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7">
      <c r="A359" s="21" t="n">
        <v>43983</v>
      </c>
      <c r="B359" s="77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7">
      <c r="A360" s="21" t="n">
        <v>44013</v>
      </c>
      <c r="B360" s="77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7">
      <c r="A361" s="21" t="n">
        <v>44044</v>
      </c>
      <c r="B361" s="77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7">
      <c r="A362" s="21" t="n">
        <v>44075</v>
      </c>
      <c r="B362" s="77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7">
      <c r="A363" s="21" t="n">
        <v>44105</v>
      </c>
      <c r="B363" s="77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7">
      <c r="A364" s="21" t="n">
        <v>44136</v>
      </c>
      <c r="B364" s="77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7">
      <c r="A365" s="21" t="n">
        <v>44166</v>
      </c>
      <c r="B365" s="77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7">
      <c r="A366" s="21" t="n">
        <v>44197</v>
      </c>
      <c r="B366" s="77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7">
      <c r="A367" s="21" t="n">
        <v>44228</v>
      </c>
      <c r="B367" s="77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7">
      <c r="A368" s="21" t="n">
        <v>44256</v>
      </c>
      <c r="B368" s="77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7">
      <c r="A369" s="21" t="n">
        <v>44287</v>
      </c>
      <c r="B369" s="77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7">
      <c r="A370" s="21" t="n">
        <v>44317</v>
      </c>
      <c r="B370" s="77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7">
      <c r="A371" s="21" t="n">
        <v>44348</v>
      </c>
      <c r="B371" s="77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7">
      <c r="A372" s="21" t="n">
        <v>44378</v>
      </c>
      <c r="B372" s="77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7">
      <c r="A373" s="21" t="n">
        <v>44409</v>
      </c>
      <c r="B373" s="77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7">
      <c r="A374" s="21" t="n">
        <v>44440</v>
      </c>
      <c r="B374" s="77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7">
      <c r="A375" s="21" t="n">
        <v>44470</v>
      </c>
      <c r="B375" s="77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7">
      <c r="A376" s="21" t="n">
        <v>44501</v>
      </c>
      <c r="B376" s="77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7">
      <c r="A377" s="21" t="n">
        <v>44531</v>
      </c>
      <c r="B377" s="77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7">
      <c r="A378" s="21" t="n">
        <v>44562</v>
      </c>
      <c r="B378" s="77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7">
      <c r="A379" s="21" t="n">
        <v>44593</v>
      </c>
      <c r="B379" s="77">
        <f>VLOOKUP(A379,Database!$A:$AU,MATCH($B$4,Database!$A$1:$AU$1,0),FALSE)</f>
        <v/>
      </c>
      <c r="C379" s="22">
        <f>(Table13456789101112131415161734[[#This Row],[USA]]-B378)/B378</f>
        <v/>
      </c>
      <c r="D379" s="23">
        <f>(Table13456789101112131415161734[[#This Row],[USA]]-B367)/B367</f>
        <v/>
      </c>
    </row>
    <row r="380" customFormat="1" s="87">
      <c r="A380" s="21" t="n">
        <v>44621</v>
      </c>
      <c r="B380" s="77">
        <f>VLOOKUP(A380,Database!$A:$AU,MATCH($B$4,Database!$A$1:$AU$1,0),FALSE)</f>
        <v/>
      </c>
      <c r="C380" s="22">
        <f>(Table13456789101112131415161734[[#This Row],[USA]]-B379)/B379</f>
        <v/>
      </c>
      <c r="D380" s="23">
        <f>(Table13456789101112131415161734[[#This Row],[USA]]-B368)/B368</f>
        <v/>
      </c>
    </row>
    <row r="381" customFormat="1" s="87">
      <c r="A381" s="21" t="n">
        <v>44652</v>
      </c>
      <c r="B381" s="77">
        <f>VLOOKUP(A381,Database!$A:$AU,MATCH($B$4,Database!$A$1:$AU$1,0),FALSE)</f>
        <v/>
      </c>
      <c r="C381" s="22">
        <f>(Table13456789101112131415161734[[#This Row],[USA]]-B380)/B380</f>
        <v/>
      </c>
      <c r="D381" s="23">
        <f>(Table13456789101112131415161734[[#This Row],[USA]]-B369)/B369</f>
        <v/>
      </c>
    </row>
    <row r="382" customFormat="1" s="87">
      <c r="A382" s="16" t="n"/>
      <c r="C382" s="19" t="n"/>
      <c r="D382" s="19" t="n"/>
    </row>
    <row r="383" customFormat="1" s="87">
      <c r="A383" s="16" t="n"/>
      <c r="C383" s="19" t="n"/>
      <c r="D383" s="19" t="n"/>
    </row>
    <row r="384" customFormat="1" s="87">
      <c r="A384" s="16" t="n"/>
      <c r="C384" s="19" t="n"/>
      <c r="D384" s="19" t="n"/>
    </row>
    <row r="385" customFormat="1" s="87">
      <c r="A385" s="16" t="n"/>
      <c r="C385" s="19" t="n"/>
      <c r="D385" s="19" t="n"/>
    </row>
    <row r="386" customFormat="1" s="87">
      <c r="A386" s="16" t="n"/>
      <c r="C386" s="19" t="n"/>
      <c r="D386" s="19" t="n"/>
    </row>
    <row r="387" customFormat="1" s="87">
      <c r="A387" s="16" t="n"/>
      <c r="C387" s="19" t="n"/>
      <c r="D387" s="19" t="n"/>
    </row>
    <row r="388" customFormat="1" s="87">
      <c r="A388" s="16" t="n"/>
      <c r="C388" s="19" t="n"/>
      <c r="D388" s="19" t="n"/>
    </row>
    <row r="389" customFormat="1" s="87">
      <c r="A389" s="16" t="n"/>
      <c r="C389" s="19" t="n"/>
      <c r="D389" s="19" t="n"/>
    </row>
    <row r="390" customFormat="1" s="87">
      <c r="A390" s="16" t="n"/>
      <c r="C390" s="19" t="n"/>
      <c r="D390" s="19" t="n"/>
    </row>
    <row r="391" customFormat="1" s="87">
      <c r="A391" s="16" t="n"/>
      <c r="C391" s="19" t="n"/>
      <c r="D391" s="19" t="n"/>
    </row>
    <row r="392" customFormat="1" s="87">
      <c r="A392" s="16" t="n"/>
      <c r="C392" s="19" t="n"/>
      <c r="D392" s="19" t="n"/>
    </row>
    <row r="393" customFormat="1" s="87">
      <c r="A393" s="16" t="n"/>
      <c r="C393" s="19" t="n"/>
      <c r="D393" s="19" t="n"/>
    </row>
    <row r="394" customFormat="1" s="87">
      <c r="A394" s="16" t="n"/>
      <c r="C394" s="19" t="n"/>
      <c r="D394" s="19" t="n"/>
    </row>
    <row r="395" customFormat="1" s="87">
      <c r="A395" s="16" t="n"/>
      <c r="C395" s="19" t="n"/>
      <c r="D395" s="19" t="n"/>
    </row>
    <row r="396" customFormat="1" s="87">
      <c r="A396" s="16" t="n"/>
      <c r="C396" s="19" t="n"/>
      <c r="D396" s="19" t="n"/>
    </row>
    <row r="397" customFormat="1" s="87">
      <c r="A397" s="16" t="n"/>
      <c r="C397" s="19" t="n"/>
      <c r="D397" s="19" t="n"/>
    </row>
    <row r="398" customFormat="1" s="87">
      <c r="A398" s="16" t="n"/>
      <c r="C398" s="19" t="n"/>
      <c r="D398" s="19" t="n"/>
    </row>
    <row r="399" customFormat="1" s="87">
      <c r="A399" s="16" t="n"/>
      <c r="C399" s="19" t="n"/>
      <c r="D399" s="19" t="n"/>
    </row>
    <row r="400" customFormat="1" s="87">
      <c r="A400" s="16" t="n"/>
      <c r="C400" s="19" t="n"/>
      <c r="D400" s="19" t="n"/>
    </row>
    <row r="401" customFormat="1" s="87">
      <c r="A401" s="16" t="n"/>
      <c r="C401" s="19" t="n"/>
      <c r="D401" s="19" t="n"/>
    </row>
    <row r="402" customFormat="1" s="87">
      <c r="A402" s="16" t="n"/>
      <c r="C402" s="19" t="n"/>
      <c r="D402" s="19" t="n"/>
    </row>
    <row r="403" customFormat="1" s="87">
      <c r="A403" s="16" t="n"/>
      <c r="C403" s="19" t="n"/>
      <c r="D403" s="19" t="n"/>
    </row>
    <row r="404" customFormat="1" s="87">
      <c r="A404" s="16" t="n"/>
      <c r="C404" s="19" t="n"/>
      <c r="D404" s="19" t="n"/>
    </row>
    <row r="405" customFormat="1" s="87">
      <c r="A405" s="16" t="n"/>
      <c r="C405" s="19" t="n"/>
      <c r="D405" s="19" t="n"/>
    </row>
    <row r="406" customFormat="1" s="87">
      <c r="A406" s="16" t="n"/>
      <c r="C406" s="19" t="n"/>
      <c r="D406" s="19" t="n"/>
    </row>
    <row r="407" customFormat="1" s="87">
      <c r="A407" s="16" t="n"/>
      <c r="C407" s="19" t="n"/>
      <c r="D407" s="19" t="n"/>
    </row>
    <row r="408" customFormat="1" s="87">
      <c r="A408" s="16" t="n"/>
      <c r="C408" s="19" t="n"/>
      <c r="D408" s="19" t="n"/>
    </row>
    <row r="409" customFormat="1" s="87">
      <c r="A409" s="16" t="n"/>
      <c r="C409" s="19" t="n"/>
      <c r="D409" s="19" t="n"/>
    </row>
    <row r="410" customFormat="1" s="87">
      <c r="A410" s="16" t="n"/>
      <c r="C410" s="19" t="n"/>
      <c r="D410" s="19" t="n"/>
    </row>
    <row r="411" customFormat="1" s="87">
      <c r="A411" s="16" t="n"/>
      <c r="C411" s="19" t="n"/>
      <c r="D411" s="19" t="n"/>
    </row>
    <row r="412" customFormat="1" s="87">
      <c r="A412" s="16" t="n"/>
      <c r="C412" s="19" t="n"/>
      <c r="D412" s="19" t="n"/>
    </row>
    <row r="413" customFormat="1" s="87">
      <c r="A413" s="16" t="n"/>
      <c r="C413" s="19" t="n"/>
      <c r="D413" s="19" t="n"/>
    </row>
    <row r="414" customFormat="1" s="87">
      <c r="A414" s="16" t="n"/>
      <c r="C414" s="19" t="n"/>
      <c r="D414" s="19" t="n"/>
    </row>
    <row r="415" customFormat="1" s="87">
      <c r="A415" s="16" t="n"/>
      <c r="C415" s="19" t="n"/>
      <c r="D415" s="19" t="n"/>
    </row>
    <row r="416" customFormat="1" s="87">
      <c r="A416" s="16" t="n"/>
      <c r="C416" s="19" t="n"/>
      <c r="D416" s="19" t="n"/>
    </row>
    <row r="417" customFormat="1" s="87">
      <c r="A417" s="16" t="n"/>
      <c r="C417" s="19" t="n"/>
      <c r="D417" s="19" t="n"/>
    </row>
    <row r="418" customFormat="1" s="87">
      <c r="A418" s="16" t="n"/>
      <c r="C418" s="19" t="n"/>
      <c r="D418" s="19" t="n"/>
    </row>
    <row r="419" customFormat="1" s="87">
      <c r="A419" s="16" t="n"/>
      <c r="C419" s="19" t="n"/>
      <c r="D419" s="19" t="n"/>
    </row>
    <row r="420" customFormat="1" s="87">
      <c r="A420" s="16" t="n"/>
      <c r="C420" s="19" t="n"/>
      <c r="D420" s="19" t="n"/>
    </row>
    <row r="421" customFormat="1" s="87">
      <c r="A421" s="16" t="n"/>
      <c r="C421" s="19" t="n"/>
      <c r="D421" s="19" t="n"/>
    </row>
    <row r="422" customFormat="1" s="87">
      <c r="A422" s="16" t="n"/>
      <c r="C422" s="19" t="n"/>
      <c r="D422" s="19" t="n"/>
    </row>
    <row r="423" customFormat="1" s="87">
      <c r="A423" s="16" t="n"/>
      <c r="C423" s="19" t="n"/>
      <c r="D423" s="19" t="n"/>
    </row>
    <row r="424" customFormat="1" s="87">
      <c r="A424" s="16" t="n"/>
      <c r="C424" s="19" t="n"/>
      <c r="D424" s="19" t="n"/>
    </row>
    <row r="425" customFormat="1" s="87">
      <c r="A425" s="16" t="n"/>
      <c r="C425" s="19" t="n"/>
      <c r="D425" s="19" t="n"/>
    </row>
    <row r="426" customFormat="1" s="87">
      <c r="A426" s="16" t="n"/>
      <c r="C426" s="19" t="n"/>
      <c r="D426" s="19" t="n"/>
    </row>
    <row r="427" customFormat="1" s="87">
      <c r="A427" s="16" t="n"/>
      <c r="C427" s="19" t="n"/>
      <c r="D427" s="19" t="n"/>
    </row>
    <row r="428" customFormat="1" s="87">
      <c r="A428" s="16" t="n"/>
      <c r="C428" s="19" t="n"/>
      <c r="D428" s="19" t="n"/>
    </row>
    <row r="429" customFormat="1" s="87">
      <c r="A429" s="16" t="n"/>
      <c r="C429" s="19" t="n"/>
      <c r="D429" s="19" t="n"/>
    </row>
    <row r="430" customFormat="1" s="87">
      <c r="A430" s="16" t="n"/>
      <c r="C430" s="19" t="n"/>
      <c r="D430" s="19" t="n"/>
    </row>
    <row r="431" customFormat="1" s="87">
      <c r="A431" s="16" t="n"/>
      <c r="C431" s="19" t="n"/>
      <c r="D431" s="19" t="n"/>
    </row>
    <row r="432" customFormat="1" s="87">
      <c r="A432" s="16" t="n"/>
      <c r="C432" s="19" t="n"/>
      <c r="D432" s="19" t="n"/>
    </row>
    <row r="433" customFormat="1" s="87">
      <c r="A433" s="16" t="n"/>
      <c r="C433" s="19" t="n"/>
      <c r="D433" s="19" t="n"/>
    </row>
    <row r="434" customFormat="1" s="87">
      <c r="A434" s="16" t="n"/>
      <c r="C434" s="19" t="n"/>
      <c r="D434" s="19" t="n"/>
    </row>
    <row r="435" customFormat="1" s="87">
      <c r="A435" s="16" t="n"/>
      <c r="C435" s="19" t="n"/>
      <c r="D435" s="19" t="n"/>
    </row>
    <row r="436" customFormat="1" s="87">
      <c r="A436" s="16" t="n"/>
      <c r="C436" s="19" t="n"/>
      <c r="D436" s="19" t="n"/>
    </row>
    <row r="437" customFormat="1" s="87">
      <c r="A437" s="16" t="n"/>
      <c r="C437" s="19" t="n"/>
      <c r="D437" s="19" t="n"/>
    </row>
    <row r="438" customFormat="1" s="87">
      <c r="A438" s="16" t="n"/>
      <c r="C438" s="19" t="n"/>
      <c r="D438" s="19" t="n"/>
    </row>
    <row r="439" customFormat="1" s="87">
      <c r="A439" s="16" t="n"/>
      <c r="C439" s="19" t="n"/>
      <c r="D439" s="19" t="n"/>
    </row>
    <row r="440" customFormat="1" s="87">
      <c r="A440" s="16" t="n"/>
      <c r="C440" s="19" t="n"/>
      <c r="D440" s="19" t="n"/>
    </row>
    <row r="441" customFormat="1" s="87">
      <c r="A441" s="16" t="n"/>
      <c r="C441" s="19" t="n"/>
      <c r="D441" s="19" t="n"/>
    </row>
    <row r="442" customFormat="1" s="87">
      <c r="A442" s="16" t="n"/>
      <c r="C442" s="19" t="n"/>
      <c r="D442" s="19" t="n"/>
    </row>
    <row r="443" customFormat="1" s="87">
      <c r="A443" s="16" t="n"/>
      <c r="C443" s="19" t="n"/>
      <c r="D443" s="19" t="n"/>
    </row>
    <row r="444" customFormat="1" s="87">
      <c r="A444" s="16" t="n"/>
      <c r="C444" s="19" t="n"/>
      <c r="D444" s="19" t="n"/>
    </row>
    <row r="445" customFormat="1" s="87">
      <c r="A445" s="16" t="n"/>
      <c r="C445" s="19" t="n"/>
      <c r="D445" s="19" t="n"/>
    </row>
    <row r="446" customFormat="1" s="87">
      <c r="A446" s="16" t="n"/>
      <c r="C446" s="19" t="n"/>
      <c r="D446" s="19" t="n"/>
    </row>
    <row r="447" customFormat="1" s="87">
      <c r="A447" s="16" t="n"/>
      <c r="C447" s="19" t="n"/>
      <c r="D447" s="19" t="n"/>
    </row>
    <row r="448" customFormat="1" s="87">
      <c r="A448" s="16" t="n"/>
      <c r="C448" s="19" t="n"/>
      <c r="D448" s="19" t="n"/>
    </row>
    <row r="449" customFormat="1" s="87">
      <c r="A449" s="16" t="n"/>
      <c r="C449" s="19" t="n"/>
      <c r="D449" s="19" t="n"/>
    </row>
    <row r="450" customFormat="1" s="87">
      <c r="A450" s="16" t="n"/>
      <c r="C450" s="19" t="n"/>
      <c r="D450" s="19" t="n"/>
    </row>
    <row r="451" customFormat="1" s="87">
      <c r="A451" s="16" t="n"/>
      <c r="C451" s="19" t="n"/>
      <c r="D451" s="19" t="n"/>
    </row>
    <row r="452" customFormat="1" s="87">
      <c r="A452" s="16" t="n"/>
      <c r="C452" s="19" t="n"/>
      <c r="D452" s="19" t="n"/>
    </row>
    <row r="453" customFormat="1" s="87">
      <c r="A453" s="16" t="n"/>
      <c r="C453" s="19" t="n"/>
      <c r="D453" s="19" t="n"/>
    </row>
    <row r="454" customFormat="1" s="87">
      <c r="A454" s="16" t="n"/>
      <c r="C454" s="19" t="n"/>
      <c r="D454" s="19" t="n"/>
    </row>
    <row r="455" customFormat="1" s="87">
      <c r="A455" s="16" t="n"/>
      <c r="C455" s="19" t="n"/>
      <c r="D455" s="19" t="n"/>
    </row>
    <row r="456" customFormat="1" s="87">
      <c r="A456" s="16" t="n"/>
      <c r="C456" s="19" t="n"/>
      <c r="D456" s="19" t="n"/>
    </row>
    <row r="457" customFormat="1" s="87">
      <c r="A457" s="16" t="n"/>
      <c r="C457" s="19" t="n"/>
      <c r="D457" s="19" t="n"/>
    </row>
    <row r="458" customFormat="1" s="87">
      <c r="A458" s="16" t="n"/>
      <c r="C458" s="19" t="n"/>
      <c r="D458" s="19" t="n"/>
    </row>
    <row r="459" customFormat="1" s="87">
      <c r="A459" s="16" t="n"/>
      <c r="C459" s="19" t="n"/>
      <c r="D459" s="19" t="n"/>
    </row>
    <row r="460" customFormat="1" s="87">
      <c r="A460" s="16" t="n"/>
      <c r="C460" s="19" t="n"/>
      <c r="D460" s="19" t="n"/>
    </row>
    <row r="461" customFormat="1" s="87">
      <c r="A461" s="16" t="n"/>
      <c r="C461" s="19" t="n"/>
      <c r="D461" s="19" t="n"/>
    </row>
    <row r="462" customFormat="1" s="87">
      <c r="A462" s="16" t="n"/>
      <c r="C462" s="19" t="n"/>
      <c r="D462" s="19" t="n"/>
    </row>
    <row r="463" customFormat="1" s="87">
      <c r="A463" s="16" t="n"/>
      <c r="C463" s="19" t="n"/>
      <c r="D463" s="19" t="n"/>
    </row>
    <row r="464" customFormat="1" s="87">
      <c r="A464" s="16" t="n"/>
      <c r="C464" s="19" t="n"/>
      <c r="D464" s="19" t="n"/>
    </row>
    <row r="465" customFormat="1" s="87">
      <c r="A465" s="16" t="n"/>
      <c r="C465" s="19" t="n"/>
      <c r="D465" s="19" t="n"/>
    </row>
    <row r="466" customFormat="1" s="87">
      <c r="A466" s="16" t="n"/>
      <c r="C466" s="19" t="n"/>
      <c r="D466" s="19" t="n"/>
    </row>
    <row r="467" customFormat="1" s="87">
      <c r="A467" s="16" t="n"/>
      <c r="C467" s="19" t="n"/>
      <c r="D467" s="19" t="n"/>
    </row>
    <row r="468" customFormat="1" s="87">
      <c r="A468" s="16" t="n"/>
      <c r="C468" s="19" t="n"/>
      <c r="D468" s="19" t="n"/>
    </row>
    <row r="469" customFormat="1" s="87">
      <c r="A469" s="16" t="n"/>
      <c r="C469" s="19" t="n"/>
      <c r="D469" s="19" t="n"/>
    </row>
    <row r="470" customFormat="1" s="87">
      <c r="A470" s="16" t="n"/>
      <c r="C470" s="19" t="n"/>
      <c r="D470" s="19" t="n"/>
    </row>
    <row r="471" customFormat="1" s="87">
      <c r="A471" s="16" t="n"/>
      <c r="C471" s="19" t="n"/>
      <c r="D471" s="19" t="n"/>
    </row>
    <row r="472" customFormat="1" s="87">
      <c r="A472" s="16" t="n"/>
      <c r="C472" s="19" t="n"/>
      <c r="D472" s="19" t="n"/>
    </row>
    <row r="473" customFormat="1" s="87">
      <c r="A473" s="16" t="n"/>
      <c r="C473" s="19" t="n"/>
      <c r="D473" s="19" t="n"/>
    </row>
    <row r="474" customFormat="1" s="87">
      <c r="A474" s="16" t="n"/>
      <c r="C474" s="19" t="n"/>
      <c r="D474" s="19" t="n"/>
    </row>
    <row r="475" customFormat="1" s="87">
      <c r="A475" s="16" t="n"/>
      <c r="C475" s="19" t="n"/>
      <c r="D475" s="19" t="n"/>
    </row>
    <row r="476" customFormat="1" s="87">
      <c r="A476" s="16" t="n"/>
      <c r="C476" s="19" t="n"/>
      <c r="D476" s="19" t="n"/>
    </row>
    <row r="477" customFormat="1" s="87">
      <c r="A477" s="16" t="n"/>
      <c r="C477" s="19" t="n"/>
      <c r="D477" s="19" t="n"/>
    </row>
    <row r="478" customFormat="1" s="87">
      <c r="A478" s="16" t="n"/>
      <c r="C478" s="19" t="n"/>
      <c r="D478" s="19" t="n"/>
    </row>
    <row r="479" customFormat="1" s="87">
      <c r="A479" s="16" t="n"/>
      <c r="C479" s="19" t="n"/>
      <c r="D479" s="19" t="n"/>
    </row>
    <row r="480" customFormat="1" s="87">
      <c r="A480" s="16" t="n"/>
      <c r="C480" s="19" t="n"/>
      <c r="D480" s="19" t="n"/>
    </row>
    <row r="481" customFormat="1" s="87">
      <c r="A481" s="16" t="n"/>
      <c r="C481" s="19" t="n"/>
      <c r="D481" s="19" t="n"/>
    </row>
    <row r="482" customFormat="1" s="87">
      <c r="A482" s="16" t="n"/>
      <c r="C482" s="19" t="n"/>
      <c r="D482" s="19" t="n"/>
    </row>
    <row r="483" customFormat="1" s="87">
      <c r="A483" s="16" t="n"/>
      <c r="C483" s="19" t="n"/>
      <c r="D483" s="19" t="n"/>
    </row>
    <row r="484" customFormat="1" s="87">
      <c r="A484" s="16" t="n"/>
      <c r="C484" s="19" t="n"/>
      <c r="D484" s="19" t="n"/>
    </row>
    <row r="485" customFormat="1" s="87">
      <c r="A485" s="16" t="n"/>
      <c r="C485" s="19" t="n"/>
      <c r="D485" s="19" t="n"/>
    </row>
    <row r="486" customFormat="1" s="87">
      <c r="A486" s="16" t="n"/>
      <c r="C486" s="19" t="n"/>
      <c r="D486" s="19" t="n"/>
    </row>
    <row r="487" customFormat="1" s="87">
      <c r="A487" s="16" t="n"/>
      <c r="C487" s="19" t="n"/>
      <c r="D487" s="19" t="n"/>
    </row>
    <row r="488" customFormat="1" s="87">
      <c r="A488" s="16" t="n"/>
      <c r="C488" s="19" t="n"/>
      <c r="D488" s="19" t="n"/>
    </row>
    <row r="489" customFormat="1" s="87">
      <c r="A489" s="16" t="n"/>
      <c r="C489" s="19" t="n"/>
      <c r="D489" s="19" t="n"/>
    </row>
    <row r="490" customFormat="1" s="87">
      <c r="A490" s="16" t="n"/>
      <c r="C490" s="19" t="n"/>
      <c r="D490" s="19" t="n"/>
    </row>
    <row r="491" customFormat="1" s="87">
      <c r="A491" s="16" t="n"/>
      <c r="C491" s="19" t="n"/>
      <c r="D491" s="19" t="n"/>
    </row>
    <row r="492" customFormat="1" s="87">
      <c r="A492" s="16" t="n"/>
      <c r="C492" s="19" t="n"/>
      <c r="D492" s="19" t="n"/>
    </row>
    <row r="493" customFormat="1" s="87">
      <c r="A493" s="16" t="n"/>
      <c r="C493" s="19" t="n"/>
      <c r="D493" s="19" t="n"/>
    </row>
    <row r="494" customFormat="1" s="87">
      <c r="A494" s="16" t="n"/>
      <c r="C494" s="19" t="n"/>
      <c r="D494" s="19" t="n"/>
    </row>
    <row r="495" customFormat="1" s="87">
      <c r="A495" s="16" t="n"/>
      <c r="C495" s="19" t="n"/>
      <c r="D495" s="19" t="n"/>
    </row>
    <row r="496" customFormat="1" s="87">
      <c r="A496" s="16" t="n"/>
      <c r="C496" s="19" t="n"/>
      <c r="D496" s="19" t="n"/>
    </row>
    <row r="497" customFormat="1" s="87">
      <c r="A497" s="16" t="n"/>
      <c r="C497" s="19" t="n"/>
      <c r="D497" s="19" t="n"/>
    </row>
    <row r="498" customFormat="1" s="87">
      <c r="A498" s="16" t="n"/>
      <c r="C498" s="19" t="n"/>
      <c r="D498" s="19" t="n"/>
    </row>
    <row r="499" customFormat="1" s="87">
      <c r="A499" s="16" t="n"/>
      <c r="C499" s="19" t="n"/>
      <c r="D499" s="19" t="n"/>
    </row>
    <row r="500" customFormat="1" s="87">
      <c r="A500" s="16" t="n"/>
      <c r="C500" s="19" t="n"/>
      <c r="D500" s="19" t="n"/>
    </row>
    <row r="501" customFormat="1" s="87">
      <c r="A501" s="16" t="n"/>
      <c r="C501" s="19" t="n"/>
      <c r="D501" s="19" t="n"/>
    </row>
    <row r="502" customFormat="1" s="87">
      <c r="A502" s="16" t="n"/>
      <c r="C502" s="19" t="n"/>
      <c r="D502" s="19" t="n"/>
    </row>
    <row r="503" customFormat="1" s="87">
      <c r="A503" s="16" t="n"/>
      <c r="C503" s="19" t="n"/>
      <c r="D503" s="19" t="n"/>
    </row>
    <row r="504" customFormat="1" s="87">
      <c r="A504" s="16" t="n"/>
      <c r="C504" s="19" t="n"/>
      <c r="D504" s="19" t="n"/>
    </row>
    <row r="505" customFormat="1" s="87">
      <c r="A505" s="16" t="n"/>
      <c r="C505" s="19" t="n"/>
      <c r="D505" s="19" t="n"/>
    </row>
    <row r="506" customFormat="1" s="87">
      <c r="A506" s="16" t="n"/>
      <c r="C506" s="19" t="n"/>
      <c r="D506" s="19" t="n"/>
    </row>
    <row r="507" customFormat="1" s="87">
      <c r="A507" s="16" t="n"/>
      <c r="C507" s="19" t="n"/>
      <c r="D507" s="19" t="n"/>
    </row>
    <row r="508" customFormat="1" s="87">
      <c r="A508" s="16" t="n"/>
      <c r="C508" s="19" t="n"/>
      <c r="D508" s="19" t="n"/>
    </row>
    <row r="509" customFormat="1" s="87">
      <c r="A509" s="16" t="n"/>
      <c r="C509" s="19" t="n"/>
      <c r="D509" s="19" t="n"/>
    </row>
    <row r="510" customFormat="1" s="87">
      <c r="A510" s="16" t="n"/>
      <c r="C510" s="19" t="n"/>
      <c r="D510" s="19" t="n"/>
    </row>
    <row r="511" customFormat="1" s="87">
      <c r="A511" s="16" t="n"/>
      <c r="C511" s="19" t="n"/>
      <c r="D511" s="19" t="n"/>
    </row>
    <row r="512" customFormat="1" s="87">
      <c r="A512" s="16" t="n"/>
      <c r="C512" s="19" t="n"/>
      <c r="D512" s="19" t="n"/>
    </row>
    <row r="513" customFormat="1" s="87">
      <c r="A513" s="16" t="n"/>
      <c r="C513" s="19" t="n"/>
      <c r="D513" s="19" t="n"/>
    </row>
    <row r="514" customFormat="1" s="87">
      <c r="A514" s="16" t="n"/>
      <c r="C514" s="19" t="n"/>
      <c r="D514" s="19" t="n"/>
    </row>
    <row r="515" customFormat="1" s="87">
      <c r="A515" s="16" t="n"/>
      <c r="C515" s="19" t="n"/>
      <c r="D515" s="19" t="n"/>
    </row>
    <row r="516" customFormat="1" s="87">
      <c r="A516" s="16" t="n"/>
      <c r="C516" s="19" t="n"/>
      <c r="D516" s="19" t="n"/>
    </row>
    <row r="517" customFormat="1" s="87">
      <c r="A517" s="16" t="n"/>
      <c r="C517" s="19" t="n"/>
      <c r="D517" s="19" t="n"/>
    </row>
    <row r="518" customFormat="1" s="87">
      <c r="A518" s="16" t="n"/>
      <c r="C518" s="19" t="n"/>
      <c r="D518" s="19" t="n"/>
    </row>
    <row r="519" customFormat="1" s="87">
      <c r="A519" s="16" t="n"/>
      <c r="C519" s="19" t="n"/>
      <c r="D519" s="19" t="n"/>
    </row>
    <row r="520" customFormat="1" s="87">
      <c r="A520" s="16" t="n"/>
      <c r="C520" s="19" t="n"/>
      <c r="D520" s="19" t="n"/>
    </row>
    <row r="521" customFormat="1" s="87">
      <c r="A521" s="16" t="n"/>
      <c r="C521" s="19" t="n"/>
      <c r="D521" s="19" t="n"/>
    </row>
    <row r="522" customFormat="1" s="87">
      <c r="A522" s="16" t="n"/>
      <c r="C522" s="19" t="n"/>
      <c r="D522" s="19" t="n"/>
    </row>
    <row r="523" customFormat="1" s="87">
      <c r="A523" s="16" t="n"/>
      <c r="C523" s="19" t="n"/>
      <c r="D523" s="19" t="n"/>
    </row>
    <row r="524" customFormat="1" s="87">
      <c r="A524" s="16" t="n"/>
      <c r="C524" s="19" t="n"/>
      <c r="D524" s="19" t="n"/>
    </row>
    <row r="525" customFormat="1" s="87">
      <c r="A525" s="16" t="n"/>
      <c r="C525" s="19" t="n"/>
      <c r="D525" s="19" t="n"/>
    </row>
    <row r="526" customFormat="1" s="87">
      <c r="A526" s="16" t="n"/>
      <c r="C526" s="19" t="n"/>
      <c r="D526" s="19" t="n"/>
    </row>
    <row r="527" customFormat="1" s="87">
      <c r="A527" s="16" t="n"/>
      <c r="C527" s="19" t="n"/>
      <c r="D527" s="19" t="n"/>
    </row>
    <row r="528" customFormat="1" s="87">
      <c r="A528" s="16" t="n"/>
      <c r="C528" s="19" t="n"/>
      <c r="D528" s="19" t="n"/>
    </row>
    <row r="529" customFormat="1" s="87">
      <c r="A529" s="16" t="n"/>
      <c r="C529" s="19" t="n"/>
      <c r="D529" s="19" t="n"/>
    </row>
    <row r="530" customFormat="1" s="87">
      <c r="A530" s="16" t="n"/>
      <c r="C530" s="19" t="n"/>
      <c r="D530" s="19" t="n"/>
    </row>
    <row r="531" customFormat="1" s="87">
      <c r="A531" s="16" t="n"/>
      <c r="C531" s="19" t="n"/>
      <c r="D531" s="19" t="n"/>
    </row>
    <row r="532" customFormat="1" s="87">
      <c r="A532" s="16" t="n"/>
      <c r="C532" s="19" t="n"/>
      <c r="D532" s="19" t="n"/>
    </row>
    <row r="533" customFormat="1" s="87">
      <c r="A533" s="16" t="n"/>
      <c r="C533" s="19" t="n"/>
      <c r="D533" s="19" t="n"/>
    </row>
    <row r="534" customFormat="1" s="87">
      <c r="A534" s="16" t="n"/>
      <c r="C534" s="19" t="n"/>
      <c r="D534" s="19" t="n"/>
    </row>
    <row r="535" customFormat="1" s="87">
      <c r="A535" s="16" t="n"/>
      <c r="C535" s="19" t="n"/>
      <c r="D535" s="19" t="n"/>
    </row>
    <row r="536" customFormat="1" s="87">
      <c r="A536" s="16" t="n"/>
      <c r="C536" s="19" t="n"/>
      <c r="D536" s="19" t="n"/>
    </row>
    <row r="537" customFormat="1" s="87">
      <c r="A537" s="16" t="n"/>
      <c r="C537" s="19" t="n"/>
      <c r="D537" s="19" t="n"/>
    </row>
    <row r="538" customFormat="1" s="87">
      <c r="A538" s="16" t="n"/>
      <c r="C538" s="19" t="n"/>
      <c r="D538" s="19" t="n"/>
    </row>
    <row r="539" customFormat="1" s="87">
      <c r="A539" s="16" t="n"/>
      <c r="C539" s="19" t="n"/>
      <c r="D539" s="19" t="n"/>
    </row>
    <row r="540" customFormat="1" s="87">
      <c r="A540" s="16" t="n"/>
      <c r="C540" s="19" t="n"/>
      <c r="D540" s="19" t="n"/>
    </row>
    <row r="541" customFormat="1" s="87">
      <c r="A541" s="16" t="n"/>
      <c r="C541" s="19" t="n"/>
      <c r="D541" s="19" t="n"/>
    </row>
    <row r="542" customFormat="1" s="87">
      <c r="A542" s="16" t="n"/>
      <c r="C542" s="19" t="n"/>
      <c r="D542" s="19" t="n"/>
    </row>
    <row r="543" customFormat="1" s="87">
      <c r="A543" s="16" t="n"/>
      <c r="C543" s="19" t="n"/>
      <c r="D543" s="19" t="n"/>
    </row>
    <row r="544" customFormat="1" s="87">
      <c r="A544" s="16" t="n"/>
      <c r="C544" s="19" t="n"/>
      <c r="D544" s="19" t="n"/>
    </row>
    <row r="545" customFormat="1" s="87">
      <c r="A545" s="16" t="n"/>
      <c r="C545" s="19" t="n"/>
      <c r="D545" s="19" t="n"/>
    </row>
    <row r="546" customFormat="1" s="87">
      <c r="A546" s="16" t="n"/>
      <c r="C546" s="19" t="n"/>
      <c r="D546" s="19" t="n"/>
    </row>
    <row r="547" customFormat="1" s="87">
      <c r="A547" s="16" t="n"/>
      <c r="C547" s="19" t="n"/>
      <c r="D547" s="19" t="n"/>
    </row>
    <row r="548" customFormat="1" s="87">
      <c r="A548" s="16" t="n"/>
      <c r="C548" s="19" t="n"/>
      <c r="D548" s="19" t="n"/>
    </row>
    <row r="549" customFormat="1" s="87">
      <c r="A549" s="16" t="n"/>
      <c r="C549" s="19" t="n"/>
      <c r="D549" s="19" t="n"/>
    </row>
    <row r="550" customFormat="1" s="87">
      <c r="A550" s="16" t="n"/>
      <c r="C550" s="19" t="n"/>
      <c r="D550" s="19" t="n"/>
    </row>
    <row r="551" customFormat="1" s="87">
      <c r="A551" s="16" t="n"/>
      <c r="C551" s="19" t="n"/>
      <c r="D551" s="19" t="n"/>
    </row>
    <row r="552" customFormat="1" s="87">
      <c r="A552" s="16" t="n"/>
      <c r="C552" s="19" t="n"/>
      <c r="D552" s="19" t="n"/>
    </row>
    <row r="553" customFormat="1" s="87">
      <c r="A553" s="16" t="n"/>
      <c r="C553" s="19" t="n"/>
      <c r="D553" s="19" t="n"/>
    </row>
    <row r="554" customFormat="1" s="87">
      <c r="A554" s="16" t="n"/>
      <c r="C554" s="19" t="n"/>
      <c r="D554" s="19" t="n"/>
    </row>
    <row r="555" customFormat="1" s="87">
      <c r="A555" s="16" t="n"/>
      <c r="C555" s="19" t="n"/>
      <c r="D555" s="19" t="n"/>
    </row>
    <row r="556" customFormat="1" s="87">
      <c r="A556" s="16" t="n"/>
      <c r="C556" s="19" t="n"/>
      <c r="D556" s="19" t="n"/>
    </row>
    <row r="557" customFormat="1" s="87">
      <c r="A557" s="16" t="n"/>
      <c r="C557" s="19" t="n"/>
      <c r="D557" s="19" t="n"/>
    </row>
    <row r="558" customFormat="1" s="87">
      <c r="A558" s="16" t="n"/>
      <c r="C558" s="19" t="n"/>
      <c r="D558" s="19" t="n"/>
    </row>
    <row r="559" customFormat="1" s="87">
      <c r="A559" s="16" t="n"/>
      <c r="C559" s="19" t="n"/>
      <c r="D559" s="19" t="n"/>
    </row>
    <row r="560" customFormat="1" s="87">
      <c r="A560" s="16" t="n"/>
      <c r="C560" s="19" t="n"/>
      <c r="D560" s="19" t="n"/>
    </row>
    <row r="561" customFormat="1" s="87">
      <c r="A561" s="16" t="n"/>
      <c r="C561" s="19" t="n"/>
      <c r="D561" s="19" t="n"/>
    </row>
    <row r="562" customFormat="1" s="87">
      <c r="A562" s="16" t="n"/>
      <c r="C562" s="19" t="n"/>
      <c r="D562" s="19" t="n"/>
    </row>
    <row r="563" customFormat="1" s="87">
      <c r="A563" s="16" t="n"/>
      <c r="C563" s="19" t="n"/>
      <c r="D563" s="19" t="n"/>
    </row>
    <row r="564" customFormat="1" s="87">
      <c r="A564" s="16" t="n"/>
      <c r="C564" s="19" t="n"/>
      <c r="D564" s="19" t="n"/>
    </row>
    <row r="565" customFormat="1" s="87">
      <c r="A565" s="16" t="n"/>
      <c r="C565" s="19" t="n"/>
      <c r="D565" s="19" t="n"/>
    </row>
    <row r="566" customFormat="1" s="87">
      <c r="A566" s="16" t="n"/>
      <c r="C566" s="19" t="n"/>
      <c r="D566" s="19" t="n"/>
    </row>
    <row r="567" customFormat="1" s="87">
      <c r="A567" s="16" t="n"/>
      <c r="C567" s="19" t="n"/>
      <c r="D567" s="19" t="n"/>
    </row>
    <row r="568" customFormat="1" s="87">
      <c r="A568" s="16" t="n"/>
      <c r="C568" s="19" t="n"/>
      <c r="D568" s="19" t="n"/>
    </row>
    <row r="569" customFormat="1" s="87">
      <c r="A569" s="16" t="n"/>
      <c r="C569" s="19" t="n"/>
      <c r="D569" s="19" t="n"/>
    </row>
    <row r="570" customFormat="1" s="87">
      <c r="A570" s="16" t="n"/>
      <c r="C570" s="19" t="n"/>
      <c r="D570" s="19" t="n"/>
    </row>
    <row r="571" customFormat="1" s="87">
      <c r="A571" s="16" t="n"/>
      <c r="C571" s="19" t="n"/>
      <c r="D571" s="19" t="n"/>
    </row>
    <row r="572" customFormat="1" s="87">
      <c r="A572" s="16" t="n"/>
      <c r="C572" s="19" t="n"/>
      <c r="D572" s="19" t="n"/>
    </row>
    <row r="573" customFormat="1" s="87">
      <c r="A573" s="16" t="n"/>
      <c r="C573" s="19" t="n"/>
      <c r="D573" s="19" t="n"/>
    </row>
    <row r="574" customFormat="1" s="87">
      <c r="A574" s="16" t="n"/>
      <c r="C574" s="19" t="n"/>
      <c r="D574" s="19" t="n"/>
    </row>
    <row r="575" customFormat="1" s="87">
      <c r="A575" s="16" t="n"/>
      <c r="C575" s="19" t="n"/>
      <c r="D575" s="19" t="n"/>
    </row>
    <row r="576" customFormat="1" s="87">
      <c r="A576" s="16" t="n"/>
      <c r="C576" s="19" t="n"/>
      <c r="D576" s="19" t="n"/>
    </row>
    <row r="577" customFormat="1" s="87">
      <c r="A577" s="16" t="n"/>
      <c r="C577" s="19" t="n"/>
      <c r="D577" s="19" t="n"/>
    </row>
    <row r="578" customFormat="1" s="87">
      <c r="A578" s="16" t="n"/>
      <c r="C578" s="19" t="n"/>
      <c r="D578" s="19" t="n"/>
    </row>
    <row r="579" customFormat="1" s="87">
      <c r="A579" s="16" t="n"/>
      <c r="C579" s="19" t="n"/>
      <c r="D579" s="19" t="n"/>
    </row>
    <row r="580" customFormat="1" s="87">
      <c r="A580" s="16" t="n"/>
      <c r="C580" s="19" t="n"/>
      <c r="D580" s="19" t="n"/>
    </row>
    <row r="581" customFormat="1" s="87">
      <c r="A581" s="16" t="n"/>
      <c r="C581" s="19" t="n"/>
      <c r="D581" s="19" t="n"/>
    </row>
    <row r="582" customFormat="1" s="87">
      <c r="A582" s="16" t="n"/>
      <c r="C582" s="19" t="n"/>
      <c r="D582" s="19" t="n"/>
    </row>
    <row r="583" customFormat="1" s="87">
      <c r="A583" s="16" t="n"/>
      <c r="C583" s="19" t="n"/>
      <c r="D583" s="19" t="n"/>
    </row>
    <row r="584" customFormat="1" s="87">
      <c r="A584" s="16" t="n"/>
      <c r="C584" s="19" t="n"/>
      <c r="D584" s="19" t="n"/>
    </row>
    <row r="585" customFormat="1" s="87">
      <c r="A585" s="16" t="n"/>
      <c r="C585" s="19" t="n"/>
      <c r="D585" s="19" t="n"/>
    </row>
    <row r="586" customFormat="1" s="87">
      <c r="A586" s="16" t="n"/>
      <c r="C586" s="19" t="n"/>
      <c r="D586" s="19" t="n"/>
    </row>
    <row r="587" customFormat="1" s="87">
      <c r="A587" s="16" t="n"/>
      <c r="C587" s="19" t="n"/>
      <c r="D587" s="19" t="n"/>
    </row>
    <row r="588" customFormat="1" s="87">
      <c r="A588" s="16" t="n"/>
      <c r="C588" s="19" t="n"/>
      <c r="D588" s="19" t="n"/>
    </row>
    <row r="589" customFormat="1" s="87">
      <c r="A589" s="16" t="n"/>
      <c r="C589" s="19" t="n"/>
      <c r="D589" s="19" t="n"/>
    </row>
    <row r="590" customFormat="1" s="87">
      <c r="A590" s="16" t="n"/>
      <c r="C590" s="19" t="n"/>
      <c r="D590" s="19" t="n"/>
    </row>
    <row r="591" customFormat="1" s="87">
      <c r="A591" s="16" t="n"/>
      <c r="C591" s="19" t="n"/>
      <c r="D591" s="19" t="n"/>
    </row>
    <row r="592" customFormat="1" s="87">
      <c r="A592" s="16" t="n"/>
      <c r="C592" s="19" t="n"/>
      <c r="D592" s="19" t="n"/>
    </row>
    <row r="593" customFormat="1" s="87">
      <c r="A593" s="16" t="n"/>
      <c r="C593" s="19" t="n"/>
      <c r="D593" s="19" t="n"/>
    </row>
    <row r="594" customFormat="1" s="87">
      <c r="A594" s="16" t="n"/>
      <c r="C594" s="19" t="n"/>
      <c r="D594" s="19" t="n"/>
    </row>
    <row r="595" customFormat="1" s="87">
      <c r="A595" s="16" t="n"/>
      <c r="C595" s="19" t="n"/>
      <c r="D595" s="19" t="n"/>
    </row>
    <row r="596" customFormat="1" s="87">
      <c r="A596" s="16" t="n"/>
      <c r="C596" s="19" t="n"/>
      <c r="D596" s="19" t="n"/>
    </row>
    <row r="597" customFormat="1" s="87">
      <c r="A597" s="16" t="n"/>
      <c r="C597" s="19" t="n"/>
      <c r="D597" s="19" t="n"/>
    </row>
    <row r="598" customFormat="1" s="87">
      <c r="A598" s="16" t="n"/>
      <c r="C598" s="19" t="n"/>
      <c r="D598" s="19" t="n"/>
    </row>
    <row r="599" customFormat="1" s="87">
      <c r="A599" s="16" t="n"/>
      <c r="C599" s="19" t="n"/>
      <c r="D599" s="19" t="n"/>
    </row>
    <row r="600" customFormat="1" s="87">
      <c r="A600" s="16" t="n"/>
      <c r="C600" s="19" t="n"/>
      <c r="D600" s="19" t="n"/>
    </row>
    <row r="601" customFormat="1" s="87">
      <c r="A601" s="16" t="n"/>
      <c r="C601" s="19" t="n"/>
      <c r="D601" s="19" t="n"/>
    </row>
    <row r="602" customFormat="1" s="87">
      <c r="A602" s="16" t="n"/>
      <c r="C602" s="19" t="n"/>
      <c r="D602" s="19" t="n"/>
    </row>
    <row r="603" customFormat="1" s="87">
      <c r="A603" s="16" t="n"/>
      <c r="C603" s="19" t="n"/>
      <c r="D603" s="19" t="n"/>
    </row>
    <row r="604" customFormat="1" s="87">
      <c r="A604" s="16" t="n"/>
      <c r="C604" s="19" t="n"/>
      <c r="D604" s="19" t="n"/>
    </row>
    <row r="605" customFormat="1" s="87">
      <c r="A605" s="16" t="n"/>
      <c r="C605" s="19" t="n"/>
      <c r="D605" s="19" t="n"/>
    </row>
    <row r="606" customFormat="1" s="87">
      <c r="A606" s="16" t="n"/>
      <c r="C606" s="19" t="n"/>
      <c r="D606" s="19" t="n"/>
    </row>
    <row r="607" customFormat="1" s="87">
      <c r="A607" s="16" t="n"/>
      <c r="C607" s="19" t="n"/>
      <c r="D607" s="19" t="n"/>
    </row>
    <row r="608" customFormat="1" s="87">
      <c r="A608" s="16" t="n"/>
      <c r="C608" s="19" t="n"/>
      <c r="D608" s="19" t="n"/>
    </row>
    <row r="609" customFormat="1" s="87">
      <c r="A609" s="16" t="n"/>
      <c r="C609" s="19" t="n"/>
      <c r="D609" s="19" t="n"/>
    </row>
    <row r="610" customFormat="1" s="87">
      <c r="A610" s="16" t="n"/>
      <c r="C610" s="19" t="n"/>
      <c r="D610" s="19" t="n"/>
    </row>
    <row r="611" customFormat="1" s="87">
      <c r="A611" s="16" t="n"/>
      <c r="C611" s="19" t="n"/>
      <c r="D611" s="19" t="n"/>
    </row>
    <row r="612" customFormat="1" s="87">
      <c r="A612" s="16" t="n"/>
      <c r="C612" s="19" t="n"/>
      <c r="D612" s="19" t="n"/>
    </row>
    <row r="613" customFormat="1" s="87">
      <c r="A613" s="16" t="n"/>
      <c r="C613" s="19" t="n"/>
      <c r="D613" s="19" t="n"/>
    </row>
    <row r="614" customFormat="1" s="87">
      <c r="A614" s="16" t="n"/>
      <c r="C614" s="19" t="n"/>
      <c r="D614" s="19" t="n"/>
    </row>
    <row r="615" customFormat="1" s="87">
      <c r="A615" s="16" t="n"/>
      <c r="C615" s="19" t="n"/>
      <c r="D615" s="19" t="n"/>
    </row>
    <row r="616" customFormat="1" s="87">
      <c r="A616" s="16" t="n"/>
      <c r="C616" s="19" t="n"/>
      <c r="D616" s="19" t="n"/>
    </row>
    <row r="617" customFormat="1" s="87">
      <c r="A617" s="16" t="n"/>
      <c r="C617" s="19" t="n"/>
      <c r="D617" s="19" t="n"/>
    </row>
    <row r="618" customFormat="1" s="87">
      <c r="A618" s="16" t="n"/>
      <c r="C618" s="19" t="n"/>
      <c r="D618" s="19" t="n"/>
    </row>
    <row r="619" customFormat="1" s="87">
      <c r="A619" s="16" t="n"/>
      <c r="C619" s="19" t="n"/>
      <c r="D619" s="19" t="n"/>
    </row>
    <row r="620" customFormat="1" s="87">
      <c r="A620" s="16" t="n"/>
      <c r="C620" s="19" t="n"/>
      <c r="D620" s="19" t="n"/>
    </row>
    <row r="621" customFormat="1" s="87">
      <c r="A621" s="16" t="n"/>
      <c r="C621" s="19" t="n"/>
      <c r="D621" s="19" t="n"/>
    </row>
    <row r="622" customFormat="1" s="87">
      <c r="A622" s="16" t="n"/>
      <c r="C622" s="19" t="n"/>
      <c r="D622" s="19" t="n"/>
    </row>
    <row r="623" customFormat="1" s="87">
      <c r="A623" s="16" t="n"/>
      <c r="C623" s="19" t="n"/>
      <c r="D623" s="19" t="n"/>
    </row>
    <row r="624" customFormat="1" s="87">
      <c r="A624" s="16" t="n"/>
      <c r="C624" s="19" t="n"/>
      <c r="D624" s="19" t="n"/>
    </row>
    <row r="625" customFormat="1" s="87">
      <c r="A625" s="16" t="n"/>
      <c r="C625" s="19" t="n"/>
      <c r="D625" s="19" t="n"/>
    </row>
    <row r="626" customFormat="1" s="87">
      <c r="A626" s="16" t="n"/>
      <c r="C626" s="19" t="n"/>
      <c r="D626" s="19" t="n"/>
    </row>
    <row r="627" customFormat="1" s="87">
      <c r="A627" s="16" t="n"/>
      <c r="C627" s="19" t="n"/>
      <c r="D627" s="19" t="n"/>
    </row>
    <row r="628" customFormat="1" s="87">
      <c r="A628" s="16" t="n"/>
      <c r="C628" s="19" t="n"/>
      <c r="D628" s="19" t="n"/>
    </row>
    <row r="629" customFormat="1" s="87">
      <c r="A629" s="16" t="n"/>
      <c r="C629" s="19" t="n"/>
      <c r="D629" s="19" t="n"/>
    </row>
    <row r="630" customFormat="1" s="87">
      <c r="A630" s="16" t="n"/>
      <c r="C630" s="19" t="n"/>
      <c r="D630" s="19" t="n"/>
    </row>
    <row r="631" customFormat="1" s="87">
      <c r="A631" s="16" t="n"/>
      <c r="C631" s="19" t="n"/>
      <c r="D631" s="19" t="n"/>
    </row>
    <row r="632" customFormat="1" s="87">
      <c r="A632" s="16" t="n"/>
      <c r="C632" s="19" t="n"/>
      <c r="D632" s="19" t="n"/>
    </row>
    <row r="633" customFormat="1" s="87">
      <c r="A633" s="16" t="n"/>
      <c r="C633" s="19" t="n"/>
      <c r="D633" s="19" t="n"/>
    </row>
    <row r="634" customFormat="1" s="87">
      <c r="A634" s="16" t="n"/>
      <c r="C634" s="19" t="n"/>
      <c r="D634" s="19" t="n"/>
    </row>
    <row r="635" customFormat="1" s="87">
      <c r="A635" s="16" t="n"/>
      <c r="C635" s="19" t="n"/>
      <c r="D635" s="19" t="n"/>
    </row>
    <row r="636" customFormat="1" s="87">
      <c r="A636" s="16" t="n"/>
      <c r="C636" s="19" t="n"/>
      <c r="D636" s="19" t="n"/>
    </row>
    <row r="637" customFormat="1" s="87">
      <c r="A637" s="16" t="n"/>
      <c r="C637" s="19" t="n"/>
      <c r="D637" s="19" t="n"/>
    </row>
    <row r="638" customFormat="1" s="87">
      <c r="A638" s="16" t="n"/>
      <c r="C638" s="19" t="n"/>
      <c r="D638" s="19" t="n"/>
    </row>
    <row r="639" customFormat="1" s="87">
      <c r="A639" s="16" t="n"/>
      <c r="C639" s="19" t="n"/>
      <c r="D639" s="19" t="n"/>
    </row>
    <row r="640" customFormat="1" s="87">
      <c r="A640" s="16" t="n"/>
      <c r="C640" s="19" t="n"/>
      <c r="D640" s="19" t="n"/>
    </row>
    <row r="641" customFormat="1" s="87">
      <c r="A641" s="16" t="n"/>
      <c r="C641" s="19" t="n"/>
      <c r="D641" s="19" t="n"/>
    </row>
    <row r="642" customFormat="1" s="87">
      <c r="A642" s="16" t="n"/>
      <c r="C642" s="19" t="n"/>
      <c r="D642" s="19" t="n"/>
    </row>
    <row r="643" customFormat="1" s="87">
      <c r="A643" s="16" t="n"/>
      <c r="C643" s="19" t="n"/>
      <c r="D643" s="19" t="n"/>
    </row>
    <row r="644" customFormat="1" s="87">
      <c r="A644" s="16" t="n"/>
      <c r="C644" s="19" t="n"/>
      <c r="D644" s="19" t="n"/>
    </row>
    <row r="645" customFormat="1" s="87">
      <c r="A645" s="16" t="n"/>
      <c r="C645" s="19" t="n"/>
      <c r="D645" s="19" t="n"/>
    </row>
    <row r="646" customFormat="1" s="87">
      <c r="A646" s="16" t="n"/>
      <c r="C646" s="19" t="n"/>
      <c r="D646" s="19" t="n"/>
    </row>
    <row r="647" customFormat="1" s="87">
      <c r="A647" s="16" t="n"/>
      <c r="C647" s="19" t="n"/>
      <c r="D647" s="19" t="n"/>
    </row>
    <row r="648" customFormat="1" s="87">
      <c r="A648" s="16" t="n"/>
      <c r="C648" s="19" t="n"/>
      <c r="D648" s="19" t="n"/>
    </row>
    <row r="649" customFormat="1" s="87">
      <c r="A649" s="16" t="n"/>
      <c r="C649" s="19" t="n"/>
      <c r="D649" s="19" t="n"/>
    </row>
    <row r="650" customFormat="1" s="87">
      <c r="A650" s="16" t="n"/>
      <c r="C650" s="19" t="n"/>
      <c r="D650" s="19" t="n"/>
    </row>
    <row r="651" customFormat="1" s="87">
      <c r="A651" s="16" t="n"/>
      <c r="C651" s="19" t="n"/>
      <c r="D651" s="19" t="n"/>
    </row>
    <row r="652" customFormat="1" s="87">
      <c r="A652" s="16" t="n"/>
      <c r="C652" s="19" t="n"/>
      <c r="D652" s="19" t="n"/>
    </row>
    <row r="653" customFormat="1" s="87">
      <c r="A653" s="16" t="n"/>
      <c r="C653" s="19" t="n"/>
      <c r="D653" s="19" t="n"/>
    </row>
    <row r="654" customFormat="1" s="87">
      <c r="A654" s="16" t="n"/>
      <c r="C654" s="19" t="n"/>
      <c r="D654" s="19" t="n"/>
    </row>
    <row r="655" customFormat="1" s="87">
      <c r="A655" s="16" t="n"/>
      <c r="C655" s="19" t="n"/>
      <c r="D655" s="19" t="n"/>
    </row>
    <row r="656" customFormat="1" s="87">
      <c r="A656" s="16" t="n"/>
      <c r="C656" s="19" t="n"/>
      <c r="D656" s="19" t="n"/>
    </row>
    <row r="657" customFormat="1" s="87">
      <c r="A657" s="16" t="n"/>
      <c r="C657" s="19" t="n"/>
      <c r="D657" s="19" t="n"/>
    </row>
    <row r="658" customFormat="1" s="87">
      <c r="A658" s="16" t="n"/>
      <c r="C658" s="19" t="n"/>
      <c r="D658" s="19" t="n"/>
    </row>
    <row r="659" customFormat="1" s="87">
      <c r="A659" s="16" t="n"/>
      <c r="C659" s="19" t="n"/>
      <c r="D659" s="19" t="n"/>
    </row>
    <row r="660" customFormat="1" s="87">
      <c r="A660" s="16" t="n"/>
      <c r="C660" s="19" t="n"/>
      <c r="D660" s="19" t="n"/>
    </row>
    <row r="661" customFormat="1" s="87">
      <c r="A661" s="16" t="n"/>
      <c r="C661" s="19" t="n"/>
      <c r="D661" s="19" t="n"/>
    </row>
    <row r="662" customFormat="1" s="87">
      <c r="A662" s="16" t="n"/>
      <c r="C662" s="19" t="n"/>
      <c r="D662" s="19" t="n"/>
    </row>
    <row r="663" customFormat="1" s="87">
      <c r="A663" s="16" t="n"/>
      <c r="C663" s="19" t="n"/>
      <c r="D663" s="19" t="n"/>
    </row>
    <row r="664" customFormat="1" s="87">
      <c r="A664" s="16" t="n"/>
      <c r="C664" s="19" t="n"/>
      <c r="D664" s="19" t="n"/>
    </row>
    <row r="665" customFormat="1" s="87">
      <c r="A665" s="16" t="n"/>
      <c r="C665" s="19" t="n"/>
      <c r="D665" s="19" t="n"/>
    </row>
    <row r="666" customFormat="1" s="87">
      <c r="A666" s="16" t="n"/>
      <c r="C666" s="19" t="n"/>
      <c r="D666" s="19" t="n"/>
    </row>
    <row r="667" customFormat="1" s="87">
      <c r="A667" s="16" t="n"/>
      <c r="C667" s="19" t="n"/>
      <c r="D667" s="19" t="n"/>
    </row>
    <row r="668" customFormat="1" s="87">
      <c r="A668" s="16" t="n"/>
      <c r="C668" s="19" t="n"/>
      <c r="D668" s="19" t="n"/>
    </row>
    <row r="669" customFormat="1" s="87">
      <c r="A669" s="16" t="n"/>
      <c r="C669" s="19" t="n"/>
      <c r="D669" s="19" t="n"/>
    </row>
    <row r="670" customFormat="1" s="87">
      <c r="A670" s="16" t="n"/>
      <c r="C670" s="19" t="n"/>
      <c r="D670" s="19" t="n"/>
    </row>
    <row r="671" customFormat="1" s="87">
      <c r="A671" s="16" t="n"/>
      <c r="C671" s="19" t="n"/>
      <c r="D671" s="19" t="n"/>
    </row>
    <row r="672" customFormat="1" s="87">
      <c r="A672" s="16" t="n"/>
      <c r="C672" s="19" t="n"/>
      <c r="D672" s="19" t="n"/>
    </row>
    <row r="673" customFormat="1" s="87">
      <c r="A673" s="16" t="n"/>
      <c r="C673" s="19" t="n"/>
      <c r="D673" s="19" t="n"/>
    </row>
    <row r="674" customFormat="1" s="87">
      <c r="A674" s="16" t="n"/>
      <c r="C674" s="19" t="n"/>
      <c r="D674" s="19" t="n"/>
    </row>
    <row r="675" customFormat="1" s="87">
      <c r="A675" s="16" t="n"/>
      <c r="C675" s="19" t="n"/>
      <c r="D675" s="19" t="n"/>
    </row>
    <row r="676" customFormat="1" s="87">
      <c r="A676" s="16" t="n"/>
      <c r="C676" s="19" t="n"/>
      <c r="D676" s="19" t="n"/>
    </row>
    <row r="677" customFormat="1" s="87">
      <c r="A677" s="16" t="n"/>
      <c r="C677" s="19" t="n"/>
      <c r="D677" s="19" t="n"/>
    </row>
    <row r="678" customFormat="1" s="87">
      <c r="A678" s="16" t="n"/>
      <c r="C678" s="19" t="n"/>
      <c r="D678" s="19" t="n"/>
    </row>
    <row r="679" customFormat="1" s="87">
      <c r="A679" s="16" t="n"/>
      <c r="C679" s="19" t="n"/>
      <c r="D679" s="19" t="n"/>
    </row>
    <row r="680" customFormat="1" s="87">
      <c r="A680" s="16" t="n"/>
      <c r="C680" s="19" t="n"/>
      <c r="D680" s="19" t="n"/>
    </row>
    <row r="681" customFormat="1" s="87">
      <c r="A681" s="16" t="n"/>
      <c r="C681" s="19" t="n"/>
      <c r="D681" s="19" t="n"/>
    </row>
    <row r="682" customFormat="1" s="87">
      <c r="A682" s="16" t="n"/>
      <c r="C682" s="19" t="n"/>
      <c r="D682" s="19" t="n"/>
    </row>
    <row r="683" customFormat="1" s="87">
      <c r="A683" s="16" t="n"/>
      <c r="C683" s="19" t="n"/>
      <c r="D683" s="19" t="n"/>
    </row>
    <row r="684" customFormat="1" s="87">
      <c r="A684" s="16" t="n"/>
      <c r="C684" s="19" t="n"/>
      <c r="D684" s="19" t="n"/>
    </row>
    <row r="685" customFormat="1" s="87">
      <c r="A685" s="16" t="n"/>
      <c r="C685" s="19" t="n"/>
      <c r="D685" s="19" t="n"/>
    </row>
    <row r="686" customFormat="1" s="87">
      <c r="A686" s="16" t="n"/>
      <c r="C686" s="19" t="n"/>
      <c r="D686" s="19" t="n"/>
    </row>
    <row r="687" customFormat="1" s="87">
      <c r="A687" s="16" t="n"/>
      <c r="C687" s="19" t="n"/>
      <c r="D687" s="19" t="n"/>
    </row>
    <row r="688" customFormat="1" s="87">
      <c r="A688" s="16" t="n"/>
      <c r="C688" s="19" t="n"/>
      <c r="D688" s="19" t="n"/>
    </row>
    <row r="689" customFormat="1" s="87">
      <c r="A689" s="16" t="n"/>
      <c r="C689" s="19" t="n"/>
      <c r="D689" s="19" t="n"/>
    </row>
    <row r="690" customFormat="1" s="87">
      <c r="A690" s="16" t="n"/>
      <c r="C690" s="19" t="n"/>
      <c r="D690" s="19" t="n"/>
    </row>
    <row r="691" customFormat="1" s="87">
      <c r="A691" s="16" t="n"/>
      <c r="C691" s="19" t="n"/>
      <c r="D691" s="19" t="n"/>
    </row>
    <row r="692" customFormat="1" s="87">
      <c r="A692" s="16" t="n"/>
      <c r="C692" s="19" t="n"/>
      <c r="D692" s="19" t="n"/>
    </row>
    <row r="693" customFormat="1" s="87">
      <c r="A693" s="16" t="n"/>
      <c r="C693" s="19" t="n"/>
      <c r="D693" s="19" t="n"/>
    </row>
    <row r="694" customFormat="1" s="87">
      <c r="A694" s="16" t="n"/>
      <c r="C694" s="19" t="n"/>
      <c r="D694" s="19" t="n"/>
    </row>
    <row r="695" customFormat="1" s="87">
      <c r="A695" s="16" t="n"/>
      <c r="C695" s="19" t="n"/>
      <c r="D695" s="19" t="n"/>
    </row>
    <row r="696" customFormat="1" s="87">
      <c r="A696" s="16" t="n"/>
      <c r="C696" s="19" t="n"/>
      <c r="D696" s="19" t="n"/>
    </row>
    <row r="697" customFormat="1" s="87">
      <c r="A697" s="16" t="n"/>
      <c r="C697" s="19" t="n"/>
      <c r="D697" s="19" t="n"/>
    </row>
    <row r="698" customFormat="1" s="87">
      <c r="A698" s="16" t="n"/>
      <c r="C698" s="19" t="n"/>
      <c r="D698" s="19" t="n"/>
    </row>
    <row r="699" customFormat="1" s="87">
      <c r="A699" s="16" t="n"/>
      <c r="C699" s="19" t="n"/>
      <c r="D699" s="19" t="n"/>
    </row>
    <row r="700" customFormat="1" s="87">
      <c r="A700" s="16" t="n"/>
      <c r="C700" s="19" t="n"/>
      <c r="D700" s="19" t="n"/>
    </row>
    <row r="701" customFormat="1" s="87">
      <c r="A701" s="16" t="n"/>
      <c r="C701" s="19" t="n"/>
      <c r="D701" s="19" t="n"/>
    </row>
    <row r="702" customFormat="1" s="87">
      <c r="A702" s="16" t="n"/>
      <c r="C702" s="19" t="n"/>
      <c r="D702" s="19" t="n"/>
    </row>
    <row r="703" customFormat="1" s="87">
      <c r="A703" s="16" t="n"/>
      <c r="C703" s="19" t="n"/>
      <c r="D703" s="19" t="n"/>
    </row>
    <row r="704" customFormat="1" s="87">
      <c r="A704" s="16" t="n"/>
      <c r="C704" s="19" t="n"/>
      <c r="D704" s="19" t="n"/>
    </row>
    <row r="705" customFormat="1" s="87">
      <c r="A705" s="16" t="n"/>
      <c r="C705" s="19" t="n"/>
      <c r="D705" s="19" t="n"/>
    </row>
    <row r="706" customFormat="1" s="87">
      <c r="A706" s="16" t="n"/>
      <c r="C706" s="19" t="n"/>
      <c r="D706" s="19" t="n"/>
    </row>
    <row r="707" customFormat="1" s="87">
      <c r="A707" s="16" t="n"/>
      <c r="C707" s="19" t="n"/>
      <c r="D707" s="19" t="n"/>
    </row>
    <row r="708" customFormat="1" s="87">
      <c r="A708" s="16" t="n"/>
      <c r="C708" s="19" t="n"/>
      <c r="D708" s="19" t="n"/>
    </row>
    <row r="709" customFormat="1" s="87">
      <c r="A709" s="16" t="n"/>
      <c r="C709" s="19" t="n"/>
      <c r="D709" s="19" t="n"/>
    </row>
    <row r="710" customFormat="1" s="87">
      <c r="A710" s="16" t="n"/>
      <c r="C710" s="19" t="n"/>
      <c r="D710" s="19" t="n"/>
    </row>
    <row r="711" customFormat="1" s="87">
      <c r="A711" s="16" t="n"/>
      <c r="C711" s="19" t="n"/>
      <c r="D711" s="19" t="n"/>
    </row>
    <row r="712" customFormat="1" s="87">
      <c r="A712" s="16" t="n"/>
      <c r="C712" s="19" t="n"/>
      <c r="D712" s="19" t="n"/>
    </row>
    <row r="713" customFormat="1" s="87">
      <c r="A713" s="16" t="n"/>
      <c r="C713" s="19" t="n"/>
      <c r="D713" s="19" t="n"/>
    </row>
    <row r="714" customFormat="1" s="87">
      <c r="A714" s="16" t="n"/>
      <c r="C714" s="19" t="n"/>
      <c r="D714" s="19" t="n"/>
    </row>
    <row r="715" customFormat="1" s="87">
      <c r="A715" s="16" t="n"/>
      <c r="C715" s="19" t="n"/>
      <c r="D715" s="19" t="n"/>
    </row>
    <row r="716" customFormat="1" s="87">
      <c r="A716" s="16" t="n"/>
      <c r="C716" s="19" t="n"/>
      <c r="D716" s="19" t="n"/>
    </row>
    <row r="717" customFormat="1" s="87">
      <c r="A717" s="16" t="n"/>
      <c r="C717" s="19" t="n"/>
      <c r="D717" s="19" t="n"/>
    </row>
    <row r="718" customFormat="1" s="87">
      <c r="A718" s="16" t="n"/>
      <c r="C718" s="19" t="n"/>
      <c r="D718" s="19" t="n"/>
    </row>
    <row r="719" customFormat="1" s="87">
      <c r="A719" s="16" t="n"/>
      <c r="C719" s="19" t="n"/>
      <c r="D719" s="19" t="n"/>
    </row>
    <row r="720" customFormat="1" s="87">
      <c r="A720" s="16" t="n"/>
      <c r="C720" s="19" t="n"/>
      <c r="D720" s="19" t="n"/>
    </row>
    <row r="721" customFormat="1" s="87">
      <c r="A721" s="16" t="n"/>
      <c r="C721" s="19" t="n"/>
      <c r="D721" s="19" t="n"/>
    </row>
    <row r="722" customFormat="1" s="87">
      <c r="A722" s="16" t="n"/>
      <c r="C722" s="19" t="n"/>
      <c r="D722" s="19" t="n"/>
    </row>
    <row r="723" customFormat="1" s="87">
      <c r="A723" s="16" t="n"/>
      <c r="C723" s="19" t="n"/>
      <c r="D723" s="19" t="n"/>
    </row>
    <row r="724" customFormat="1" s="87">
      <c r="A724" s="16" t="n"/>
      <c r="C724" s="19" t="n"/>
      <c r="D724" s="19" t="n"/>
    </row>
    <row r="725" customFormat="1" s="87">
      <c r="A725" s="16" t="n"/>
      <c r="C725" s="19" t="n"/>
      <c r="D725" s="19" t="n"/>
    </row>
    <row r="726" customFormat="1" s="87">
      <c r="A726" s="16" t="n"/>
      <c r="C726" s="19" t="n"/>
      <c r="D726" s="19" t="n"/>
    </row>
    <row r="727" customFormat="1" s="87">
      <c r="A727" s="16" t="n"/>
      <c r="C727" s="19" t="n"/>
      <c r="D727" s="19" t="n"/>
    </row>
    <row r="728" customFormat="1" s="87">
      <c r="A728" s="16" t="n"/>
      <c r="C728" s="19" t="n"/>
      <c r="D728" s="19" t="n"/>
    </row>
    <row r="729" customFormat="1" s="87">
      <c r="A729" s="16" t="n"/>
      <c r="C729" s="19" t="n"/>
      <c r="D729" s="19" t="n"/>
    </row>
    <row r="730" customFormat="1" s="87">
      <c r="A730" s="16" t="n"/>
      <c r="C730" s="19" t="n"/>
      <c r="D730" s="19" t="n"/>
    </row>
    <row r="731" customFormat="1" s="87">
      <c r="A731" s="16" t="n"/>
      <c r="C731" s="19" t="n"/>
      <c r="D731" s="19" t="n"/>
    </row>
    <row r="732" customFormat="1" s="87">
      <c r="A732" s="16" t="n"/>
      <c r="C732" s="19" t="n"/>
      <c r="D732" s="19" t="n"/>
    </row>
    <row r="733" customFormat="1" s="87">
      <c r="A733" s="16" t="n"/>
      <c r="C733" s="19" t="n"/>
      <c r="D733" s="19" t="n"/>
    </row>
    <row r="734" customFormat="1" s="87">
      <c r="A734" s="16" t="n"/>
      <c r="C734" s="19" t="n"/>
      <c r="D734" s="19" t="n"/>
    </row>
    <row r="735" customFormat="1" s="87">
      <c r="A735" s="16" t="n"/>
      <c r="C735" s="19" t="n"/>
      <c r="D735" s="19" t="n"/>
    </row>
    <row r="736" customFormat="1" s="87">
      <c r="A736" s="16" t="n"/>
      <c r="C736" s="19" t="n"/>
      <c r="D736" s="19" t="n"/>
    </row>
    <row r="737" customFormat="1" s="87">
      <c r="A737" s="16" t="n"/>
      <c r="C737" s="19" t="n"/>
      <c r="D737" s="19" t="n"/>
    </row>
    <row r="738" customFormat="1" s="87">
      <c r="A738" s="16" t="n"/>
      <c r="C738" s="19" t="n"/>
      <c r="D738" s="19" t="n"/>
    </row>
    <row r="739" customFormat="1" s="87">
      <c r="A739" s="16" t="n"/>
      <c r="C739" s="19" t="n"/>
      <c r="D739" s="19" t="n"/>
    </row>
    <row r="740" customFormat="1" s="87">
      <c r="A740" s="16" t="n"/>
      <c r="C740" s="19" t="n"/>
      <c r="D740" s="19" t="n"/>
    </row>
    <row r="741" customFormat="1" s="87">
      <c r="A741" s="16" t="n"/>
      <c r="C741" s="19" t="n"/>
      <c r="D741" s="19" t="n"/>
    </row>
    <row r="742" customFormat="1" s="87">
      <c r="A742" s="16" t="n"/>
      <c r="C742" s="19" t="n"/>
      <c r="D742" s="19" t="n"/>
    </row>
    <row r="743" customFormat="1" s="87">
      <c r="A743" s="16" t="n"/>
      <c r="C743" s="19" t="n"/>
      <c r="D743" s="19" t="n"/>
    </row>
    <row r="744" customFormat="1" s="87">
      <c r="A744" s="16" t="n"/>
      <c r="C744" s="19" t="n"/>
      <c r="D744" s="19" t="n"/>
    </row>
    <row r="745" customFormat="1" s="87">
      <c r="A745" s="16" t="n"/>
      <c r="C745" s="19" t="n"/>
      <c r="D745" s="19" t="n"/>
    </row>
    <row r="746" customFormat="1" s="87">
      <c r="A746" s="16" t="n"/>
      <c r="C746" s="19" t="n"/>
      <c r="D746" s="19" t="n"/>
    </row>
    <row r="747" customFormat="1" s="87">
      <c r="A747" s="16" t="n"/>
      <c r="C747" s="19" t="n"/>
      <c r="D747" s="19" t="n"/>
    </row>
    <row r="748" customFormat="1" s="87">
      <c r="A748" s="16" t="n"/>
      <c r="C748" s="19" t="n"/>
      <c r="D748" s="19" t="n"/>
    </row>
    <row r="749" customFormat="1" s="87">
      <c r="A749" s="16" t="n"/>
      <c r="C749" s="19" t="n"/>
      <c r="D749" s="19" t="n"/>
    </row>
    <row r="750" customFormat="1" s="87">
      <c r="A750" s="16" t="n"/>
      <c r="C750" s="19" t="n"/>
      <c r="D750" s="19" t="n"/>
    </row>
    <row r="751" customFormat="1" s="87">
      <c r="A751" s="16" t="n"/>
      <c r="C751" s="19" t="n"/>
      <c r="D751" s="19" t="n"/>
    </row>
    <row r="752" customFormat="1" s="87">
      <c r="A752" s="16" t="n"/>
      <c r="C752" s="19" t="n"/>
      <c r="D752" s="19" t="n"/>
    </row>
    <row r="753" customFormat="1" s="87">
      <c r="A753" s="16" t="n"/>
      <c r="C753" s="19" t="n"/>
      <c r="D753" s="19" t="n"/>
    </row>
    <row r="754" customFormat="1" s="87">
      <c r="A754" s="16" t="n"/>
      <c r="C754" s="19" t="n"/>
      <c r="D754" s="19" t="n"/>
    </row>
    <row r="755" customFormat="1" s="87">
      <c r="A755" s="16" t="n"/>
      <c r="C755" s="19" t="n"/>
      <c r="D755" s="19" t="n"/>
    </row>
    <row r="756" customFormat="1" s="87">
      <c r="A756" s="16" t="n"/>
      <c r="C756" s="19" t="n"/>
      <c r="D756" s="19" t="n"/>
    </row>
    <row r="757" customFormat="1" s="87">
      <c r="A757" s="16" t="n"/>
      <c r="C757" s="19" t="n"/>
      <c r="D757" s="19" t="n"/>
    </row>
    <row r="758" customFormat="1" s="87">
      <c r="A758" s="16" t="n"/>
      <c r="C758" s="19" t="n"/>
      <c r="D758" s="19" t="n"/>
    </row>
    <row r="759" customFormat="1" s="87">
      <c r="A759" s="16" t="n"/>
      <c r="C759" s="19" t="n"/>
      <c r="D759" s="19" t="n"/>
    </row>
    <row r="760" customFormat="1" s="87">
      <c r="A760" s="16" t="n"/>
      <c r="C760" s="19" t="n"/>
      <c r="D760" s="19" t="n"/>
    </row>
    <row r="761" customFormat="1" s="87">
      <c r="A761" s="16" t="n"/>
      <c r="C761" s="19" t="n"/>
      <c r="D761" s="19" t="n"/>
    </row>
    <row r="762" customFormat="1" s="87">
      <c r="A762" s="16" t="n"/>
      <c r="C762" s="19" t="n"/>
      <c r="D762" s="19" t="n"/>
    </row>
    <row r="763" customFormat="1" s="87">
      <c r="A763" s="16" t="n"/>
      <c r="C763" s="19" t="n"/>
      <c r="D763" s="19" t="n"/>
    </row>
    <row r="764" customFormat="1" s="87">
      <c r="A764" s="16" t="n"/>
      <c r="C764" s="19" t="n"/>
      <c r="D764" s="19" t="n"/>
    </row>
    <row r="765" customFormat="1" s="87">
      <c r="A765" s="16" t="n"/>
      <c r="C765" s="19" t="n"/>
      <c r="D765" s="19" t="n"/>
    </row>
    <row r="766" customFormat="1" s="87">
      <c r="A766" s="16" t="n"/>
      <c r="C766" s="19" t="n"/>
      <c r="D766" s="19" t="n"/>
    </row>
    <row r="767" customFormat="1" s="87">
      <c r="A767" s="16" t="n"/>
      <c r="C767" s="19" t="n"/>
      <c r="D767" s="19" t="n"/>
    </row>
    <row r="768" customFormat="1" s="87">
      <c r="A768" s="16" t="n"/>
      <c r="C768" s="19" t="n"/>
      <c r="D768" s="19" t="n"/>
    </row>
    <row r="769" customFormat="1" s="87">
      <c r="A769" s="16" t="n"/>
      <c r="C769" s="19" t="n"/>
      <c r="D769" s="19" t="n"/>
    </row>
    <row r="770" customFormat="1" s="87">
      <c r="A770" s="16" t="n"/>
      <c r="C770" s="19" t="n"/>
      <c r="D770" s="19" t="n"/>
    </row>
    <row r="771" customFormat="1" s="87">
      <c r="A771" s="16" t="n"/>
      <c r="C771" s="19" t="n"/>
      <c r="D771" s="19" t="n"/>
    </row>
    <row r="772" customFormat="1" s="87">
      <c r="A772" s="16" t="n"/>
      <c r="C772" s="19" t="n"/>
      <c r="D772" s="19" t="n"/>
    </row>
    <row r="773" customFormat="1" s="87">
      <c r="A773" s="16" t="n"/>
      <c r="C773" s="19" t="n"/>
      <c r="D773" s="19" t="n"/>
    </row>
    <row r="774" customFormat="1" s="87">
      <c r="A774" s="16" t="n"/>
      <c r="C774" s="19" t="n"/>
      <c r="D774" s="19" t="n"/>
    </row>
    <row r="775" customFormat="1" s="87">
      <c r="A775" s="16" t="n"/>
      <c r="C775" s="19" t="n"/>
      <c r="D775" s="19" t="n"/>
    </row>
    <row r="776" customFormat="1" s="87">
      <c r="A776" s="16" t="n"/>
      <c r="C776" s="19" t="n"/>
      <c r="D776" s="19" t="n"/>
    </row>
    <row r="777" customFormat="1" s="87">
      <c r="A777" s="16" t="n"/>
      <c r="C777" s="19" t="n"/>
      <c r="D777" s="19" t="n"/>
    </row>
    <row r="778" customFormat="1" s="87">
      <c r="A778" s="16" t="n"/>
      <c r="C778" s="19" t="n"/>
      <c r="D778" s="19" t="n"/>
    </row>
    <row r="779" customFormat="1" s="87">
      <c r="A779" s="16" t="n"/>
      <c r="C779" s="19" t="n"/>
      <c r="D779" s="19" t="n"/>
    </row>
    <row r="780" customFormat="1" s="87">
      <c r="A780" s="16" t="n"/>
      <c r="C780" s="19" t="n"/>
      <c r="D780" s="19" t="n"/>
    </row>
    <row r="781" customFormat="1" s="87">
      <c r="A781" s="16" t="n"/>
      <c r="C781" s="19" t="n"/>
      <c r="D781" s="19" t="n"/>
    </row>
    <row r="782" customFormat="1" s="87">
      <c r="A782" s="16" t="n"/>
      <c r="C782" s="19" t="n"/>
      <c r="D782" s="19" t="n"/>
    </row>
    <row r="783" customFormat="1" s="87">
      <c r="A783" s="16" t="n"/>
      <c r="C783" s="19" t="n"/>
      <c r="D783" s="19" t="n"/>
    </row>
    <row r="784" customFormat="1" s="87">
      <c r="A784" s="16" t="n"/>
      <c r="C784" s="19" t="n"/>
      <c r="D784" s="19" t="n"/>
    </row>
    <row r="785" customFormat="1" s="87">
      <c r="A785" s="16" t="n"/>
      <c r="C785" s="19" t="n"/>
      <c r="D785" s="19" t="n"/>
    </row>
    <row r="786" customFormat="1" s="87">
      <c r="A786" s="16" t="n"/>
      <c r="C786" s="19" t="n"/>
      <c r="D786" s="19" t="n"/>
    </row>
    <row r="787" customFormat="1" s="87">
      <c r="A787" s="16" t="n"/>
      <c r="C787" s="19" t="n"/>
      <c r="D787" s="19" t="n"/>
    </row>
    <row r="788" customFormat="1" s="87">
      <c r="A788" s="16" t="n"/>
      <c r="C788" s="19" t="n"/>
      <c r="D788" s="19" t="n"/>
    </row>
    <row r="789" customFormat="1" s="87">
      <c r="A789" s="16" t="n"/>
      <c r="C789" s="19" t="n"/>
      <c r="D789" s="19" t="n"/>
    </row>
    <row r="790" customFormat="1" s="87">
      <c r="A790" s="16" t="n"/>
      <c r="C790" s="19" t="n"/>
      <c r="D790" s="19" t="n"/>
    </row>
    <row r="791" customFormat="1" s="87">
      <c r="A791" s="16" t="n"/>
      <c r="C791" s="19" t="n"/>
      <c r="D791" s="19" t="n"/>
    </row>
    <row r="792" customFormat="1" s="87">
      <c r="A792" s="16" t="n"/>
      <c r="C792" s="19" t="n"/>
      <c r="D792" s="19" t="n"/>
    </row>
    <row r="793" customFormat="1" s="87">
      <c r="A793" s="16" t="n"/>
      <c r="C793" s="19" t="n"/>
      <c r="D793" s="19" t="n"/>
    </row>
    <row r="794" customFormat="1" s="87">
      <c r="A794" s="16" t="n"/>
      <c r="C794" s="19" t="n"/>
      <c r="D794" s="19" t="n"/>
    </row>
    <row r="795" customFormat="1" s="87">
      <c r="A795" s="16" t="n"/>
      <c r="C795" s="19" t="n"/>
      <c r="D795" s="19" t="n"/>
    </row>
    <row r="796" customFormat="1" s="87">
      <c r="A796" s="16" t="n"/>
      <c r="C796" s="19" t="n"/>
      <c r="D796" s="19" t="n"/>
    </row>
    <row r="797" customFormat="1" s="87">
      <c r="A797" s="16" t="n"/>
      <c r="C797" s="19" t="n"/>
      <c r="D797" s="19" t="n"/>
    </row>
    <row r="798" customFormat="1" s="87">
      <c r="A798" s="16" t="n"/>
      <c r="C798" s="19" t="n"/>
      <c r="D798" s="19" t="n"/>
    </row>
    <row r="799" customFormat="1" s="87">
      <c r="A799" s="16" t="n"/>
      <c r="C799" s="19" t="n"/>
      <c r="D799" s="19" t="n"/>
    </row>
    <row r="800" customFormat="1" s="87">
      <c r="A800" s="16" t="n"/>
      <c r="C800" s="19" t="n"/>
      <c r="D800" s="19" t="n"/>
    </row>
    <row r="801" customFormat="1" s="87">
      <c r="A801" s="16" t="n"/>
      <c r="C801" s="19" t="n"/>
      <c r="D801" s="19" t="n"/>
    </row>
    <row r="802" customFormat="1" s="87">
      <c r="A802" s="16" t="n"/>
      <c r="C802" s="19" t="n"/>
      <c r="D802" s="19" t="n"/>
    </row>
    <row r="803" customFormat="1" s="87">
      <c r="A803" s="16" t="n"/>
      <c r="C803" s="19" t="n"/>
      <c r="D803" s="19" t="n"/>
    </row>
    <row r="804" customFormat="1" s="87">
      <c r="A804" s="16" t="n"/>
      <c r="C804" s="19" t="n"/>
      <c r="D804" s="19" t="n"/>
    </row>
    <row r="805" customFormat="1" s="87">
      <c r="A805" s="16" t="n"/>
      <c r="C805" s="19" t="n"/>
      <c r="D805" s="19" t="n"/>
    </row>
    <row r="806" customFormat="1" s="87">
      <c r="A806" s="16" t="n"/>
      <c r="C806" s="19" t="n"/>
      <c r="D806" s="19" t="n"/>
    </row>
    <row r="807" customFormat="1" s="87">
      <c r="A807" s="16" t="n"/>
      <c r="C807" s="19" t="n"/>
      <c r="D807" s="19" t="n"/>
    </row>
    <row r="808" customFormat="1" s="87">
      <c r="A808" s="16" t="n"/>
      <c r="C808" s="19" t="n"/>
      <c r="D808" s="19" t="n"/>
    </row>
    <row r="809" customFormat="1" s="87">
      <c r="A809" s="16" t="n"/>
      <c r="C809" s="19" t="n"/>
      <c r="D809" s="19" t="n"/>
    </row>
    <row r="810" customFormat="1" s="87">
      <c r="A810" s="16" t="n"/>
      <c r="C810" s="19" t="n"/>
      <c r="D810" s="19" t="n"/>
    </row>
    <row r="811" customFormat="1" s="87">
      <c r="A811" s="16" t="n"/>
      <c r="C811" s="19" t="n"/>
      <c r="D811" s="19" t="n"/>
    </row>
    <row r="812" customFormat="1" s="87">
      <c r="A812" s="16" t="n"/>
      <c r="C812" s="19" t="n"/>
      <c r="D812" s="19" t="n"/>
    </row>
    <row r="813" customFormat="1" s="87">
      <c r="A813" s="16" t="n"/>
      <c r="C813" s="19" t="n"/>
      <c r="D813" s="19" t="n"/>
    </row>
    <row r="814" customFormat="1" s="87">
      <c r="A814" s="16" t="n"/>
      <c r="C814" s="19" t="n"/>
      <c r="D814" s="19" t="n"/>
    </row>
    <row r="815" customFormat="1" s="87">
      <c r="A815" s="16" t="n"/>
      <c r="C815" s="19" t="n"/>
      <c r="D815" s="19" t="n"/>
    </row>
    <row r="816" customFormat="1" s="87">
      <c r="A816" s="16" t="n"/>
      <c r="C816" s="19" t="n"/>
      <c r="D816" s="19" t="n"/>
    </row>
    <row r="817" customFormat="1" s="87">
      <c r="A817" s="16" t="n"/>
      <c r="C817" s="19" t="n"/>
      <c r="D817" s="19" t="n"/>
    </row>
    <row r="818" customFormat="1" s="87">
      <c r="A818" s="16" t="n"/>
      <c r="C818" s="19" t="n"/>
      <c r="D818" s="19" t="n"/>
    </row>
    <row r="819" customFormat="1" s="87">
      <c r="A819" s="16" t="n"/>
      <c r="C819" s="19" t="n"/>
      <c r="D819" s="19" t="n"/>
    </row>
    <row r="820" customFormat="1" s="87">
      <c r="A820" s="16" t="n"/>
      <c r="C820" s="19" t="n"/>
      <c r="D820" s="19" t="n"/>
    </row>
    <row r="821" customFormat="1" s="87">
      <c r="A821" s="16" t="n"/>
      <c r="C821" s="19" t="n"/>
      <c r="D821" s="19" t="n"/>
    </row>
    <row r="822" customFormat="1" s="87">
      <c r="A822" s="16" t="n"/>
      <c r="C822" s="19" t="n"/>
      <c r="D822" s="19" t="n"/>
    </row>
    <row r="823" customFormat="1" s="87">
      <c r="A823" s="16" t="n"/>
      <c r="C823" s="19" t="n"/>
      <c r="D823" s="19" t="n"/>
    </row>
    <row r="824" customFormat="1" s="87">
      <c r="A824" s="16" t="n"/>
      <c r="C824" s="19" t="n"/>
      <c r="D824" s="19" t="n"/>
    </row>
    <row r="825" customFormat="1" s="87">
      <c r="A825" s="16" t="n"/>
      <c r="C825" s="19" t="n"/>
      <c r="D825" s="19" t="n"/>
    </row>
    <row r="826" customFormat="1" s="87">
      <c r="A826" s="16" t="n"/>
      <c r="C826" s="19" t="n"/>
      <c r="D826" s="19" t="n"/>
    </row>
    <row r="827" customFormat="1" s="87">
      <c r="A827" s="16" t="n"/>
      <c r="C827" s="19" t="n"/>
      <c r="D827" s="19" t="n"/>
    </row>
    <row r="828" customFormat="1" s="87">
      <c r="A828" s="16" t="n"/>
      <c r="C828" s="19" t="n"/>
      <c r="D828" s="19" t="n"/>
    </row>
    <row r="829" customFormat="1" s="87">
      <c r="A829" s="16" t="n"/>
      <c r="C829" s="19" t="n"/>
      <c r="D829" s="19" t="n"/>
    </row>
    <row r="830" customFormat="1" s="87">
      <c r="A830" s="16" t="n"/>
      <c r="C830" s="19" t="n"/>
      <c r="D830" s="19" t="n"/>
    </row>
    <row r="831" customFormat="1" s="87">
      <c r="A831" s="16" t="n"/>
      <c r="C831" s="19" t="n"/>
      <c r="D831" s="19" t="n"/>
    </row>
    <row r="832" customFormat="1" s="87">
      <c r="A832" s="16" t="n"/>
      <c r="C832" s="19" t="n"/>
      <c r="D832" s="19" t="n"/>
    </row>
    <row r="833" customFormat="1" s="87">
      <c r="A833" s="16" t="n"/>
      <c r="C833" s="19" t="n"/>
      <c r="D833" s="19" t="n"/>
    </row>
    <row r="834" customFormat="1" s="87">
      <c r="A834" s="16" t="n"/>
      <c r="C834" s="19" t="n"/>
      <c r="D834" s="19" t="n"/>
    </row>
    <row r="835" customFormat="1" s="87">
      <c r="A835" s="16" t="n"/>
      <c r="C835" s="19" t="n"/>
      <c r="D835" s="19" t="n"/>
    </row>
    <row r="836" customFormat="1" s="87">
      <c r="A836" s="16" t="n"/>
      <c r="C836" s="19" t="n"/>
      <c r="D836" s="19" t="n"/>
    </row>
    <row r="837" customFormat="1" s="87">
      <c r="A837" s="16" t="n"/>
      <c r="C837" s="19" t="n"/>
      <c r="D837" s="19" t="n"/>
    </row>
    <row r="838" customFormat="1" s="87">
      <c r="A838" s="16" t="n"/>
      <c r="C838" s="19" t="n"/>
      <c r="D838" s="19" t="n"/>
    </row>
    <row r="839" customFormat="1" s="87">
      <c r="A839" s="16" t="n"/>
      <c r="C839" s="19" t="n"/>
      <c r="D839" s="19" t="n"/>
    </row>
    <row r="840" customFormat="1" s="87">
      <c r="A840" s="16" t="n"/>
      <c r="C840" s="19" t="n"/>
      <c r="D840" s="19" t="n"/>
    </row>
    <row r="841" customFormat="1" s="87">
      <c r="A841" s="16" t="n"/>
      <c r="C841" s="19" t="n"/>
      <c r="D841" s="19" t="n"/>
    </row>
    <row r="842" customFormat="1" s="87">
      <c r="A842" s="16" t="n"/>
      <c r="C842" s="19" t="n"/>
      <c r="D842" s="19" t="n"/>
    </row>
    <row r="843" customFormat="1" s="87">
      <c r="A843" s="16" t="n"/>
      <c r="C843" s="19" t="n"/>
      <c r="D843" s="19" t="n"/>
    </row>
    <row r="844" customFormat="1" s="87">
      <c r="A844" s="16" t="n"/>
      <c r="C844" s="19" t="n"/>
      <c r="D844" s="19" t="n"/>
    </row>
    <row r="845" customFormat="1" s="87">
      <c r="A845" s="16" t="n"/>
      <c r="C845" s="19" t="n"/>
      <c r="D845" s="19" t="n"/>
    </row>
    <row r="846" customFormat="1" s="87">
      <c r="A846" s="16" t="n"/>
      <c r="C846" s="19" t="n"/>
      <c r="D846" s="19" t="n"/>
    </row>
    <row r="847" customFormat="1" s="87">
      <c r="A847" s="16" t="n"/>
      <c r="C847" s="19" t="n"/>
      <c r="D847" s="19" t="n"/>
    </row>
    <row r="848" customFormat="1" s="87">
      <c r="A848" s="16" t="n"/>
      <c r="C848" s="19" t="n"/>
      <c r="D848" s="19" t="n"/>
    </row>
    <row r="849" customFormat="1" s="87">
      <c r="A849" s="16" t="n"/>
      <c r="C849" s="19" t="n"/>
      <c r="D849" s="19" t="n"/>
    </row>
    <row r="850" customFormat="1" s="87">
      <c r="A850" s="16" t="n"/>
      <c r="C850" s="19" t="n"/>
      <c r="D850" s="19" t="n"/>
    </row>
    <row r="851" customFormat="1" s="87">
      <c r="A851" s="16" t="n"/>
      <c r="C851" s="19" t="n"/>
      <c r="D851" s="19" t="n"/>
    </row>
    <row r="852" customFormat="1" s="87">
      <c r="A852" s="16" t="n"/>
      <c r="C852" s="19" t="n"/>
      <c r="D852" s="19" t="n"/>
    </row>
    <row r="853" customFormat="1" s="87">
      <c r="A853" s="16" t="n"/>
      <c r="C853" s="19" t="n"/>
      <c r="D853" s="19" t="n"/>
    </row>
    <row r="854" customFormat="1" s="87">
      <c r="A854" s="16" t="n"/>
      <c r="C854" s="19" t="n"/>
      <c r="D854" s="19" t="n"/>
    </row>
    <row r="855" customFormat="1" s="87">
      <c r="A855" s="16" t="n"/>
      <c r="C855" s="19" t="n"/>
      <c r="D855" s="19" t="n"/>
    </row>
    <row r="856" customFormat="1" s="87">
      <c r="A856" s="16" t="n"/>
      <c r="C856" s="19" t="n"/>
      <c r="D856" s="19" t="n"/>
    </row>
    <row r="857" customFormat="1" s="87">
      <c r="A857" s="16" t="n"/>
      <c r="C857" s="19" t="n"/>
      <c r="D857" s="19" t="n"/>
    </row>
    <row r="858" customFormat="1" s="87">
      <c r="A858" s="16" t="n"/>
      <c r="C858" s="19" t="n"/>
      <c r="D858" s="19" t="n"/>
    </row>
    <row r="859" customFormat="1" s="87">
      <c r="A859" s="16" t="n"/>
      <c r="C859" s="19" t="n"/>
      <c r="D859" s="19" t="n"/>
    </row>
    <row r="860" customFormat="1" s="87">
      <c r="A860" s="16" t="n"/>
      <c r="C860" s="19" t="n"/>
      <c r="D860" s="19" t="n"/>
    </row>
    <row r="861" customFormat="1" s="87">
      <c r="A861" s="16" t="n"/>
      <c r="C861" s="19" t="n"/>
      <c r="D861" s="19" t="n"/>
    </row>
    <row r="862" customFormat="1" s="87">
      <c r="A862" s="16" t="n"/>
      <c r="C862" s="19" t="n"/>
      <c r="D862" s="19" t="n"/>
    </row>
    <row r="863" customFormat="1" s="87">
      <c r="A863" s="16" t="n"/>
      <c r="C863" s="19" t="n"/>
      <c r="D863" s="19" t="n"/>
    </row>
    <row r="864" customFormat="1" s="87">
      <c r="A864" s="16" t="n"/>
      <c r="C864" s="19" t="n"/>
      <c r="D864" s="19" t="n"/>
    </row>
    <row r="865" customFormat="1" s="87">
      <c r="A865" s="16" t="n"/>
      <c r="C865" s="19" t="n"/>
      <c r="D865" s="19" t="n"/>
    </row>
    <row r="866" customFormat="1" s="87">
      <c r="A866" s="16" t="n"/>
      <c r="C866" s="19" t="n"/>
      <c r="D866" s="19" t="n"/>
    </row>
    <row r="867" customFormat="1" s="87">
      <c r="A867" s="16" t="n"/>
      <c r="C867" s="19" t="n"/>
      <c r="D867" s="19" t="n"/>
    </row>
    <row r="868" customFormat="1" s="87">
      <c r="A868" s="16" t="n"/>
      <c r="C868" s="19" t="n"/>
      <c r="D868" s="19" t="n"/>
    </row>
    <row r="869" customFormat="1" s="87">
      <c r="A869" s="16" t="n"/>
      <c r="C869" s="19" t="n"/>
      <c r="D869" s="19" t="n"/>
    </row>
    <row r="870" customFormat="1" s="87">
      <c r="A870" s="16" t="n"/>
      <c r="C870" s="19" t="n"/>
      <c r="D870" s="19" t="n"/>
    </row>
    <row r="871" customFormat="1" s="87">
      <c r="A871" s="16" t="n"/>
      <c r="C871" s="19" t="n"/>
      <c r="D871" s="19" t="n"/>
    </row>
    <row r="872" customFormat="1" s="87">
      <c r="A872" s="16" t="n"/>
      <c r="C872" s="19" t="n"/>
      <c r="D872" s="19" t="n"/>
    </row>
    <row r="873" customFormat="1" s="87">
      <c r="A873" s="16" t="n"/>
      <c r="C873" s="19" t="n"/>
      <c r="D873" s="19" t="n"/>
    </row>
    <row r="874" customFormat="1" s="87">
      <c r="A874" s="16" t="n"/>
      <c r="C874" s="19" t="n"/>
      <c r="D874" s="19" t="n"/>
    </row>
    <row r="875" customFormat="1" s="87">
      <c r="A875" s="16" t="n"/>
      <c r="C875" s="19" t="n"/>
      <c r="D875" s="19" t="n"/>
    </row>
    <row r="876" customFormat="1" s="87">
      <c r="A876" s="16" t="n"/>
      <c r="C876" s="19" t="n"/>
      <c r="D876" s="19" t="n"/>
    </row>
    <row r="877" customFormat="1" s="87">
      <c r="A877" s="16" t="n"/>
      <c r="C877" s="19" t="n"/>
      <c r="D877" s="19" t="n"/>
    </row>
    <row r="878" customFormat="1" s="87">
      <c r="A878" s="16" t="n"/>
      <c r="C878" s="19" t="n"/>
      <c r="D878" s="19" t="n"/>
    </row>
    <row r="879" customFormat="1" s="87">
      <c r="A879" s="16" t="n"/>
      <c r="C879" s="19" t="n"/>
      <c r="D879" s="19" t="n"/>
    </row>
    <row r="880" customFormat="1" s="87">
      <c r="A880" s="16" t="n"/>
      <c r="C880" s="19" t="n"/>
      <c r="D880" s="19" t="n"/>
    </row>
    <row r="881" customFormat="1" s="87">
      <c r="A881" s="16" t="n"/>
      <c r="C881" s="19" t="n"/>
      <c r="D881" s="19" t="n"/>
    </row>
    <row r="882" customFormat="1" s="87">
      <c r="A882" s="16" t="n"/>
      <c r="C882" s="19" t="n"/>
      <c r="D882" s="19" t="n"/>
    </row>
    <row r="883" customFormat="1" s="87">
      <c r="A883" s="16" t="n"/>
      <c r="C883" s="19" t="n"/>
      <c r="D883" s="19" t="n"/>
    </row>
    <row r="884" customFormat="1" s="87">
      <c r="A884" s="16" t="n"/>
      <c r="C884" s="19" t="n"/>
      <c r="D884" s="19" t="n"/>
    </row>
    <row r="885" customFormat="1" s="87">
      <c r="A885" s="16" t="n"/>
      <c r="C885" s="19" t="n"/>
      <c r="D885" s="19" t="n"/>
    </row>
    <row r="886" customFormat="1" s="87">
      <c r="A886" s="16" t="n"/>
      <c r="C886" s="19" t="n"/>
      <c r="D886" s="19" t="n"/>
    </row>
    <row r="887" customFormat="1" s="87">
      <c r="A887" s="16" t="n"/>
      <c r="C887" s="19" t="n"/>
      <c r="D887" s="19" t="n"/>
    </row>
    <row r="888" customFormat="1" s="87">
      <c r="A888" s="16" t="n"/>
      <c r="C888" s="19" t="n"/>
      <c r="D888" s="19" t="n"/>
    </row>
    <row r="889" customFormat="1" s="87">
      <c r="A889" s="16" t="n"/>
      <c r="C889" s="19" t="n"/>
      <c r="D889" s="19" t="n"/>
    </row>
    <row r="890" customFormat="1" s="87">
      <c r="A890" s="16" t="n"/>
      <c r="C890" s="19" t="n"/>
      <c r="D890" s="19" t="n"/>
    </row>
    <row r="891" customFormat="1" s="87">
      <c r="A891" s="16" t="n"/>
      <c r="C891" s="19" t="n"/>
      <c r="D891" s="19" t="n"/>
    </row>
    <row r="892" customFormat="1" s="87">
      <c r="A892" s="16" t="n"/>
      <c r="C892" s="19" t="n"/>
      <c r="D892" s="19" t="n"/>
    </row>
    <row r="893" customFormat="1" s="87">
      <c r="A893" s="16" t="n"/>
      <c r="C893" s="19" t="n"/>
      <c r="D893" s="19" t="n"/>
    </row>
    <row r="894" customFormat="1" s="87">
      <c r="A894" s="16" t="n"/>
      <c r="C894" s="19" t="n"/>
      <c r="D894" s="19" t="n"/>
    </row>
    <row r="895" customFormat="1" s="87">
      <c r="A895" s="16" t="n"/>
      <c r="C895" s="19" t="n"/>
      <c r="D895" s="19" t="n"/>
    </row>
    <row r="896" customFormat="1" s="87">
      <c r="A896" s="16" t="n"/>
      <c r="C896" s="19" t="n"/>
      <c r="D896" s="19" t="n"/>
    </row>
    <row r="897" customFormat="1" s="87">
      <c r="A897" s="16" t="n"/>
      <c r="C897" s="19" t="n"/>
      <c r="D897" s="19" t="n"/>
    </row>
    <row r="898" customFormat="1" s="87">
      <c r="A898" s="16" t="n"/>
      <c r="C898" s="19" t="n"/>
      <c r="D898" s="19" t="n"/>
    </row>
    <row r="899" customFormat="1" s="87">
      <c r="A899" s="16" t="n"/>
      <c r="C899" s="19" t="n"/>
      <c r="D899" s="19" t="n"/>
    </row>
    <row r="900" customFormat="1" s="87">
      <c r="A900" s="16" t="n"/>
      <c r="C900" s="19" t="n"/>
      <c r="D900" s="19" t="n"/>
    </row>
    <row r="901" customFormat="1" s="87">
      <c r="A901" s="16" t="n"/>
      <c r="C901" s="19" t="n"/>
      <c r="D901" s="19" t="n"/>
    </row>
    <row r="902" customFormat="1" s="87">
      <c r="A902" s="16" t="n"/>
      <c r="C902" s="19" t="n"/>
      <c r="D902" s="19" t="n"/>
    </row>
    <row r="903" customFormat="1" s="87">
      <c r="A903" s="16" t="n"/>
      <c r="C903" s="19" t="n"/>
      <c r="D903" s="19" t="n"/>
    </row>
    <row r="904" customFormat="1" s="87">
      <c r="A904" s="16" t="n"/>
      <c r="C904" s="19" t="n"/>
      <c r="D904" s="19" t="n"/>
    </row>
    <row r="905" customFormat="1" s="87">
      <c r="A905" s="16" t="n"/>
      <c r="C905" s="19" t="n"/>
      <c r="D905" s="19" t="n"/>
    </row>
    <row r="906" customFormat="1" s="87">
      <c r="A906" s="16" t="n"/>
      <c r="C906" s="19" t="n"/>
      <c r="D906" s="19" t="n"/>
    </row>
    <row r="907" customFormat="1" s="87">
      <c r="A907" s="16" t="n"/>
      <c r="C907" s="19" t="n"/>
      <c r="D907" s="19" t="n"/>
    </row>
    <row r="908" customFormat="1" s="87">
      <c r="A908" s="16" t="n"/>
      <c r="C908" s="19" t="n"/>
      <c r="D908" s="19" t="n"/>
    </row>
    <row r="909" customFormat="1" s="87">
      <c r="A909" s="16" t="n"/>
      <c r="C909" s="19" t="n"/>
      <c r="D909" s="19" t="n"/>
    </row>
    <row r="910" customFormat="1" s="87">
      <c r="A910" s="16" t="n"/>
      <c r="C910" s="19" t="n"/>
      <c r="D910" s="19" t="n"/>
    </row>
    <row r="911" customFormat="1" s="87">
      <c r="A911" s="16" t="n"/>
      <c r="C911" s="19" t="n"/>
      <c r="D911" s="19" t="n"/>
    </row>
    <row r="912" customFormat="1" s="87">
      <c r="A912" s="16" t="n"/>
      <c r="C912" s="19" t="n"/>
      <c r="D912" s="19" t="n"/>
    </row>
    <row r="913" customFormat="1" s="87">
      <c r="A913" s="16" t="n"/>
      <c r="C913" s="19" t="n"/>
      <c r="D913" s="19" t="n"/>
    </row>
    <row r="914" customFormat="1" s="87">
      <c r="A914" s="16" t="n"/>
      <c r="C914" s="19" t="n"/>
      <c r="D914" s="19" t="n"/>
    </row>
    <row r="915" customFormat="1" s="87">
      <c r="A915" s="16" t="n"/>
      <c r="C915" s="19" t="n"/>
      <c r="D915" s="19" t="n"/>
    </row>
    <row r="916" customFormat="1" s="87">
      <c r="A916" s="16" t="n"/>
      <c r="C916" s="19" t="n"/>
      <c r="D916" s="19" t="n"/>
    </row>
    <row r="917" customFormat="1" s="87">
      <c r="A917" s="16" t="n"/>
      <c r="C917" s="19" t="n"/>
      <c r="D917" s="19" t="n"/>
    </row>
    <row r="918" customFormat="1" s="87">
      <c r="A918" s="16" t="n"/>
      <c r="C918" s="19" t="n"/>
      <c r="D918" s="19" t="n"/>
    </row>
    <row r="919" customFormat="1" s="87">
      <c r="A919" s="16" t="n"/>
      <c r="C919" s="19" t="n"/>
      <c r="D919" s="19" t="n"/>
    </row>
    <row r="920" customFormat="1" s="87">
      <c r="A920" s="16" t="n"/>
      <c r="C920" s="19" t="n"/>
      <c r="D920" s="19" t="n"/>
    </row>
    <row r="921" customFormat="1" s="87">
      <c r="A921" s="16" t="n"/>
      <c r="C921" s="19" t="n"/>
      <c r="D921" s="19" t="n"/>
    </row>
    <row r="922" customFormat="1" s="87">
      <c r="A922" s="16" t="n"/>
      <c r="C922" s="19" t="n"/>
      <c r="D922" s="19" t="n"/>
    </row>
    <row r="923" customFormat="1" s="87">
      <c r="A923" s="16" t="n"/>
      <c r="C923" s="19" t="n"/>
      <c r="D923" s="19" t="n"/>
    </row>
    <row r="924" customFormat="1" s="87">
      <c r="A924" s="16" t="n"/>
      <c r="C924" s="19" t="n"/>
      <c r="D924" s="19" t="n"/>
    </row>
    <row r="925" customFormat="1" s="87">
      <c r="A925" s="16" t="n"/>
      <c r="C925" s="19" t="n"/>
      <c r="D925" s="19" t="n"/>
    </row>
    <row r="926" customFormat="1" s="87">
      <c r="A926" s="16" t="n"/>
      <c r="C926" s="19" t="n"/>
      <c r="D926" s="19" t="n"/>
    </row>
    <row r="927" customFormat="1" s="87">
      <c r="A927" s="16" t="n"/>
      <c r="C927" s="19" t="n"/>
      <c r="D927" s="19" t="n"/>
    </row>
    <row r="928" customFormat="1" s="87">
      <c r="A928" s="16" t="n"/>
      <c r="C928" s="19" t="n"/>
      <c r="D928" s="19" t="n"/>
    </row>
    <row r="929" customFormat="1" s="87">
      <c r="A929" s="16" t="n"/>
      <c r="C929" s="19" t="n"/>
      <c r="D929" s="19" t="n"/>
    </row>
    <row r="930" customFormat="1" s="87">
      <c r="A930" s="16" t="n"/>
      <c r="C930" s="19" t="n"/>
      <c r="D930" s="19" t="n"/>
    </row>
    <row r="931" customFormat="1" s="87">
      <c r="A931" s="16" t="n"/>
      <c r="C931" s="19" t="n"/>
      <c r="D931" s="19" t="n"/>
    </row>
    <row r="932" customFormat="1" s="87">
      <c r="A932" s="16" t="n"/>
      <c r="C932" s="19" t="n"/>
      <c r="D932" s="19" t="n"/>
    </row>
    <row r="933" customFormat="1" s="87">
      <c r="A933" s="16" t="n"/>
      <c r="C933" s="19" t="n"/>
      <c r="D933" s="19" t="n"/>
    </row>
    <row r="934" customFormat="1" s="87">
      <c r="A934" s="16" t="n"/>
      <c r="C934" s="19" t="n"/>
      <c r="D934" s="19" t="n"/>
    </row>
    <row r="935" customFormat="1" s="87">
      <c r="A935" s="16" t="n"/>
      <c r="C935" s="19" t="n"/>
      <c r="D935" s="19" t="n"/>
    </row>
    <row r="936" customFormat="1" s="87">
      <c r="A936" s="16" t="n"/>
      <c r="C936" s="19" t="n"/>
      <c r="D936" s="19" t="n"/>
    </row>
    <row r="937" customFormat="1" s="87">
      <c r="A937" s="16" t="n"/>
      <c r="C937" s="19" t="n"/>
      <c r="D937" s="19" t="n"/>
    </row>
    <row r="938" customFormat="1" s="87">
      <c r="A938" s="16" t="n"/>
      <c r="C938" s="19" t="n"/>
      <c r="D938" s="19" t="n"/>
    </row>
    <row r="939" customFormat="1" s="87">
      <c r="A939" s="16" t="n"/>
      <c r="C939" s="19" t="n"/>
      <c r="D939" s="19" t="n"/>
    </row>
    <row r="940" customFormat="1" s="87">
      <c r="A940" s="16" t="n"/>
      <c r="C940" s="19" t="n"/>
      <c r="D940" s="19" t="n"/>
    </row>
    <row r="941" customFormat="1" s="87">
      <c r="A941" s="16" t="n"/>
      <c r="C941" s="19" t="n"/>
      <c r="D941" s="19" t="n"/>
    </row>
    <row r="942" customFormat="1" s="87">
      <c r="A942" s="16" t="n"/>
      <c r="C942" s="19" t="n"/>
      <c r="D942" s="19" t="n"/>
    </row>
    <row r="943" customFormat="1" s="87">
      <c r="A943" s="16" t="n"/>
      <c r="C943" s="19" t="n"/>
      <c r="D943" s="19" t="n"/>
    </row>
    <row r="944" customFormat="1" s="87">
      <c r="A944" s="16" t="n"/>
      <c r="C944" s="19" t="n"/>
      <c r="D944" s="19" t="n"/>
    </row>
    <row r="945" customFormat="1" s="87">
      <c r="A945" s="16" t="n"/>
      <c r="C945" s="19" t="n"/>
      <c r="D945" s="19" t="n"/>
    </row>
    <row r="946" customFormat="1" s="87">
      <c r="A946" s="16" t="n"/>
      <c r="C946" s="19" t="n"/>
      <c r="D946" s="19" t="n"/>
    </row>
    <row r="947" customFormat="1" s="87">
      <c r="A947" s="16" t="n"/>
      <c r="C947" s="19" t="n"/>
      <c r="D947" s="19" t="n"/>
    </row>
    <row r="948" customFormat="1" s="87">
      <c r="A948" s="16" t="n"/>
      <c r="C948" s="19" t="n"/>
      <c r="D948" s="19" t="n"/>
    </row>
    <row r="949" customFormat="1" s="87">
      <c r="A949" s="16" t="n"/>
      <c r="C949" s="19" t="n"/>
      <c r="D949" s="19" t="n"/>
    </row>
    <row r="950" customFormat="1" s="87">
      <c r="A950" s="16" t="n"/>
      <c r="C950" s="19" t="n"/>
      <c r="D950" s="19" t="n"/>
    </row>
    <row r="951" customFormat="1" s="87">
      <c r="A951" s="16" t="n"/>
      <c r="C951" s="19" t="n"/>
      <c r="D951" s="19" t="n"/>
    </row>
    <row r="952" customFormat="1" s="87">
      <c r="A952" s="16" t="n"/>
      <c r="C952" s="19" t="n"/>
      <c r="D952" s="19" t="n"/>
    </row>
    <row r="953" customFormat="1" s="87">
      <c r="A953" s="16" t="n"/>
      <c r="C953" s="19" t="n"/>
      <c r="D953" s="19" t="n"/>
    </row>
    <row r="954" customFormat="1" s="87">
      <c r="A954" s="16" t="n"/>
      <c r="C954" s="19" t="n"/>
      <c r="D954" s="19" t="n"/>
    </row>
    <row r="955" customFormat="1" s="87">
      <c r="A955" s="16" t="n"/>
      <c r="C955" s="19" t="n"/>
      <c r="D955" s="19" t="n"/>
    </row>
    <row r="956" customFormat="1" s="87">
      <c r="A956" s="16" t="n"/>
      <c r="C956" s="19" t="n"/>
      <c r="D956" s="19" t="n"/>
    </row>
    <row r="957" customFormat="1" s="87">
      <c r="A957" s="16" t="n"/>
      <c r="C957" s="19" t="n"/>
      <c r="D957" s="19" t="n"/>
    </row>
    <row r="958" customFormat="1" s="87">
      <c r="A958" s="16" t="n"/>
      <c r="C958" s="19" t="n"/>
      <c r="D958" s="19" t="n"/>
    </row>
    <row r="959" customFormat="1" s="87">
      <c r="A959" s="16" t="n"/>
      <c r="C959" s="19" t="n"/>
      <c r="D959" s="19" t="n"/>
    </row>
    <row r="960" customFormat="1" s="87">
      <c r="A960" s="16" t="n"/>
      <c r="C960" s="19" t="n"/>
      <c r="D960" s="19" t="n"/>
    </row>
    <row r="961" customFormat="1" s="87">
      <c r="A961" s="16" t="n"/>
      <c r="C961" s="19" t="n"/>
      <c r="D961" s="19" t="n"/>
    </row>
    <row r="962" customFormat="1" s="87">
      <c r="A962" s="16" t="n"/>
      <c r="C962" s="19" t="n"/>
      <c r="D962" s="19" t="n"/>
    </row>
    <row r="963" customFormat="1" s="87">
      <c r="A963" s="16" t="n"/>
      <c r="C963" s="19" t="n"/>
      <c r="D963" s="19" t="n"/>
    </row>
    <row r="964" customFormat="1" s="87">
      <c r="A964" s="16" t="n"/>
      <c r="C964" s="19" t="n"/>
      <c r="D964" s="19" t="n"/>
    </row>
    <row r="965" customFormat="1" s="87">
      <c r="A965" s="16" t="n"/>
      <c r="C965" s="19" t="n"/>
      <c r="D965" s="19" t="n"/>
    </row>
    <row r="966" customFormat="1" s="87">
      <c r="A966" s="16" t="n"/>
      <c r="C966" s="19" t="n"/>
      <c r="D966" s="19" t="n"/>
    </row>
    <row r="967" customFormat="1" s="87">
      <c r="A967" s="16" t="n"/>
      <c r="C967" s="19" t="n"/>
      <c r="D967" s="19" t="n"/>
    </row>
    <row r="968" customFormat="1" s="87">
      <c r="A968" s="16" t="n"/>
      <c r="C968" s="19" t="n"/>
      <c r="D968" s="19" t="n"/>
    </row>
    <row r="969" customFormat="1" s="87">
      <c r="A969" s="16" t="n"/>
      <c r="C969" s="19" t="n"/>
      <c r="D969" s="19" t="n"/>
    </row>
    <row r="970" customFormat="1" s="87">
      <c r="A970" s="16" t="n"/>
      <c r="C970" s="19" t="n"/>
      <c r="D970" s="19" t="n"/>
    </row>
    <row r="971" customFormat="1" s="87">
      <c r="A971" s="16" t="n"/>
      <c r="C971" s="19" t="n"/>
      <c r="D971" s="19" t="n"/>
    </row>
    <row r="972" customFormat="1" s="87">
      <c r="A972" s="16" t="n"/>
      <c r="C972" s="19" t="n"/>
      <c r="D972" s="19" t="n"/>
    </row>
    <row r="973" customFormat="1" s="87">
      <c r="A973" s="16" t="n"/>
      <c r="C973" s="19" t="n"/>
      <c r="D973" s="19" t="n"/>
    </row>
    <row r="974" customFormat="1" s="87">
      <c r="A974" s="16" t="n"/>
      <c r="C974" s="19" t="n"/>
      <c r="D974" s="19" t="n"/>
    </row>
    <row r="975" customFormat="1" s="87">
      <c r="A975" s="16" t="n"/>
      <c r="C975" s="19" t="n"/>
      <c r="D975" s="19" t="n"/>
    </row>
    <row r="976" customFormat="1" s="87">
      <c r="A976" s="16" t="n"/>
      <c r="C976" s="19" t="n"/>
      <c r="D976" s="19" t="n"/>
    </row>
    <row r="977" customFormat="1" s="87">
      <c r="A977" s="16" t="n"/>
      <c r="C977" s="19" t="n"/>
      <c r="D977" s="19" t="n"/>
    </row>
    <row r="978" customFormat="1" s="87">
      <c r="A978" s="16" t="n"/>
      <c r="C978" s="19" t="n"/>
      <c r="D978" s="19" t="n"/>
    </row>
    <row r="979" customFormat="1" s="87">
      <c r="A979" s="16" t="n"/>
      <c r="C979" s="19" t="n"/>
      <c r="D979" s="19" t="n"/>
    </row>
    <row r="980" customFormat="1" s="87">
      <c r="A980" s="16" t="n"/>
      <c r="C980" s="19" t="n"/>
      <c r="D980" s="19" t="n"/>
    </row>
    <row r="981" customFormat="1" s="87">
      <c r="A981" s="16" t="n"/>
      <c r="C981" s="19" t="n"/>
      <c r="D981" s="19" t="n"/>
    </row>
    <row r="982" customFormat="1" s="87">
      <c r="A982" s="16" t="n"/>
      <c r="C982" s="19" t="n"/>
      <c r="D982" s="19" t="n"/>
    </row>
    <row r="983" customFormat="1" s="87">
      <c r="A983" s="16" t="n"/>
      <c r="C983" s="19" t="n"/>
      <c r="D983" s="19" t="n"/>
    </row>
    <row r="984" customFormat="1" s="87">
      <c r="A984" s="16" t="n"/>
      <c r="C984" s="19" t="n"/>
      <c r="D984" s="19" t="n"/>
    </row>
    <row r="985" customFormat="1" s="87">
      <c r="A985" s="16" t="n"/>
      <c r="C985" s="19" t="n"/>
      <c r="D985" s="19" t="n"/>
    </row>
    <row r="986" customFormat="1" s="87">
      <c r="A986" s="16" t="n"/>
      <c r="C986" s="19" t="n"/>
      <c r="D986" s="19" t="n"/>
    </row>
    <row r="987" customFormat="1" s="87">
      <c r="A987" s="16" t="n"/>
      <c r="C987" s="19" t="n"/>
      <c r="D987" s="19" t="n"/>
    </row>
    <row r="988" customFormat="1" s="87">
      <c r="A988" s="16" t="n"/>
      <c r="C988" s="19" t="n"/>
      <c r="D988" s="19" t="n"/>
    </row>
    <row r="989" customFormat="1" s="87">
      <c r="A989" s="16" t="n"/>
      <c r="C989" s="19" t="n"/>
      <c r="D989" s="19" t="n"/>
    </row>
    <row r="990" customFormat="1" s="87">
      <c r="A990" s="16" t="n"/>
      <c r="C990" s="19" t="n"/>
      <c r="D990" s="19" t="n"/>
    </row>
    <row r="991" customFormat="1" s="87">
      <c r="A991" s="16" t="n"/>
      <c r="C991" s="19" t="n"/>
      <c r="D991" s="19" t="n"/>
    </row>
    <row r="992" customFormat="1" s="87">
      <c r="A992" s="16" t="n"/>
      <c r="C992" s="19" t="n"/>
      <c r="D992" s="19" t="n"/>
    </row>
    <row r="993" customFormat="1" s="87">
      <c r="A993" s="16" t="n"/>
      <c r="C993" s="19" t="n"/>
      <c r="D993" s="19" t="n"/>
    </row>
    <row r="994" customFormat="1" s="87">
      <c r="A994" s="16" t="n"/>
      <c r="C994" s="19" t="n"/>
      <c r="D994" s="19" t="n"/>
    </row>
    <row r="995" customFormat="1" s="87">
      <c r="A995" s="16" t="n"/>
      <c r="C995" s="19" t="n"/>
      <c r="D995" s="19" t="n"/>
    </row>
    <row r="996" customFormat="1" s="87">
      <c r="A996" s="16" t="n"/>
      <c r="C996" s="19" t="n"/>
      <c r="D996" s="19" t="n"/>
    </row>
    <row r="997" customFormat="1" s="87">
      <c r="A997" s="16" t="n"/>
      <c r="C997" s="19" t="n"/>
      <c r="D997" s="19" t="n"/>
    </row>
    <row r="998" customFormat="1" s="87">
      <c r="A998" s="16" t="n"/>
      <c r="C998" s="19" t="n"/>
      <c r="D998" s="19" t="n"/>
    </row>
    <row r="999" customFormat="1" s="87">
      <c r="A999" s="16" t="n"/>
      <c r="C999" s="19" t="n"/>
      <c r="D999" s="19" t="n"/>
    </row>
    <row r="1000" customFormat="1" s="87">
      <c r="A1000" s="16" t="n"/>
      <c r="C1000" s="19" t="n"/>
      <c r="D1000" s="19" t="n"/>
    </row>
    <row r="1001" customFormat="1" s="87">
      <c r="A1001" s="16" t="n"/>
      <c r="C1001" s="19" t="n"/>
      <c r="D1001" s="19" t="n"/>
    </row>
  </sheetData>
  <conditionalFormatting sqref="C234:C38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81"/>
  <sheetViews>
    <sheetView tabSelected="1" zoomScale="150" zoomScaleNormal="150" workbookViewId="0">
      <pane ySplit="7" topLeftCell="A348" activePane="bottomLeft" state="frozen"/>
      <selection activeCell="H376" sqref="H376"/>
      <selection pane="bottomLeft" activeCell="U366" sqref="U366"/>
    </sheetView>
  </sheetViews>
  <sheetFormatPr baseColWidth="10" defaultColWidth="9.1640625" defaultRowHeight="15"/>
  <cols>
    <col width="11.33203125" customWidth="1" style="43" min="1" max="1"/>
    <col width="23.1640625" customWidth="1" style="79" min="2" max="2"/>
    <col width="15.6640625" customWidth="1" style="80" min="3" max="3"/>
    <col width="10.6640625" bestFit="1" customWidth="1" style="87" min="4" max="4"/>
    <col width="9.1640625" customWidth="1" style="87" min="5" max="37"/>
    <col width="9.1640625" customWidth="1" style="87" min="38" max="16384"/>
  </cols>
  <sheetData>
    <row r="1">
      <c r="A1" s="73" t="inlineStr">
        <is>
          <t>https://www.investing.com/economic-calendar/chinese-industrial-production-462</t>
        </is>
      </c>
    </row>
    <row r="6" ht="16" customHeight="1" s="81" thickBot="1"/>
    <row r="7" ht="44.25" customHeight="1" s="8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5" t="n">
        <v>32963</v>
      </c>
      <c r="B8" s="68">
        <f>VLOOKUP(A8,'China Production data'!$A$1:$C$508,3,FALSE)</f>
        <v/>
      </c>
    </row>
    <row r="9">
      <c r="A9" s="74" t="n">
        <v>32993</v>
      </c>
      <c r="B9" s="68">
        <f>VLOOKUP(A9,'China Production data'!$A$1:$C$508,3,FALSE)</f>
        <v/>
      </c>
    </row>
    <row r="10">
      <c r="A10" s="75" t="n">
        <v>33024</v>
      </c>
      <c r="B10" s="68">
        <f>VLOOKUP(A10,'China Production data'!$A$1:$C$508,3,FALSE)</f>
        <v/>
      </c>
    </row>
    <row r="11">
      <c r="A11" s="74" t="n">
        <v>33054</v>
      </c>
      <c r="B11" s="68">
        <f>VLOOKUP(A11,'China Production data'!$A$1:$C$508,3,FALSE)</f>
        <v/>
      </c>
    </row>
    <row r="12">
      <c r="A12" s="75" t="n">
        <v>33085</v>
      </c>
      <c r="B12" s="68">
        <f>VLOOKUP(A12,'China Production data'!$A$1:$C$508,3,FALSE)</f>
        <v/>
      </c>
    </row>
    <row r="13">
      <c r="A13" s="74" t="n">
        <v>33116</v>
      </c>
      <c r="B13" s="68">
        <f>VLOOKUP(A13,'China Production data'!$A$1:$C$508,3,FALSE)</f>
        <v/>
      </c>
    </row>
    <row r="14">
      <c r="A14" s="75" t="n">
        <v>33146</v>
      </c>
      <c r="B14" s="68">
        <f>VLOOKUP(A14,'China Production data'!$A$1:$C$508,3,FALSE)</f>
        <v/>
      </c>
    </row>
    <row r="15">
      <c r="A15" s="74" t="n">
        <v>33177</v>
      </c>
      <c r="B15" s="68">
        <f>VLOOKUP(A15,'China Production data'!$A$1:$C$508,3,FALSE)</f>
        <v/>
      </c>
    </row>
    <row r="16">
      <c r="A16" s="75" t="n">
        <v>33207</v>
      </c>
      <c r="B16" s="68">
        <f>VLOOKUP(A16,'China Production data'!$A$1:$C$508,3,FALSE)</f>
        <v/>
      </c>
    </row>
    <row r="17">
      <c r="A17" s="74" t="n">
        <v>33238</v>
      </c>
      <c r="B17" s="68">
        <f>VLOOKUP(A17,'China Production data'!$A$1:$C$508,3,FALSE)</f>
        <v/>
      </c>
    </row>
    <row r="18">
      <c r="A18" s="75" t="n">
        <v>33269</v>
      </c>
      <c r="B18" s="68">
        <f>VLOOKUP(A18,'China Production data'!$A$1:$C$508,3,FALSE)</f>
        <v/>
      </c>
    </row>
    <row r="19">
      <c r="A19" s="74" t="n">
        <v>33297</v>
      </c>
      <c r="B19" s="68">
        <f>VLOOKUP(A19,'China Production data'!$A$1:$C$508,3,FALSE)</f>
        <v/>
      </c>
    </row>
    <row r="20">
      <c r="A20" s="75" t="n">
        <v>33328</v>
      </c>
      <c r="B20" s="68">
        <f>VLOOKUP(A20,'China Production data'!$A$1:$C$508,3,FALSE)</f>
        <v/>
      </c>
    </row>
    <row r="21">
      <c r="A21" s="74" t="n">
        <v>33358</v>
      </c>
      <c r="B21" s="68">
        <f>VLOOKUP(A21,'China Production data'!$A$1:$C$508,3,FALSE)</f>
        <v/>
      </c>
    </row>
    <row r="22">
      <c r="A22" s="75" t="n">
        <v>33389</v>
      </c>
      <c r="B22" s="68">
        <f>VLOOKUP(A22,'China Production data'!$A$1:$C$508,3,FALSE)</f>
        <v/>
      </c>
    </row>
    <row r="23">
      <c r="A23" s="74" t="n">
        <v>33419</v>
      </c>
      <c r="B23" s="68">
        <f>VLOOKUP(A23,'China Production data'!$A$1:$C$508,3,FALSE)</f>
        <v/>
      </c>
    </row>
    <row r="24">
      <c r="A24" s="75" t="n">
        <v>33450</v>
      </c>
      <c r="B24" s="68">
        <f>VLOOKUP(A24,'China Production data'!$A$1:$C$508,3,FALSE)</f>
        <v/>
      </c>
    </row>
    <row r="25">
      <c r="A25" s="74" t="n">
        <v>33481</v>
      </c>
      <c r="B25" s="68">
        <f>VLOOKUP(A25,'China Production data'!$A$1:$C$508,3,FALSE)</f>
        <v/>
      </c>
    </row>
    <row r="26">
      <c r="A26" s="75" t="n">
        <v>33511</v>
      </c>
      <c r="B26" s="68">
        <f>VLOOKUP(A26,'China Production data'!$A$1:$C$508,3,FALSE)</f>
        <v/>
      </c>
    </row>
    <row r="27">
      <c r="A27" s="74" t="n">
        <v>33542</v>
      </c>
      <c r="B27" s="68">
        <f>VLOOKUP(A27,'China Production data'!$A$1:$C$508,3,FALSE)</f>
        <v/>
      </c>
    </row>
    <row r="28">
      <c r="A28" s="75" t="n">
        <v>33572</v>
      </c>
      <c r="B28" s="68">
        <f>VLOOKUP(A28,'China Production data'!$A$1:$C$508,3,FALSE)</f>
        <v/>
      </c>
    </row>
    <row r="29">
      <c r="A29" s="74" t="n">
        <v>33603</v>
      </c>
      <c r="B29" s="68">
        <f>VLOOKUP(A29,'China Production data'!$A$1:$C$508,3,FALSE)</f>
        <v/>
      </c>
    </row>
    <row r="30">
      <c r="A30" s="75" t="n">
        <v>33634</v>
      </c>
      <c r="B30" s="68">
        <f>VLOOKUP(A30,'China Production data'!$A$1:$C$508,3,FALSE)</f>
        <v/>
      </c>
    </row>
    <row r="31">
      <c r="A31" s="74" t="n">
        <v>33663</v>
      </c>
      <c r="B31" s="68">
        <f>VLOOKUP(A31,'China Production data'!$A$1:$C$508,3,FALSE)</f>
        <v/>
      </c>
    </row>
    <row r="32">
      <c r="A32" s="75" t="n">
        <v>33694</v>
      </c>
      <c r="B32" s="68">
        <f>VLOOKUP(A32,'China Production data'!$A$1:$C$508,3,FALSE)</f>
        <v/>
      </c>
    </row>
    <row r="33">
      <c r="A33" s="74" t="n">
        <v>33724</v>
      </c>
      <c r="B33" s="68">
        <f>VLOOKUP(A33,'China Production data'!$A$1:$C$508,3,FALSE)</f>
        <v/>
      </c>
    </row>
    <row r="34">
      <c r="A34" s="75" t="n">
        <v>33755</v>
      </c>
      <c r="B34" s="68">
        <f>VLOOKUP(A34,'China Production data'!$A$1:$C$508,3,FALSE)</f>
        <v/>
      </c>
    </row>
    <row r="35">
      <c r="A35" s="74" t="n">
        <v>33785</v>
      </c>
      <c r="B35" s="68">
        <f>VLOOKUP(A35,'China Production data'!$A$1:$C$508,3,FALSE)</f>
        <v/>
      </c>
    </row>
    <row r="36">
      <c r="A36" s="75" t="n">
        <v>33816</v>
      </c>
      <c r="B36" s="68">
        <f>VLOOKUP(A36,'China Production data'!$A$1:$C$508,3,FALSE)</f>
        <v/>
      </c>
    </row>
    <row r="37">
      <c r="A37" s="74" t="n">
        <v>33847</v>
      </c>
      <c r="B37" s="68">
        <f>VLOOKUP(A37,'China Production data'!$A$1:$C$508,3,FALSE)</f>
        <v/>
      </c>
    </row>
    <row r="38">
      <c r="A38" s="75" t="n">
        <v>33877</v>
      </c>
      <c r="B38" s="68">
        <f>VLOOKUP(A38,'China Production data'!$A$1:$C$508,3,FALSE)</f>
        <v/>
      </c>
    </row>
    <row r="39">
      <c r="A39" s="74" t="n">
        <v>33908</v>
      </c>
      <c r="B39" s="68">
        <f>VLOOKUP(A39,'China Production data'!$A$1:$C$508,3,FALSE)</f>
        <v/>
      </c>
    </row>
    <row r="40">
      <c r="A40" s="75" t="n">
        <v>33938</v>
      </c>
      <c r="B40" s="68">
        <f>VLOOKUP(A40,'China Production data'!$A$1:$C$508,3,FALSE)</f>
        <v/>
      </c>
    </row>
    <row r="41">
      <c r="A41" s="74" t="n">
        <v>33969</v>
      </c>
      <c r="B41" s="68">
        <f>VLOOKUP(A41,'China Production data'!$A$1:$C$508,3,FALSE)</f>
        <v/>
      </c>
    </row>
    <row r="42">
      <c r="A42" s="75" t="n">
        <v>34000</v>
      </c>
      <c r="B42" s="68">
        <f>VLOOKUP(A42,'China Production data'!$A$1:$C$508,3,FALSE)</f>
        <v/>
      </c>
    </row>
    <row r="43">
      <c r="A43" s="74" t="n">
        <v>34028</v>
      </c>
      <c r="B43" s="68">
        <f>VLOOKUP(A43,'China Production data'!$A$1:$C$508,3,FALSE)</f>
        <v/>
      </c>
    </row>
    <row r="44">
      <c r="A44" s="75" t="n">
        <v>34059</v>
      </c>
      <c r="B44" s="68">
        <f>VLOOKUP(A44,'China Production data'!$A$1:$C$508,3,FALSE)</f>
        <v/>
      </c>
    </row>
    <row r="45">
      <c r="A45" s="74" t="n">
        <v>34089</v>
      </c>
      <c r="B45" s="68">
        <f>VLOOKUP(A45,'China Production data'!$A$1:$C$508,3,FALSE)</f>
        <v/>
      </c>
    </row>
    <row r="46">
      <c r="A46" s="75" t="n">
        <v>34120</v>
      </c>
      <c r="B46" s="68">
        <f>VLOOKUP(A46,'China Production data'!$A$1:$C$508,3,FALSE)</f>
        <v/>
      </c>
    </row>
    <row r="47">
      <c r="A47" s="74" t="n">
        <v>34150</v>
      </c>
      <c r="B47" s="68">
        <f>VLOOKUP(A47,'China Production data'!$A$1:$C$508,3,FALSE)</f>
        <v/>
      </c>
    </row>
    <row r="48">
      <c r="A48" s="75" t="n">
        <v>34181</v>
      </c>
      <c r="B48" s="68">
        <f>VLOOKUP(A48,'China Production data'!$A$1:$C$508,3,FALSE)</f>
        <v/>
      </c>
    </row>
    <row r="49">
      <c r="A49" s="74" t="n">
        <v>34212</v>
      </c>
      <c r="B49" s="68">
        <f>VLOOKUP(A49,'China Production data'!$A$1:$C$508,3,FALSE)</f>
        <v/>
      </c>
    </row>
    <row r="50">
      <c r="A50" s="75" t="n">
        <v>34242</v>
      </c>
      <c r="B50" s="68">
        <f>VLOOKUP(A50,'China Production data'!$A$1:$C$508,3,FALSE)</f>
        <v/>
      </c>
    </row>
    <row r="51">
      <c r="A51" s="74" t="n">
        <v>34273</v>
      </c>
      <c r="B51" s="68">
        <f>VLOOKUP(A51,'China Production data'!$A$1:$C$508,3,FALSE)</f>
        <v/>
      </c>
    </row>
    <row r="52">
      <c r="A52" s="75" t="n">
        <v>34303</v>
      </c>
      <c r="B52" s="68">
        <f>VLOOKUP(A52,'China Production data'!$A$1:$C$508,3,FALSE)</f>
        <v/>
      </c>
    </row>
    <row r="53">
      <c r="A53" s="74" t="n">
        <v>34334</v>
      </c>
      <c r="B53" s="68">
        <f>VLOOKUP(A53,'China Production data'!$A$1:$C$508,3,FALSE)</f>
        <v/>
      </c>
    </row>
    <row r="54">
      <c r="A54" s="75" t="n">
        <v>34365</v>
      </c>
      <c r="B54" s="68">
        <f>VLOOKUP(A54,'China Production data'!$A$1:$C$508,3,FALSE)</f>
        <v/>
      </c>
    </row>
    <row r="55">
      <c r="A55" s="74" t="n">
        <v>34393</v>
      </c>
      <c r="B55" s="68">
        <f>VLOOKUP(A55,'China Production data'!$A$1:$C$508,3,FALSE)</f>
        <v/>
      </c>
    </row>
    <row r="56">
      <c r="A56" s="75" t="n">
        <v>34424</v>
      </c>
      <c r="B56" s="68">
        <f>VLOOKUP(A56,'China Production data'!$A$1:$C$508,3,FALSE)</f>
        <v/>
      </c>
    </row>
    <row r="57">
      <c r="A57" s="74" t="n">
        <v>34454</v>
      </c>
      <c r="B57" s="68">
        <f>VLOOKUP(A57,'China Production data'!$A$1:$C$508,3,FALSE)</f>
        <v/>
      </c>
    </row>
    <row r="58">
      <c r="A58" s="75" t="n">
        <v>34485</v>
      </c>
      <c r="B58" s="68">
        <f>VLOOKUP(A58,'China Production data'!$A$1:$C$508,3,FALSE)</f>
        <v/>
      </c>
    </row>
    <row r="59">
      <c r="A59" s="74" t="n">
        <v>34515</v>
      </c>
      <c r="B59" s="68">
        <f>VLOOKUP(A59,'China Production data'!$A$1:$C$508,3,FALSE)</f>
        <v/>
      </c>
    </row>
    <row r="60">
      <c r="A60" s="75" t="n">
        <v>34546</v>
      </c>
      <c r="B60" s="68">
        <f>VLOOKUP(A60,'China Production data'!$A$1:$C$508,3,FALSE)</f>
        <v/>
      </c>
    </row>
    <row r="61">
      <c r="A61" s="74" t="n">
        <v>34577</v>
      </c>
      <c r="B61" s="68">
        <f>VLOOKUP(A61,'China Production data'!$A$1:$C$508,3,FALSE)</f>
        <v/>
      </c>
    </row>
    <row r="62">
      <c r="A62" s="75" t="n">
        <v>34607</v>
      </c>
      <c r="B62" s="68">
        <f>VLOOKUP(A62,'China Production data'!$A$1:$C$508,3,FALSE)</f>
        <v/>
      </c>
    </row>
    <row r="63">
      <c r="A63" s="74" t="n">
        <v>34638</v>
      </c>
      <c r="B63" s="68">
        <f>VLOOKUP(A63,'China Production data'!$A$1:$C$508,3,FALSE)</f>
        <v/>
      </c>
    </row>
    <row r="64">
      <c r="A64" s="75" t="n">
        <v>34668</v>
      </c>
      <c r="B64" s="68">
        <f>VLOOKUP(A64,'China Production data'!$A$1:$C$508,3,FALSE)</f>
        <v/>
      </c>
    </row>
    <row r="65">
      <c r="A65" s="74" t="n">
        <v>34699</v>
      </c>
      <c r="B65" s="68">
        <f>VLOOKUP(A65,'China Production data'!$A$1:$C$508,3,FALSE)</f>
        <v/>
      </c>
    </row>
    <row r="66">
      <c r="A66" s="75" t="n">
        <v>34730</v>
      </c>
      <c r="B66" s="68">
        <f>VLOOKUP(A66,'China Production data'!$A$1:$C$508,3,FALSE)</f>
        <v/>
      </c>
    </row>
    <row r="67">
      <c r="A67" s="74" t="n">
        <v>34758</v>
      </c>
      <c r="B67" s="68">
        <f>VLOOKUP(A67,'China Production data'!$A$1:$C$508,3,FALSE)</f>
        <v/>
      </c>
    </row>
    <row r="68">
      <c r="A68" s="75" t="n">
        <v>34789</v>
      </c>
      <c r="B68" s="68">
        <f>VLOOKUP(A68,'China Production data'!$A$1:$C$508,3,FALSE)</f>
        <v/>
      </c>
    </row>
    <row r="69">
      <c r="A69" s="74" t="n">
        <v>34819</v>
      </c>
      <c r="B69" s="68">
        <f>VLOOKUP(A69,'China Production data'!$A$1:$C$508,3,FALSE)</f>
        <v/>
      </c>
    </row>
    <row r="70">
      <c r="A70" s="75" t="n">
        <v>34850</v>
      </c>
      <c r="B70" s="68">
        <f>VLOOKUP(A70,'China Production data'!$A$1:$C$508,3,FALSE)</f>
        <v/>
      </c>
    </row>
    <row r="71">
      <c r="A71" s="74" t="n">
        <v>34880</v>
      </c>
      <c r="B71" s="68">
        <f>VLOOKUP(A71,'China Production data'!$A$1:$C$508,3,FALSE)</f>
        <v/>
      </c>
    </row>
    <row r="72">
      <c r="A72" s="75" t="n">
        <v>34911</v>
      </c>
      <c r="B72" s="68">
        <f>VLOOKUP(A72,'China Production data'!$A$1:$C$508,3,FALSE)</f>
        <v/>
      </c>
    </row>
    <row r="73">
      <c r="A73" s="74" t="n">
        <v>34942</v>
      </c>
      <c r="B73" s="68">
        <f>VLOOKUP(A73,'China Production data'!$A$1:$C$508,3,FALSE)</f>
        <v/>
      </c>
    </row>
    <row r="74">
      <c r="A74" s="75" t="n">
        <v>34972</v>
      </c>
      <c r="B74" s="68">
        <f>VLOOKUP(A74,'China Production data'!$A$1:$C$508,3,FALSE)</f>
        <v/>
      </c>
    </row>
    <row r="75">
      <c r="A75" s="74" t="n">
        <v>35003</v>
      </c>
      <c r="B75" s="68">
        <f>VLOOKUP(A75,'China Production data'!$A$1:$C$508,3,FALSE)</f>
        <v/>
      </c>
    </row>
    <row r="76">
      <c r="A76" s="75" t="n">
        <v>35033</v>
      </c>
      <c r="B76" s="68">
        <f>VLOOKUP(A76,'China Production data'!$A$1:$C$508,3,FALSE)</f>
        <v/>
      </c>
    </row>
    <row r="77">
      <c r="A77" s="74" t="n">
        <v>35064</v>
      </c>
      <c r="B77" s="68">
        <f>VLOOKUP(A77,'China Production data'!$A$1:$C$508,3,FALSE)</f>
        <v/>
      </c>
    </row>
    <row r="78">
      <c r="A78" s="75" t="n">
        <v>35095</v>
      </c>
      <c r="B78" s="68">
        <f>VLOOKUP(A78,'China Production data'!$A$1:$C$508,3,FALSE)</f>
        <v/>
      </c>
    </row>
    <row r="79">
      <c r="A79" s="74" t="n">
        <v>35124</v>
      </c>
      <c r="B79" s="68">
        <f>VLOOKUP(A79,'China Production data'!$A$1:$C$508,3,FALSE)</f>
        <v/>
      </c>
    </row>
    <row r="80">
      <c r="A80" s="75" t="n">
        <v>35155</v>
      </c>
      <c r="B80" s="68">
        <f>VLOOKUP(A80,'China Production data'!$A$1:$C$508,3,FALSE)</f>
        <v/>
      </c>
    </row>
    <row r="81">
      <c r="A81" s="74" t="n">
        <v>35185</v>
      </c>
      <c r="B81" s="68">
        <f>VLOOKUP(A81,'China Production data'!$A$1:$C$508,3,FALSE)</f>
        <v/>
      </c>
    </row>
    <row r="82">
      <c r="A82" s="75" t="n">
        <v>35216</v>
      </c>
      <c r="B82" s="68">
        <f>VLOOKUP(A82,'China Production data'!$A$1:$C$508,3,FALSE)</f>
        <v/>
      </c>
    </row>
    <row r="83">
      <c r="A83" s="74" t="n">
        <v>35246</v>
      </c>
      <c r="B83" s="68">
        <f>VLOOKUP(A83,'China Production data'!$A$1:$C$508,3,FALSE)</f>
        <v/>
      </c>
    </row>
    <row r="84">
      <c r="A84" s="75" t="n">
        <v>35277</v>
      </c>
      <c r="B84" s="68">
        <f>VLOOKUP(A84,'China Production data'!$A$1:$C$508,3,FALSE)</f>
        <v/>
      </c>
    </row>
    <row r="85">
      <c r="A85" s="74" t="n">
        <v>35308</v>
      </c>
      <c r="B85" s="68">
        <f>VLOOKUP(A85,'China Production data'!$A$1:$C$508,3,FALSE)</f>
        <v/>
      </c>
    </row>
    <row r="86">
      <c r="A86" s="75" t="n">
        <v>35338</v>
      </c>
      <c r="B86" s="68">
        <f>VLOOKUP(A86,'China Production data'!$A$1:$C$508,3,FALSE)</f>
        <v/>
      </c>
    </row>
    <row r="87">
      <c r="A87" s="74" t="n">
        <v>35369</v>
      </c>
      <c r="B87" s="68">
        <f>VLOOKUP(A87,'China Production data'!$A$1:$C$508,3,FALSE)</f>
        <v/>
      </c>
    </row>
    <row r="88">
      <c r="A88" s="75" t="n">
        <v>35399</v>
      </c>
      <c r="B88" s="68">
        <f>VLOOKUP(A88,'China Production data'!$A$1:$C$508,3,FALSE)</f>
        <v/>
      </c>
    </row>
    <row r="89">
      <c r="A89" s="74" t="n">
        <v>35430</v>
      </c>
      <c r="B89" s="68">
        <f>VLOOKUP(A89,'China Production data'!$A$1:$C$508,3,FALSE)</f>
        <v/>
      </c>
    </row>
    <row r="90">
      <c r="A90" s="75" t="n">
        <v>35461</v>
      </c>
      <c r="B90" s="68">
        <f>VLOOKUP(A90,'China Production data'!$A$1:$C$508,3,FALSE)</f>
        <v/>
      </c>
    </row>
    <row r="91">
      <c r="A91" s="74" t="n">
        <v>35489</v>
      </c>
      <c r="B91" s="68">
        <f>VLOOKUP(A91,'China Production data'!$A$1:$C$508,3,FALSE)</f>
        <v/>
      </c>
    </row>
    <row r="92">
      <c r="A92" s="75" t="n">
        <v>35520</v>
      </c>
      <c r="B92" s="68">
        <f>VLOOKUP(A92,'China Production data'!$A$1:$C$508,3,FALSE)</f>
        <v/>
      </c>
    </row>
    <row r="93">
      <c r="A93" s="74" t="n">
        <v>35550</v>
      </c>
      <c r="B93" s="68">
        <f>VLOOKUP(A93,'China Production data'!$A$1:$C$508,3,FALSE)</f>
        <v/>
      </c>
    </row>
    <row r="94">
      <c r="A94" s="75" t="n">
        <v>35581</v>
      </c>
      <c r="B94" s="68">
        <f>VLOOKUP(A94,'China Production data'!$A$1:$C$508,3,FALSE)</f>
        <v/>
      </c>
    </row>
    <row r="95">
      <c r="A95" s="74" t="n">
        <v>35611</v>
      </c>
      <c r="B95" s="68">
        <f>VLOOKUP(A95,'China Production data'!$A$1:$C$508,3,FALSE)</f>
        <v/>
      </c>
    </row>
    <row r="96">
      <c r="A96" s="75" t="n">
        <v>35642</v>
      </c>
      <c r="B96" s="68">
        <f>VLOOKUP(A96,'China Production data'!$A$1:$C$508,3,FALSE)</f>
        <v/>
      </c>
    </row>
    <row r="97">
      <c r="A97" s="74" t="n">
        <v>35673</v>
      </c>
      <c r="B97" s="68">
        <f>VLOOKUP(A97,'China Production data'!$A$1:$C$508,3,FALSE)</f>
        <v/>
      </c>
    </row>
    <row r="98">
      <c r="A98" s="75" t="n">
        <v>35703</v>
      </c>
      <c r="B98" s="68">
        <f>VLOOKUP(A98,'China Production data'!$A$1:$C$508,3,FALSE)</f>
        <v/>
      </c>
    </row>
    <row r="99">
      <c r="A99" s="74" t="n">
        <v>35734</v>
      </c>
      <c r="B99" s="68">
        <f>VLOOKUP(A99,'China Production data'!$A$1:$C$508,3,FALSE)</f>
        <v/>
      </c>
    </row>
    <row r="100">
      <c r="A100" s="75" t="n">
        <v>35764</v>
      </c>
      <c r="B100" s="68">
        <f>VLOOKUP(A100,'China Production data'!$A$1:$C$508,3,FALSE)</f>
        <v/>
      </c>
    </row>
    <row r="101">
      <c r="A101" s="74" t="n">
        <v>35795</v>
      </c>
      <c r="B101" s="68">
        <f>VLOOKUP(A101,'China Production data'!$A$1:$C$508,3,FALSE)</f>
        <v/>
      </c>
    </row>
    <row r="102">
      <c r="A102" s="75" t="n">
        <v>35826</v>
      </c>
      <c r="B102" s="68">
        <f>VLOOKUP(A102,'China Production data'!$A$1:$C$508,3,FALSE)</f>
        <v/>
      </c>
    </row>
    <row r="103">
      <c r="A103" s="74" t="n">
        <v>35854</v>
      </c>
      <c r="B103" s="68">
        <f>VLOOKUP(A103,'China Production data'!$A$1:$C$508,3,FALSE)</f>
        <v/>
      </c>
    </row>
    <row r="104">
      <c r="A104" s="75" t="n">
        <v>35885</v>
      </c>
      <c r="B104" s="68">
        <f>VLOOKUP(A104,'China Production data'!$A$1:$C$508,3,FALSE)</f>
        <v/>
      </c>
    </row>
    <row r="105">
      <c r="A105" s="74" t="n">
        <v>35915</v>
      </c>
      <c r="B105" s="68">
        <f>VLOOKUP(A105,'China Production data'!$A$1:$C$508,3,FALSE)</f>
        <v/>
      </c>
    </row>
    <row r="106">
      <c r="A106" s="75" t="n">
        <v>35946</v>
      </c>
      <c r="B106" s="68">
        <f>VLOOKUP(A106,'China Production data'!$A$1:$C$508,3,FALSE)</f>
        <v/>
      </c>
    </row>
    <row r="107">
      <c r="A107" s="74" t="n">
        <v>35976</v>
      </c>
      <c r="B107" s="68">
        <f>VLOOKUP(A107,'China Production data'!$A$1:$C$508,3,FALSE)</f>
        <v/>
      </c>
    </row>
    <row r="108">
      <c r="A108" s="75" t="n">
        <v>36007</v>
      </c>
      <c r="B108" s="68">
        <f>VLOOKUP(A108,'China Production data'!$A$1:$C$508,3,FALSE)</f>
        <v/>
      </c>
    </row>
    <row r="109">
      <c r="A109" s="74" t="n">
        <v>36038</v>
      </c>
      <c r="B109" s="68">
        <f>VLOOKUP(A109,'China Production data'!$A$1:$C$508,3,FALSE)</f>
        <v/>
      </c>
    </row>
    <row r="110">
      <c r="A110" s="75" t="n">
        <v>36068</v>
      </c>
      <c r="B110" s="68">
        <f>VLOOKUP(A110,'China Production data'!$A$1:$C$508,3,FALSE)</f>
        <v/>
      </c>
    </row>
    <row r="111">
      <c r="A111" s="74" t="n">
        <v>36099</v>
      </c>
      <c r="B111" s="68">
        <f>VLOOKUP(A111,'China Production data'!$A$1:$C$508,3,FALSE)</f>
        <v/>
      </c>
    </row>
    <row r="112">
      <c r="A112" s="75" t="n">
        <v>36129</v>
      </c>
      <c r="B112" s="68">
        <f>VLOOKUP(A112,'China Production data'!$A$1:$C$508,3,FALSE)</f>
        <v/>
      </c>
    </row>
    <row r="113">
      <c r="A113" s="74" t="n">
        <v>36160</v>
      </c>
      <c r="B113" s="68">
        <f>VLOOKUP(A113,'China Production data'!$A$1:$C$508,3,FALSE)</f>
        <v/>
      </c>
    </row>
    <row r="114">
      <c r="A114" s="75" t="n">
        <v>36191</v>
      </c>
      <c r="B114" s="68">
        <f>VLOOKUP(A114,'China Production data'!$A$1:$C$508,3,FALSE)</f>
        <v/>
      </c>
    </row>
    <row r="115">
      <c r="A115" s="74" t="n">
        <v>36219</v>
      </c>
      <c r="B115" s="68">
        <f>VLOOKUP(A115,'China Production data'!$A$1:$C$508,3,FALSE)</f>
        <v/>
      </c>
    </row>
    <row r="116">
      <c r="A116" s="75" t="n">
        <v>36250</v>
      </c>
      <c r="B116" s="68">
        <f>VLOOKUP(A116,'China Production data'!$A$1:$C$508,3,FALSE)</f>
        <v/>
      </c>
    </row>
    <row r="117">
      <c r="A117" s="74" t="n">
        <v>36280</v>
      </c>
      <c r="B117" s="68">
        <f>VLOOKUP(A117,'China Production data'!$A$1:$C$508,3,FALSE)</f>
        <v/>
      </c>
    </row>
    <row r="118">
      <c r="A118" s="75" t="n">
        <v>36311</v>
      </c>
      <c r="B118" s="68">
        <f>VLOOKUP(A118,'China Production data'!$A$1:$C$508,3,FALSE)</f>
        <v/>
      </c>
    </row>
    <row r="119">
      <c r="A119" s="74" t="n">
        <v>36341</v>
      </c>
      <c r="B119" s="68">
        <f>VLOOKUP(A119,'China Production data'!$A$1:$C$508,3,FALSE)</f>
        <v/>
      </c>
    </row>
    <row r="120">
      <c r="A120" s="75" t="n">
        <v>36372</v>
      </c>
      <c r="B120" s="68">
        <f>VLOOKUP(A120,'China Production data'!$A$1:$C$508,3,FALSE)</f>
        <v/>
      </c>
    </row>
    <row r="121">
      <c r="A121" s="74" t="n">
        <v>36403</v>
      </c>
      <c r="B121" s="68">
        <f>VLOOKUP(A121,'China Production data'!$A$1:$C$508,3,FALSE)</f>
        <v/>
      </c>
    </row>
    <row r="122">
      <c r="A122" s="75" t="n">
        <v>36433</v>
      </c>
      <c r="B122" s="68">
        <f>VLOOKUP(A122,'China Production data'!$A$1:$C$508,3,FALSE)</f>
        <v/>
      </c>
    </row>
    <row r="123">
      <c r="A123" s="74" t="n">
        <v>36464</v>
      </c>
      <c r="B123" s="68">
        <f>VLOOKUP(A123,'China Production data'!$A$1:$C$508,3,FALSE)</f>
        <v/>
      </c>
    </row>
    <row r="124">
      <c r="A124" s="75" t="n">
        <v>36494</v>
      </c>
      <c r="B124" s="68">
        <f>VLOOKUP(A124,'China Production data'!$A$1:$C$508,3,FALSE)</f>
        <v/>
      </c>
    </row>
    <row r="125">
      <c r="A125" s="74" t="n">
        <v>36525</v>
      </c>
      <c r="B125" s="68">
        <f>VLOOKUP(A125,'China Production data'!$A$1:$C$508,3,FALSE)</f>
        <v/>
      </c>
    </row>
    <row r="126">
      <c r="A126" s="75" t="n">
        <v>36556</v>
      </c>
      <c r="B126" s="68">
        <f>VLOOKUP(A126,'China Production data'!$A$1:$C$508,3,FALSE)</f>
        <v/>
      </c>
    </row>
    <row r="127">
      <c r="A127" s="74" t="n">
        <v>36585</v>
      </c>
      <c r="B127" s="68">
        <f>VLOOKUP(A127,'China Production data'!$A$1:$C$508,3,FALSE)</f>
        <v/>
      </c>
    </row>
    <row r="128">
      <c r="A128" s="75" t="n">
        <v>36616</v>
      </c>
      <c r="B128" s="68">
        <f>VLOOKUP(A128,'China Production data'!$A$1:$C$508,3,FALSE)</f>
        <v/>
      </c>
    </row>
    <row r="129">
      <c r="A129" s="74" t="n">
        <v>36646</v>
      </c>
      <c r="B129" s="68">
        <f>VLOOKUP(A129,'China Production data'!$A$1:$C$508,3,FALSE)</f>
        <v/>
      </c>
    </row>
    <row r="130">
      <c r="A130" s="75" t="n">
        <v>36677</v>
      </c>
      <c r="B130" s="68">
        <f>VLOOKUP(A130,'China Production data'!$A$1:$C$508,3,FALSE)</f>
        <v/>
      </c>
    </row>
    <row r="131">
      <c r="A131" s="74" t="n">
        <v>36707</v>
      </c>
      <c r="B131" s="68">
        <f>VLOOKUP(A131,'China Production data'!$A$1:$C$508,3,FALSE)</f>
        <v/>
      </c>
    </row>
    <row r="132">
      <c r="A132" s="75" t="n">
        <v>36738</v>
      </c>
      <c r="B132" s="68">
        <f>VLOOKUP(A132,'China Production data'!$A$1:$C$508,3,FALSE)</f>
        <v/>
      </c>
    </row>
    <row r="133">
      <c r="A133" s="74" t="n">
        <v>36769</v>
      </c>
      <c r="B133" s="68">
        <f>VLOOKUP(A133,'China Production data'!$A$1:$C$508,3,FALSE)</f>
        <v/>
      </c>
    </row>
    <row r="134">
      <c r="A134" s="75" t="n">
        <v>36799</v>
      </c>
      <c r="B134" s="68">
        <f>VLOOKUP(A134,'China Production data'!$A$1:$C$508,3,FALSE)</f>
        <v/>
      </c>
    </row>
    <row r="135">
      <c r="A135" s="74" t="n">
        <v>36830</v>
      </c>
      <c r="B135" s="68">
        <f>VLOOKUP(A135,'China Production data'!$A$1:$C$508,3,FALSE)</f>
        <v/>
      </c>
    </row>
    <row r="136">
      <c r="A136" s="75" t="n">
        <v>36860</v>
      </c>
      <c r="B136" s="68">
        <f>VLOOKUP(A136,'China Production data'!$A$1:$C$508,3,FALSE)</f>
        <v/>
      </c>
    </row>
    <row r="137">
      <c r="A137" s="74" t="n">
        <v>36891</v>
      </c>
      <c r="B137" s="68">
        <f>VLOOKUP(A137,'China Production data'!$A$1:$C$508,3,FALSE)</f>
        <v/>
      </c>
    </row>
    <row r="138">
      <c r="A138" s="75" t="n">
        <v>36922</v>
      </c>
      <c r="B138" s="68">
        <f>VLOOKUP(A138,'China Production data'!$A$1:$C$508,3,FALSE)</f>
        <v/>
      </c>
    </row>
    <row r="139">
      <c r="A139" s="74" t="n">
        <v>36950</v>
      </c>
      <c r="B139" s="68">
        <f>VLOOKUP(A139,'China Production data'!$A$1:$C$508,3,FALSE)</f>
        <v/>
      </c>
    </row>
    <row r="140">
      <c r="A140" s="75" t="n">
        <v>36981</v>
      </c>
      <c r="B140" s="68">
        <f>VLOOKUP(A140,'China Production data'!$A$1:$C$508,3,FALSE)</f>
        <v/>
      </c>
    </row>
    <row r="141">
      <c r="A141" s="74" t="n">
        <v>37011</v>
      </c>
      <c r="B141" s="68">
        <f>VLOOKUP(A141,'China Production data'!$A$1:$C$508,3,FALSE)</f>
        <v/>
      </c>
    </row>
    <row r="142">
      <c r="A142" s="75" t="n">
        <v>37042</v>
      </c>
      <c r="B142" s="68">
        <f>VLOOKUP(A142,'China Production data'!$A$1:$C$508,3,FALSE)</f>
        <v/>
      </c>
    </row>
    <row r="143">
      <c r="A143" s="74" t="n">
        <v>37072</v>
      </c>
      <c r="B143" s="68">
        <f>VLOOKUP(A143,'China Production data'!$A$1:$C$508,3,FALSE)</f>
        <v/>
      </c>
    </row>
    <row r="144">
      <c r="A144" s="75" t="n">
        <v>37103</v>
      </c>
      <c r="B144" s="68">
        <f>VLOOKUP(A144,'China Production data'!$A$1:$C$508,3,FALSE)</f>
        <v/>
      </c>
    </row>
    <row r="145">
      <c r="A145" s="74" t="n">
        <v>37134</v>
      </c>
      <c r="B145" s="68">
        <f>VLOOKUP(A145,'China Production data'!$A$1:$C$508,3,FALSE)</f>
        <v/>
      </c>
    </row>
    <row r="146">
      <c r="A146" s="75" t="n">
        <v>37164</v>
      </c>
      <c r="B146" s="68">
        <f>VLOOKUP(A146,'China Production data'!$A$1:$C$508,3,FALSE)</f>
        <v/>
      </c>
    </row>
    <row r="147">
      <c r="A147" s="74" t="n">
        <v>37195</v>
      </c>
      <c r="B147" s="68">
        <f>VLOOKUP(A147,'China Production data'!$A$1:$C$508,3,FALSE)</f>
        <v/>
      </c>
    </row>
    <row r="148">
      <c r="A148" s="75" t="n">
        <v>37225</v>
      </c>
      <c r="B148" s="68">
        <f>VLOOKUP(A148,'China Production data'!$A$1:$C$508,3,FALSE)</f>
        <v/>
      </c>
    </row>
    <row r="149">
      <c r="A149" s="74" t="n">
        <v>37256</v>
      </c>
      <c r="B149" s="68">
        <f>VLOOKUP(A149,'China Production data'!$A$1:$C$508,3,FALSE)</f>
        <v/>
      </c>
    </row>
    <row r="150">
      <c r="A150" s="75" t="n">
        <v>37287</v>
      </c>
      <c r="B150" s="68">
        <f>VLOOKUP(A150,'China Production data'!$A$1:$C$508,3,FALSE)</f>
        <v/>
      </c>
    </row>
    <row r="151">
      <c r="A151" s="74" t="n">
        <v>37315</v>
      </c>
      <c r="B151" s="68">
        <f>VLOOKUP(A151,'China Production data'!$A$1:$C$508,3,FALSE)</f>
        <v/>
      </c>
    </row>
    <row r="152">
      <c r="A152" s="75" t="n">
        <v>37346</v>
      </c>
      <c r="B152" s="68">
        <f>VLOOKUP(A152,'China Production data'!$A$1:$C$508,3,FALSE)</f>
        <v/>
      </c>
    </row>
    <row r="153">
      <c r="A153" s="74" t="n">
        <v>37376</v>
      </c>
      <c r="B153" s="68">
        <f>VLOOKUP(A153,'China Production data'!$A$1:$C$508,3,FALSE)</f>
        <v/>
      </c>
    </row>
    <row r="154">
      <c r="A154" s="75" t="n">
        <v>37407</v>
      </c>
      <c r="B154" s="68">
        <f>VLOOKUP(A154,'China Production data'!$A$1:$C$508,3,FALSE)</f>
        <v/>
      </c>
    </row>
    <row r="155">
      <c r="A155" s="74" t="n">
        <v>37437</v>
      </c>
      <c r="B155" s="68">
        <f>VLOOKUP(A155,'China Production data'!$A$1:$C$508,3,FALSE)</f>
        <v/>
      </c>
    </row>
    <row r="156">
      <c r="A156" s="75" t="n">
        <v>37468</v>
      </c>
      <c r="B156" s="68">
        <f>VLOOKUP(A156,'China Production data'!$A$1:$C$508,3,FALSE)</f>
        <v/>
      </c>
    </row>
    <row r="157">
      <c r="A157" s="74" t="n">
        <v>37499</v>
      </c>
      <c r="B157" s="68">
        <f>VLOOKUP(A157,'China Production data'!$A$1:$C$508,3,FALSE)</f>
        <v/>
      </c>
    </row>
    <row r="158">
      <c r="A158" s="75" t="n">
        <v>37529</v>
      </c>
      <c r="B158" s="68">
        <f>VLOOKUP(A158,'China Production data'!$A$1:$C$508,3,FALSE)</f>
        <v/>
      </c>
    </row>
    <row r="159">
      <c r="A159" s="69" t="n">
        <v>37560</v>
      </c>
      <c r="B159" s="68">
        <f>VLOOKUP(A159,'China Production data'!$A$1:$C$508,3,FALSE)</f>
        <v/>
      </c>
    </row>
    <row r="160">
      <c r="A160" s="76" t="n">
        <v>37590</v>
      </c>
      <c r="B160" s="68">
        <f>VLOOKUP(A160,'China Production data'!$A$1:$C$508,3,FALSE)</f>
        <v/>
      </c>
      <c r="C160" s="77" t="n"/>
    </row>
    <row r="161">
      <c r="A161" s="78" t="n">
        <v>37621</v>
      </c>
      <c r="B161" s="68">
        <f>VLOOKUP(A161,'China Production data'!$A$1:$C$508,3,FALSE)</f>
        <v/>
      </c>
      <c r="C161" s="77" t="n"/>
    </row>
    <row r="162">
      <c r="A162" s="76" t="n">
        <v>37652</v>
      </c>
      <c r="B162" s="68">
        <f>VLOOKUP(A162,'China Production data'!$A$1:$C$508,3,FALSE)</f>
        <v/>
      </c>
      <c r="C162" s="77" t="n"/>
    </row>
    <row r="163">
      <c r="A163" s="78" t="n">
        <v>37680</v>
      </c>
      <c r="B163" s="68">
        <f>VLOOKUP(A163,'China Production data'!$A$1:$C$508,3,FALSE)</f>
        <v/>
      </c>
      <c r="C163" s="77" t="n"/>
    </row>
    <row r="164">
      <c r="A164" s="76" t="n">
        <v>37711</v>
      </c>
      <c r="B164" s="68">
        <f>VLOOKUP(A164,'China Production data'!$A$1:$C$508,3,FALSE)</f>
        <v/>
      </c>
      <c r="C164" s="77" t="n"/>
    </row>
    <row r="165">
      <c r="A165" s="78" t="n">
        <v>37741</v>
      </c>
      <c r="B165" s="68">
        <f>VLOOKUP(A165,'China Production data'!$A$1:$C$508,3,FALSE)</f>
        <v/>
      </c>
      <c r="C165" s="77" t="n"/>
    </row>
    <row r="166">
      <c r="A166" s="76" t="n">
        <v>37772</v>
      </c>
      <c r="B166" s="68">
        <f>VLOOKUP(A166,'China Production data'!$A$1:$C$508,3,FALSE)</f>
        <v/>
      </c>
      <c r="C166" s="77" t="n"/>
    </row>
    <row r="167">
      <c r="A167" s="78" t="n">
        <v>37802</v>
      </c>
      <c r="B167" s="68">
        <f>VLOOKUP(A167,'China Production data'!$A$1:$C$508,3,FALSE)</f>
        <v/>
      </c>
      <c r="C167" s="77" t="n"/>
    </row>
    <row r="168">
      <c r="A168" s="76" t="n">
        <v>37833</v>
      </c>
      <c r="B168" s="68">
        <f>VLOOKUP(A168,'China Production data'!$A$1:$C$508,3,FALSE)</f>
        <v/>
      </c>
      <c r="C168" s="77" t="n"/>
    </row>
    <row r="169">
      <c r="A169" s="78" t="n">
        <v>37864</v>
      </c>
      <c r="B169" s="68">
        <f>VLOOKUP(A169,'China Production data'!$A$1:$C$508,3,FALSE)</f>
        <v/>
      </c>
      <c r="C169" s="77" t="n"/>
    </row>
    <row r="170">
      <c r="A170" s="76" t="n">
        <v>37894</v>
      </c>
      <c r="B170" s="68">
        <f>VLOOKUP(A170,'China Production data'!$A$1:$C$508,3,FALSE)</f>
        <v/>
      </c>
      <c r="C170" s="77" t="n"/>
    </row>
    <row r="171">
      <c r="A171" s="78" t="n">
        <v>37925</v>
      </c>
      <c r="B171" s="68">
        <f>VLOOKUP(A171,'China Production data'!$A$1:$C$508,3,FALSE)</f>
        <v/>
      </c>
      <c r="C171" s="77" t="n"/>
    </row>
    <row r="172">
      <c r="A172" s="76" t="n">
        <v>37955</v>
      </c>
      <c r="B172" s="68">
        <f>VLOOKUP(A172,'China Production data'!$A$1:$C$508,3,FALSE)</f>
        <v/>
      </c>
      <c r="C172" s="77" t="n"/>
    </row>
    <row r="173">
      <c r="A173" s="78" t="n">
        <v>37986</v>
      </c>
      <c r="B173" s="68">
        <f>VLOOKUP(A173,'China Production data'!$A$1:$C$508,3,FALSE)</f>
        <v/>
      </c>
      <c r="C173" s="77" t="n"/>
    </row>
    <row r="174">
      <c r="A174" s="76" t="n">
        <v>38017</v>
      </c>
      <c r="B174" s="68">
        <f>VLOOKUP(A174,'China Production data'!$A$1:$C$508,3,FALSE)</f>
        <v/>
      </c>
      <c r="C174" s="77" t="n"/>
    </row>
    <row r="175">
      <c r="A175" s="78" t="n">
        <v>38046</v>
      </c>
      <c r="B175" s="68">
        <f>VLOOKUP(A175,'China Production data'!$A$1:$C$508,3,FALSE)</f>
        <v/>
      </c>
      <c r="C175" s="77" t="n"/>
    </row>
    <row r="176">
      <c r="A176" s="76" t="n">
        <v>38077</v>
      </c>
      <c r="B176" s="68">
        <f>VLOOKUP(A176,'China Production data'!$A$1:$C$508,3,FALSE)</f>
        <v/>
      </c>
      <c r="C176" s="77" t="n"/>
    </row>
    <row r="177">
      <c r="A177" s="78" t="n">
        <v>38107</v>
      </c>
      <c r="B177" s="68">
        <f>VLOOKUP(A177,'China Production data'!$A$1:$C$508,3,FALSE)</f>
        <v/>
      </c>
      <c r="C177" s="77" t="n"/>
    </row>
    <row r="178">
      <c r="A178" s="76" t="n">
        <v>38138</v>
      </c>
      <c r="B178" s="68">
        <f>VLOOKUP(A178,'China Production data'!$A$1:$C$508,3,FALSE)</f>
        <v/>
      </c>
      <c r="C178" s="77" t="n"/>
    </row>
    <row r="179">
      <c r="A179" s="78" t="n">
        <v>38168</v>
      </c>
      <c r="B179" s="68">
        <f>VLOOKUP(A179,'China Production data'!$A$1:$C$508,3,FALSE)</f>
        <v/>
      </c>
      <c r="C179" s="77" t="n"/>
    </row>
    <row r="180">
      <c r="A180" s="76" t="n">
        <v>38199</v>
      </c>
      <c r="B180" s="68">
        <f>VLOOKUP(A180,'China Production data'!$A$1:$C$508,3,FALSE)</f>
        <v/>
      </c>
      <c r="C180" s="77" t="n"/>
    </row>
    <row r="181">
      <c r="A181" s="78" t="n">
        <v>38230</v>
      </c>
      <c r="B181" s="68">
        <f>VLOOKUP(A181,'China Production data'!$A$1:$C$508,3,FALSE)</f>
        <v/>
      </c>
      <c r="C181" s="77" t="n"/>
    </row>
    <row r="182">
      <c r="A182" s="76" t="n">
        <v>38260</v>
      </c>
      <c r="B182" s="68">
        <f>VLOOKUP(A182,'China Production data'!$A$1:$C$508,3,FALSE)</f>
        <v/>
      </c>
      <c r="C182" s="77" t="n"/>
    </row>
    <row r="183">
      <c r="A183" s="78" t="n">
        <v>38291</v>
      </c>
      <c r="B183" s="68">
        <f>VLOOKUP(A183,'China Production data'!$A$1:$C$508,3,FALSE)</f>
        <v/>
      </c>
      <c r="C183" s="77" t="n"/>
    </row>
    <row r="184">
      <c r="A184" s="76" t="n">
        <v>38321</v>
      </c>
      <c r="B184" s="68">
        <f>VLOOKUP(A184,'China Production data'!$A$1:$C$508,3,FALSE)</f>
        <v/>
      </c>
      <c r="C184" s="77" t="n"/>
    </row>
    <row r="185">
      <c r="A185" s="78" t="n">
        <v>38352</v>
      </c>
      <c r="B185" s="68">
        <f>VLOOKUP(A185,'China Production data'!$A$1:$C$508,3,FALSE)</f>
        <v/>
      </c>
      <c r="C185" s="77" t="n"/>
    </row>
    <row r="186">
      <c r="A186" s="76" t="n">
        <v>38383</v>
      </c>
      <c r="B186" s="68">
        <f>VLOOKUP(A186,'China Production data'!$A$1:$C$508,3,FALSE)</f>
        <v/>
      </c>
      <c r="C186" s="77">
        <f>VLOOKUP(A186,'China Production data'!$A$1:$C$508,2,FALSE)</f>
        <v/>
      </c>
    </row>
    <row r="187">
      <c r="A187" s="76" t="n">
        <v>38411</v>
      </c>
      <c r="B187" s="68">
        <f>VLOOKUP(A187,'China Production data'!$A$1:$C$508,3,FALSE)</f>
        <v/>
      </c>
      <c r="C187" s="77">
        <f>VLOOKUP(A187,'China Production data'!$A$1:$C$508,2,FALSE)</f>
        <v/>
      </c>
    </row>
    <row r="188">
      <c r="A188" s="78" t="n">
        <v>38442</v>
      </c>
      <c r="B188" s="68">
        <f>VLOOKUP(A188,'China Production data'!$A$1:$C$508,3,FALSE)</f>
        <v/>
      </c>
      <c r="C188" s="77">
        <f>VLOOKUP(A188,'China Production data'!$A$1:$C$508,2,FALSE)</f>
        <v/>
      </c>
    </row>
    <row r="189">
      <c r="A189" s="76" t="n">
        <v>38472</v>
      </c>
      <c r="B189" s="68">
        <f>VLOOKUP(A189,'China Production data'!$A$1:$C$508,3,FALSE)</f>
        <v/>
      </c>
      <c r="C189" s="77">
        <f>VLOOKUP(A189,'China Production data'!$A$1:$C$508,2,FALSE)</f>
        <v/>
      </c>
    </row>
    <row r="190">
      <c r="A190" s="78" t="n">
        <v>38503</v>
      </c>
      <c r="B190" s="68">
        <f>VLOOKUP(A190,'China Production data'!$A$1:$C$508,3,FALSE)</f>
        <v/>
      </c>
      <c r="C190" s="77">
        <f>VLOOKUP(A190,'China Production data'!$A$1:$C$508,2,FALSE)</f>
        <v/>
      </c>
    </row>
    <row r="191">
      <c r="A191" s="76" t="n">
        <v>38533</v>
      </c>
      <c r="B191" s="68">
        <f>VLOOKUP(A191,'China Production data'!$A$1:$C$508,3,FALSE)</f>
        <v/>
      </c>
      <c r="C191" s="77">
        <f>VLOOKUP(A191,'China Production data'!$A$1:$C$508,2,FALSE)</f>
        <v/>
      </c>
    </row>
    <row r="192">
      <c r="A192" s="78" t="n">
        <v>38564</v>
      </c>
      <c r="B192" s="68">
        <f>VLOOKUP(A192,'China Production data'!$A$1:$C$508,3,FALSE)</f>
        <v/>
      </c>
      <c r="C192" s="77">
        <f>VLOOKUP(A192,'China Production data'!$A$1:$C$508,2,FALSE)</f>
        <v/>
      </c>
    </row>
    <row r="193">
      <c r="A193" s="76" t="n">
        <v>38595</v>
      </c>
      <c r="B193" s="68">
        <f>VLOOKUP(A193,'China Production data'!$A$1:$C$508,3,FALSE)</f>
        <v/>
      </c>
      <c r="C193" s="77">
        <f>VLOOKUP(A193,'China Production data'!$A$1:$C$508,2,FALSE)</f>
        <v/>
      </c>
    </row>
    <row r="194">
      <c r="A194" s="78" t="n">
        <v>38625</v>
      </c>
      <c r="B194" s="68">
        <f>VLOOKUP(A194,'China Production data'!$A$1:$C$508,3,FALSE)</f>
        <v/>
      </c>
      <c r="C194" s="77">
        <f>VLOOKUP(A194,'China Production data'!$A$1:$C$508,2,FALSE)</f>
        <v/>
      </c>
    </row>
    <row r="195">
      <c r="A195" s="76" t="n">
        <v>38656</v>
      </c>
      <c r="B195" s="68">
        <f>VLOOKUP(A195,'China Production data'!$A$1:$C$508,3,FALSE)</f>
        <v/>
      </c>
      <c r="C195" s="77">
        <f>VLOOKUP(A195,'China Production data'!$A$1:$C$508,2,FALSE)</f>
        <v/>
      </c>
    </row>
    <row r="196">
      <c r="A196" s="78" t="n">
        <v>38686</v>
      </c>
      <c r="B196" s="68">
        <f>VLOOKUP(A196,'China Production data'!$A$1:$C$508,3,FALSE)</f>
        <v/>
      </c>
      <c r="C196" s="77">
        <f>VLOOKUP(A196,'China Production data'!$A$1:$C$508,2,FALSE)</f>
        <v/>
      </c>
    </row>
    <row r="197">
      <c r="A197" s="76" t="n">
        <v>38717</v>
      </c>
      <c r="B197" s="68">
        <f>VLOOKUP(A197,'China Production data'!$A$1:$C$508,3,FALSE)</f>
        <v/>
      </c>
      <c r="C197" s="77">
        <f>VLOOKUP(A197,'China Production data'!$A$1:$C$508,2,FALSE)</f>
        <v/>
      </c>
    </row>
    <row r="198">
      <c r="A198" s="76" t="n">
        <v>38776</v>
      </c>
      <c r="B198" s="68">
        <f>VLOOKUP(A198,'China Production data'!$A$1:$C$508,3,FALSE)</f>
        <v/>
      </c>
      <c r="C198" s="77">
        <f>VLOOKUP(A198,'China Production data'!$A$1:$C$508,2,FALSE)</f>
        <v/>
      </c>
    </row>
    <row r="199">
      <c r="A199" s="78" t="n">
        <v>38807</v>
      </c>
      <c r="B199" s="68">
        <f>VLOOKUP(A199,'China Production data'!$A$1:$C$508,3,FALSE)</f>
        <v/>
      </c>
      <c r="C199" s="77">
        <f>VLOOKUP(A199,'China Production data'!$A$1:$C$508,2,FALSE)</f>
        <v/>
      </c>
    </row>
    <row r="200">
      <c r="A200" s="76" t="n">
        <v>38837</v>
      </c>
      <c r="B200" s="68">
        <f>VLOOKUP(A200,'China Production data'!$A$1:$C$508,3,FALSE)</f>
        <v/>
      </c>
      <c r="C200" s="77">
        <f>VLOOKUP(A200,'China Production data'!$A$1:$C$508,2,FALSE)</f>
        <v/>
      </c>
    </row>
    <row r="201">
      <c r="A201" s="78" t="n">
        <v>38868</v>
      </c>
      <c r="B201" s="68">
        <f>VLOOKUP(A201,'China Production data'!$A$1:$C$508,3,FALSE)</f>
        <v/>
      </c>
      <c r="C201" s="77">
        <f>VLOOKUP(A201,'China Production data'!$A$1:$C$508,2,FALSE)</f>
        <v/>
      </c>
    </row>
    <row r="202">
      <c r="A202" s="76" t="n">
        <v>38898</v>
      </c>
      <c r="B202" s="68">
        <f>VLOOKUP(A202,'China Production data'!$A$1:$C$508,3,FALSE)</f>
        <v/>
      </c>
      <c r="C202" s="77">
        <f>VLOOKUP(A202,'China Production data'!$A$1:$C$508,2,FALSE)</f>
        <v/>
      </c>
    </row>
    <row r="203">
      <c r="A203" s="78" t="n">
        <v>38929</v>
      </c>
      <c r="B203" s="68">
        <f>VLOOKUP(A203,'China Production data'!$A$1:$C$508,3,FALSE)</f>
        <v/>
      </c>
      <c r="C203" s="77">
        <f>VLOOKUP(A203,'China Production data'!$A$1:$C$508,2,FALSE)</f>
        <v/>
      </c>
    </row>
    <row r="204">
      <c r="A204" s="76" t="n">
        <v>38960</v>
      </c>
      <c r="B204" s="68">
        <f>VLOOKUP(A204,'China Production data'!$A$1:$C$508,3,FALSE)</f>
        <v/>
      </c>
      <c r="C204" s="77">
        <f>VLOOKUP(A204,'China Production data'!$A$1:$C$508,2,FALSE)</f>
        <v/>
      </c>
    </row>
    <row r="205">
      <c r="A205" s="78" t="n">
        <v>38990</v>
      </c>
      <c r="B205" s="68">
        <f>VLOOKUP(A205,'China Production data'!$A$1:$C$508,3,FALSE)</f>
        <v/>
      </c>
      <c r="C205" s="77">
        <f>VLOOKUP(A205,'China Production data'!$A$1:$C$508,2,FALSE)</f>
        <v/>
      </c>
    </row>
    <row r="206">
      <c r="A206" s="76" t="n">
        <v>39021</v>
      </c>
      <c r="B206" s="68">
        <f>VLOOKUP(A206,'China Production data'!$A$1:$C$508,3,FALSE)</f>
        <v/>
      </c>
      <c r="C206" s="77">
        <f>VLOOKUP(A206,'China Production data'!$A$1:$C$508,2,FALSE)</f>
        <v/>
      </c>
    </row>
    <row r="207">
      <c r="A207" s="78" t="n">
        <v>39051</v>
      </c>
      <c r="B207" s="68">
        <f>VLOOKUP(A207,'China Production data'!$A$1:$C$508,3,FALSE)</f>
        <v/>
      </c>
      <c r="C207" s="77">
        <f>VLOOKUP(A207,'China Production data'!$A$1:$C$508,2,FALSE)</f>
        <v/>
      </c>
    </row>
    <row r="208">
      <c r="A208" s="76" t="n">
        <v>39082</v>
      </c>
      <c r="B208" s="68">
        <f>VLOOKUP(A208,'China Production data'!$A$1:$C$508,3,FALSE)</f>
        <v/>
      </c>
      <c r="C208" s="77">
        <f>VLOOKUP(A208,'China Production data'!$A$1:$C$508,2,FALSE)</f>
        <v/>
      </c>
    </row>
    <row r="209">
      <c r="A209" s="78" t="n">
        <v>39141</v>
      </c>
      <c r="B209" s="68">
        <f>VLOOKUP(A209,'China Production data'!$A$1:$C$508,3,FALSE)</f>
        <v/>
      </c>
      <c r="C209" s="77">
        <f>VLOOKUP(A209,'China Production data'!$A$1:$C$508,2,FALSE)</f>
        <v/>
      </c>
    </row>
    <row r="210">
      <c r="A210" s="78" t="n">
        <v>39172</v>
      </c>
      <c r="B210" s="68">
        <f>VLOOKUP(A210,'China Production data'!$A$1:$C$508,3,FALSE)</f>
        <v/>
      </c>
      <c r="C210" s="77">
        <f>VLOOKUP(A210,'China Production data'!$A$1:$C$508,2,FALSE)</f>
        <v/>
      </c>
    </row>
    <row r="211">
      <c r="A211" s="76" t="n">
        <v>39202</v>
      </c>
      <c r="B211" s="68">
        <f>VLOOKUP(A211,'China Production data'!$A$1:$C$508,3,FALSE)</f>
        <v/>
      </c>
      <c r="C211" s="77">
        <f>VLOOKUP(A211,'China Production data'!$A$1:$C$508,2,FALSE)</f>
        <v/>
      </c>
    </row>
    <row r="212">
      <c r="A212" s="78" t="n">
        <v>39233</v>
      </c>
      <c r="B212" s="68">
        <f>VLOOKUP(A212,'China Production data'!$A$1:$C$508,3,FALSE)</f>
        <v/>
      </c>
      <c r="C212" s="77">
        <f>VLOOKUP(A212,'China Production data'!$A$1:$C$508,2,FALSE)</f>
        <v/>
      </c>
    </row>
    <row r="213">
      <c r="A213" s="76" t="n">
        <v>39263</v>
      </c>
      <c r="B213" s="68">
        <f>VLOOKUP(A213,'China Production data'!$A$1:$C$508,3,FALSE)</f>
        <v/>
      </c>
      <c r="C213" s="77">
        <f>VLOOKUP(A213,'China Production data'!$A$1:$C$508,2,FALSE)</f>
        <v/>
      </c>
    </row>
    <row r="214">
      <c r="A214" s="78" t="n">
        <v>39294</v>
      </c>
      <c r="B214" s="68">
        <f>VLOOKUP(A214,'China Production data'!$A$1:$C$508,3,FALSE)</f>
        <v/>
      </c>
      <c r="C214" s="77">
        <f>VLOOKUP(A214,'China Production data'!$A$1:$C$508,2,FALSE)</f>
        <v/>
      </c>
    </row>
    <row r="215">
      <c r="A215" s="76" t="n">
        <v>39325</v>
      </c>
      <c r="B215" s="68">
        <f>VLOOKUP(A215,'China Production data'!$A$1:$C$508,3,FALSE)</f>
        <v/>
      </c>
      <c r="C215" s="77">
        <f>VLOOKUP(A215,'China Production data'!$A$1:$C$508,2,FALSE)</f>
        <v/>
      </c>
    </row>
    <row r="216">
      <c r="A216" s="78" t="n">
        <v>39355</v>
      </c>
      <c r="B216" s="68">
        <f>VLOOKUP(A216,'China Production data'!$A$1:$C$508,3,FALSE)</f>
        <v/>
      </c>
      <c r="C216" s="77">
        <f>VLOOKUP(A216,'China Production data'!$A$1:$C$508,2,FALSE)</f>
        <v/>
      </c>
    </row>
    <row r="217">
      <c r="A217" s="76" t="n">
        <v>39386</v>
      </c>
      <c r="B217" s="68">
        <f>VLOOKUP(A217,'China Production data'!$A$1:$C$508,3,FALSE)</f>
        <v/>
      </c>
      <c r="C217" s="77">
        <f>VLOOKUP(A217,'China Production data'!$A$1:$C$508,2,FALSE)</f>
        <v/>
      </c>
    </row>
    <row r="218">
      <c r="A218" s="78" t="n">
        <v>39416</v>
      </c>
      <c r="B218" s="68">
        <f>VLOOKUP(A218,'China Production data'!$A$1:$C$508,3,FALSE)</f>
        <v/>
      </c>
      <c r="C218" s="77">
        <f>VLOOKUP(A218,'China Production data'!$A$1:$C$508,2,FALSE)</f>
        <v/>
      </c>
    </row>
    <row r="219">
      <c r="A219" s="76" t="n">
        <v>39447</v>
      </c>
      <c r="B219" s="68">
        <f>VLOOKUP(A219,'China Production data'!$A$1:$C$508,3,FALSE)</f>
        <v/>
      </c>
      <c r="C219" s="77">
        <f>VLOOKUP(A219,'China Production data'!$A$1:$C$508,2,FALSE)</f>
        <v/>
      </c>
    </row>
    <row r="220">
      <c r="A220" s="78" t="n">
        <v>39507</v>
      </c>
      <c r="B220" s="68">
        <f>VLOOKUP(A220,'China Production data'!$A$1:$C$508,3,FALSE)</f>
        <v/>
      </c>
      <c r="C220" s="77">
        <f>VLOOKUP(A220,'China Production data'!$A$1:$C$508,2,FALSE)</f>
        <v/>
      </c>
    </row>
    <row r="221">
      <c r="A221" s="76" t="n">
        <v>39538</v>
      </c>
      <c r="B221" s="68">
        <f>VLOOKUP(A221,'China Production data'!$A$1:$C$508,3,FALSE)</f>
        <v/>
      </c>
      <c r="C221" s="77">
        <f>VLOOKUP(A221,'China Production data'!$A$1:$C$508,2,FALSE)</f>
        <v/>
      </c>
    </row>
    <row r="222">
      <c r="A222" s="78" t="n">
        <v>39568</v>
      </c>
      <c r="B222" s="68">
        <f>VLOOKUP(A222,'China Production data'!$A$1:$C$508,3,FALSE)</f>
        <v/>
      </c>
      <c r="C222" s="77">
        <f>VLOOKUP(A222,'China Production data'!$A$1:$C$508,2,FALSE)</f>
        <v/>
      </c>
    </row>
    <row r="223">
      <c r="A223" s="76" t="n">
        <v>39599</v>
      </c>
      <c r="B223" s="68">
        <f>VLOOKUP(A223,'China Production data'!$A$1:$C$508,3,FALSE)</f>
        <v/>
      </c>
      <c r="C223" s="77">
        <f>VLOOKUP(A223,'China Production data'!$A$1:$C$508,2,FALSE)</f>
        <v/>
      </c>
    </row>
    <row r="224">
      <c r="A224" s="78" t="n">
        <v>39629</v>
      </c>
      <c r="B224" s="68">
        <f>VLOOKUP(A224,'China Production data'!$A$1:$C$508,3,FALSE)</f>
        <v/>
      </c>
      <c r="C224" s="77">
        <f>VLOOKUP(A224,'China Production data'!$A$1:$C$508,2,FALSE)</f>
        <v/>
      </c>
    </row>
    <row r="225">
      <c r="A225" s="76" t="n">
        <v>39660</v>
      </c>
      <c r="B225" s="68">
        <f>VLOOKUP(A225,'China Production data'!$A$1:$C$508,3,FALSE)</f>
        <v/>
      </c>
      <c r="C225" s="77">
        <f>VLOOKUP(A225,'China Production data'!$A$1:$C$508,2,FALSE)</f>
        <v/>
      </c>
    </row>
    <row r="226">
      <c r="A226" s="78" t="n">
        <v>39691</v>
      </c>
      <c r="B226" s="68">
        <f>VLOOKUP(A226,'China Production data'!$A$1:$C$508,3,FALSE)</f>
        <v/>
      </c>
      <c r="C226" s="77">
        <f>VLOOKUP(A226,'China Production data'!$A$1:$C$508,2,FALSE)</f>
        <v/>
      </c>
    </row>
    <row r="227">
      <c r="A227" s="76" t="n">
        <v>39721</v>
      </c>
      <c r="B227" s="68">
        <f>VLOOKUP(A227,'China Production data'!$A$1:$C$508,3,FALSE)</f>
        <v/>
      </c>
      <c r="C227" s="77">
        <f>VLOOKUP(A227,'China Production data'!$A$1:$C$508,2,FALSE)</f>
        <v/>
      </c>
    </row>
    <row r="228">
      <c r="A228" s="78" t="n">
        <v>39752</v>
      </c>
      <c r="B228" s="68">
        <f>VLOOKUP(A228,'China Production data'!$A$1:$C$508,3,FALSE)</f>
        <v/>
      </c>
      <c r="C228" s="77">
        <f>VLOOKUP(A228,'China Production data'!$A$1:$C$508,2,FALSE)</f>
        <v/>
      </c>
    </row>
    <row r="229">
      <c r="A229" s="76" t="n">
        <v>39782</v>
      </c>
      <c r="B229" s="68">
        <f>VLOOKUP(A229,'China Production data'!$A$1:$C$508,3,FALSE)</f>
        <v/>
      </c>
      <c r="C229" s="77">
        <f>VLOOKUP(A229,'China Production data'!$A$1:$C$508,2,FALSE)</f>
        <v/>
      </c>
    </row>
    <row r="230">
      <c r="A230" s="78" t="n">
        <v>39813</v>
      </c>
      <c r="B230" s="68">
        <f>VLOOKUP(A230,'China Production data'!$A$1:$C$508,3,FALSE)</f>
        <v/>
      </c>
      <c r="C230" s="77">
        <f>VLOOKUP(A230,'China Production data'!$A$1:$C$508,2,FALSE)</f>
        <v/>
      </c>
    </row>
    <row r="231">
      <c r="A231" s="76" t="n">
        <v>39872</v>
      </c>
      <c r="B231" s="68">
        <f>VLOOKUP(A231,'China Production data'!$A$1:$C$508,3,FALSE)</f>
        <v/>
      </c>
      <c r="C231" s="77">
        <f>VLOOKUP(A231,'China Production data'!$A$1:$C$508,2,FALSE)</f>
        <v/>
      </c>
    </row>
    <row r="232">
      <c r="A232" s="76" t="n">
        <v>39903</v>
      </c>
      <c r="B232" s="68">
        <f>VLOOKUP(A232,'China Production data'!$A$1:$C$508,3,FALSE)</f>
        <v/>
      </c>
      <c r="C232" s="77">
        <f>VLOOKUP(A232,'China Production data'!$A$1:$C$508,2,FALSE)</f>
        <v/>
      </c>
    </row>
    <row r="233">
      <c r="A233" s="78" t="n">
        <v>39933</v>
      </c>
      <c r="B233" s="68">
        <f>VLOOKUP(A233,'China Production data'!$A$1:$C$508,3,FALSE)</f>
        <v/>
      </c>
      <c r="C233" s="77">
        <f>VLOOKUP(A233,'China Production data'!$A$1:$C$508,2,FALSE)</f>
        <v/>
      </c>
    </row>
    <row r="234">
      <c r="A234" s="76" t="n">
        <v>39964</v>
      </c>
      <c r="B234" s="68">
        <f>VLOOKUP(A234,'China Production data'!$A$1:$C$508,3,FALSE)</f>
        <v/>
      </c>
      <c r="C234" s="77">
        <f>VLOOKUP(A234,'China Production data'!$A$1:$C$508,2,FALSE)</f>
        <v/>
      </c>
    </row>
    <row r="235">
      <c r="A235" s="78" t="n">
        <v>39994</v>
      </c>
      <c r="B235" s="68">
        <f>VLOOKUP(A235,'China Production data'!$A$1:$C$508,3,FALSE)</f>
        <v/>
      </c>
      <c r="C235" s="77">
        <f>VLOOKUP(A235,'China Production data'!$A$1:$C$508,2,FALSE)</f>
        <v/>
      </c>
    </row>
    <row r="236">
      <c r="A236" s="76" t="n">
        <v>40025</v>
      </c>
      <c r="B236" s="68">
        <f>VLOOKUP(A236,'China Production data'!$A$1:$C$508,3,FALSE)</f>
        <v/>
      </c>
      <c r="C236" s="77">
        <f>VLOOKUP(A236,'China Production data'!$A$1:$C$508,2,FALSE)</f>
        <v/>
      </c>
    </row>
    <row r="237">
      <c r="A237" s="78" t="n">
        <v>40056</v>
      </c>
      <c r="B237" s="68">
        <f>VLOOKUP(A237,'China Production data'!$A$1:$C$508,3,FALSE)</f>
        <v/>
      </c>
      <c r="C237" s="77">
        <f>VLOOKUP(A237,'China Production data'!$A$1:$C$508,2,FALSE)</f>
        <v/>
      </c>
    </row>
    <row r="238">
      <c r="A238" s="76" t="n">
        <v>40086</v>
      </c>
      <c r="B238" s="68">
        <f>VLOOKUP(A238,'China Production data'!$A$1:$C$508,3,FALSE)</f>
        <v/>
      </c>
      <c r="C238" s="77">
        <f>VLOOKUP(A238,'China Production data'!$A$1:$C$508,2,FALSE)</f>
        <v/>
      </c>
    </row>
    <row r="239">
      <c r="A239" s="78" t="n">
        <v>40117</v>
      </c>
      <c r="B239" s="68">
        <f>VLOOKUP(A239,'China Production data'!$A$1:$C$508,3,FALSE)</f>
        <v/>
      </c>
      <c r="C239" s="77">
        <f>VLOOKUP(A239,'China Production data'!$A$1:$C$508,2,FALSE)</f>
        <v/>
      </c>
    </row>
    <row r="240">
      <c r="A240" s="76" t="n">
        <v>40147</v>
      </c>
      <c r="B240" s="68">
        <f>VLOOKUP(A240,'China Production data'!$A$1:$C$508,3,FALSE)</f>
        <v/>
      </c>
      <c r="C240" s="77">
        <f>VLOOKUP(A240,'China Production data'!$A$1:$C$508,2,FALSE)</f>
        <v/>
      </c>
    </row>
    <row r="241">
      <c r="A241" s="78" t="n">
        <v>40178</v>
      </c>
      <c r="B241" s="68">
        <f>VLOOKUP(A241,'China Production data'!$A$1:$C$508,3,FALSE)</f>
        <v/>
      </c>
      <c r="C241" s="77">
        <f>VLOOKUP(A241,'China Production data'!$A$1:$C$508,2,FALSE)</f>
        <v/>
      </c>
    </row>
    <row r="242">
      <c r="A242" s="78" t="n">
        <v>40237</v>
      </c>
      <c r="B242" s="68">
        <f>VLOOKUP(A242,'China Production data'!$A$1:$C$508,3,FALSE)</f>
        <v/>
      </c>
      <c r="C242" s="77">
        <f>VLOOKUP(A242,'China Production data'!$A$1:$C$508,2,FALSE)</f>
        <v/>
      </c>
    </row>
    <row r="243">
      <c r="A243" s="76" t="n">
        <v>40268</v>
      </c>
      <c r="B243" s="68">
        <f>VLOOKUP(A243,'China Production data'!$A$1:$C$508,3,FALSE)</f>
        <v/>
      </c>
      <c r="C243" s="77">
        <f>VLOOKUP(A243,'China Production data'!$A$1:$C$508,2,FALSE)</f>
        <v/>
      </c>
    </row>
    <row r="244">
      <c r="A244" s="78" t="n">
        <v>40298</v>
      </c>
      <c r="B244" s="68">
        <f>VLOOKUP(A244,'China Production data'!$A$1:$C$508,3,FALSE)</f>
        <v/>
      </c>
      <c r="C244" s="77">
        <f>VLOOKUP(A244,'China Production data'!$A$1:$C$508,2,FALSE)</f>
        <v/>
      </c>
    </row>
    <row r="245">
      <c r="A245" s="76" t="n">
        <v>40329</v>
      </c>
      <c r="B245" s="68">
        <f>VLOOKUP(A245,'China Production data'!$A$1:$C$508,3,FALSE)</f>
        <v/>
      </c>
      <c r="C245" s="77">
        <f>VLOOKUP(A245,'China Production data'!$A$1:$C$508,2,FALSE)</f>
        <v/>
      </c>
    </row>
    <row r="246">
      <c r="A246" s="78" t="n">
        <v>40359</v>
      </c>
      <c r="B246" s="68">
        <f>VLOOKUP(A246,'China Production data'!$A$1:$C$508,3,FALSE)</f>
        <v/>
      </c>
      <c r="C246" s="77">
        <f>VLOOKUP(A246,'China Production data'!$A$1:$C$508,2,FALSE)</f>
        <v/>
      </c>
    </row>
    <row r="247">
      <c r="A247" s="76" t="n">
        <v>40390</v>
      </c>
      <c r="B247" s="68">
        <f>VLOOKUP(A247,'China Production data'!$A$1:$C$508,3,FALSE)</f>
        <v/>
      </c>
      <c r="C247" s="77">
        <f>VLOOKUP(A247,'China Production data'!$A$1:$C$508,2,FALSE)</f>
        <v/>
      </c>
    </row>
    <row r="248">
      <c r="A248" s="78" t="n">
        <v>40421</v>
      </c>
      <c r="B248" s="68">
        <f>VLOOKUP(A248,'China Production data'!$A$1:$C$508,3,FALSE)</f>
        <v/>
      </c>
      <c r="C248" s="77">
        <f>VLOOKUP(A248,'China Production data'!$A$1:$C$508,2,FALSE)</f>
        <v/>
      </c>
    </row>
    <row r="249">
      <c r="A249" s="76" t="n">
        <v>40451</v>
      </c>
      <c r="B249" s="68">
        <f>VLOOKUP(A249,'China Production data'!$A$1:$C$508,3,FALSE)</f>
        <v/>
      </c>
      <c r="C249" s="77">
        <f>VLOOKUP(A249,'China Production data'!$A$1:$C$508,2,FALSE)</f>
        <v/>
      </c>
    </row>
    <row r="250">
      <c r="A250" s="78" t="n">
        <v>40482</v>
      </c>
      <c r="B250" s="68">
        <f>VLOOKUP(A250,'China Production data'!$A$1:$C$508,3,FALSE)</f>
        <v/>
      </c>
      <c r="C250" s="77">
        <f>VLOOKUP(A250,'China Production data'!$A$1:$C$508,2,FALSE)</f>
        <v/>
      </c>
    </row>
    <row r="251">
      <c r="A251" s="76" t="n">
        <v>40512</v>
      </c>
      <c r="B251" s="68">
        <f>VLOOKUP(A251,'China Production data'!$A$1:$C$508,3,FALSE)</f>
        <v/>
      </c>
      <c r="C251" s="77">
        <f>VLOOKUP(A251,'China Production data'!$A$1:$C$508,2,FALSE)</f>
        <v/>
      </c>
    </row>
    <row r="252">
      <c r="A252" s="78" t="n">
        <v>40543</v>
      </c>
      <c r="B252" s="68">
        <f>VLOOKUP(A252,'China Production data'!$A$1:$C$508,3,FALSE)</f>
        <v/>
      </c>
      <c r="C252" s="77">
        <f>VLOOKUP(A252,'China Production data'!$A$1:$C$508,2,FALSE)</f>
        <v/>
      </c>
    </row>
    <row r="253">
      <c r="A253" s="76" t="n">
        <v>40602</v>
      </c>
      <c r="B253" s="68">
        <f>VLOOKUP(A253,'China Production data'!$A$1:$C$508,3,FALSE)</f>
        <v/>
      </c>
      <c r="C253" s="77">
        <f>VLOOKUP(A253,'China Production data'!$A$1:$C$508,2,FALSE)</f>
        <v/>
      </c>
    </row>
    <row r="254">
      <c r="A254" s="76" t="n">
        <v>40633</v>
      </c>
      <c r="B254" s="68">
        <f>VLOOKUP(A254,'China Production data'!$A$1:$C$508,3,FALSE)</f>
        <v/>
      </c>
      <c r="C254" s="77">
        <f>VLOOKUP(A254,'China Production data'!$A$1:$C$508,2,FALSE)</f>
        <v/>
      </c>
    </row>
    <row r="255">
      <c r="A255" s="78" t="n">
        <v>40663</v>
      </c>
      <c r="B255" s="68">
        <f>VLOOKUP(A255,'China Production data'!$A$1:$C$508,3,FALSE)</f>
        <v/>
      </c>
      <c r="C255" s="77">
        <f>VLOOKUP(A255,'China Production data'!$A$1:$C$508,2,FALSE)</f>
        <v/>
      </c>
    </row>
    <row r="256">
      <c r="A256" s="76" t="n">
        <v>40694</v>
      </c>
      <c r="B256" s="68">
        <f>VLOOKUP(A256,'China Production data'!$A$1:$C$508,3,FALSE)</f>
        <v/>
      </c>
      <c r="C256" s="77">
        <f>VLOOKUP(A256,'China Production data'!$A$1:$C$508,2,FALSE)</f>
        <v/>
      </c>
    </row>
    <row r="257">
      <c r="A257" s="78" t="n">
        <v>40724</v>
      </c>
      <c r="B257" s="68">
        <f>VLOOKUP(A257,'China Production data'!$A$1:$C$508,3,FALSE)</f>
        <v/>
      </c>
      <c r="C257" s="77">
        <f>VLOOKUP(A257,'China Production data'!$A$1:$C$508,2,FALSE)</f>
        <v/>
      </c>
    </row>
    <row r="258">
      <c r="A258" s="76" t="n">
        <v>40755</v>
      </c>
      <c r="B258" s="68">
        <f>VLOOKUP(A258,'China Production data'!$A$1:$C$508,3,FALSE)</f>
        <v/>
      </c>
      <c r="C258" s="77">
        <f>VLOOKUP(A258,'China Production data'!$A$1:$C$508,2,FALSE)</f>
        <v/>
      </c>
    </row>
    <row r="259">
      <c r="A259" s="78" t="n">
        <v>40786</v>
      </c>
      <c r="B259" s="68">
        <f>VLOOKUP(A259,'China Production data'!$A$1:$C$508,3,FALSE)</f>
        <v/>
      </c>
      <c r="C259" s="77">
        <f>VLOOKUP(A259,'China Production data'!$A$1:$C$508,2,FALSE)</f>
        <v/>
      </c>
    </row>
    <row r="260">
      <c r="A260" s="76" t="n">
        <v>40816</v>
      </c>
      <c r="B260" s="68">
        <f>VLOOKUP(A260,'China Production data'!$A$1:$C$508,3,FALSE)</f>
        <v/>
      </c>
      <c r="C260" s="77">
        <f>VLOOKUP(A260,'China Production data'!$A$1:$C$508,2,FALSE)</f>
        <v/>
      </c>
    </row>
    <row r="261">
      <c r="A261" s="78" t="n">
        <v>40847</v>
      </c>
      <c r="B261" s="68">
        <f>VLOOKUP(A261,'China Production data'!$A$1:$C$508,3,FALSE)</f>
        <v/>
      </c>
      <c r="C261" s="77">
        <f>VLOOKUP(A261,'China Production data'!$A$1:$C$508,2,FALSE)</f>
        <v/>
      </c>
    </row>
    <row r="262">
      <c r="A262" s="76" t="n">
        <v>40877</v>
      </c>
      <c r="B262" s="68">
        <f>VLOOKUP(A262,'China Production data'!$A$1:$C$508,3,FALSE)</f>
        <v/>
      </c>
      <c r="C262" s="77">
        <f>VLOOKUP(A262,'China Production data'!$A$1:$C$508,2,FALSE)</f>
        <v/>
      </c>
    </row>
    <row r="263">
      <c r="A263" s="78" t="n">
        <v>40908</v>
      </c>
      <c r="B263" s="68">
        <f>VLOOKUP(A263,'China Production data'!$A$1:$C$508,3,FALSE)</f>
        <v/>
      </c>
      <c r="C263" s="77">
        <f>VLOOKUP(A263,'China Production data'!$A$1:$C$508,2,FALSE)</f>
        <v/>
      </c>
    </row>
    <row r="264">
      <c r="A264" s="76" t="n">
        <v>40968</v>
      </c>
      <c r="B264" s="68">
        <f>VLOOKUP(A264,'China Production data'!$A$1:$C$508,3,FALSE)</f>
        <v/>
      </c>
      <c r="C264" s="77">
        <f>VLOOKUP(A264,'China Production data'!$A$1:$C$508,2,FALSE)</f>
        <v/>
      </c>
    </row>
    <row r="265">
      <c r="A265" s="78" t="n">
        <v>40999</v>
      </c>
      <c r="B265" s="68">
        <f>VLOOKUP(A265,'China Production data'!$A$1:$C$508,3,FALSE)</f>
        <v/>
      </c>
      <c r="C265" s="77">
        <f>VLOOKUP(A265,'China Production data'!$A$1:$C$508,2,FALSE)</f>
        <v/>
      </c>
    </row>
    <row r="266">
      <c r="A266" s="76" t="n">
        <v>41029</v>
      </c>
      <c r="B266" s="68">
        <f>VLOOKUP(A266,'China Production data'!$A$1:$C$508,3,FALSE)</f>
        <v/>
      </c>
      <c r="C266" s="77">
        <f>VLOOKUP(A266,'China Production data'!$A$1:$C$508,2,FALSE)</f>
        <v/>
      </c>
    </row>
    <row r="267">
      <c r="A267" s="78" t="n">
        <v>41060</v>
      </c>
      <c r="B267" s="68">
        <f>VLOOKUP(A267,'China Production data'!$A$1:$C$508,3,FALSE)</f>
        <v/>
      </c>
      <c r="C267" s="77">
        <f>VLOOKUP(A267,'China Production data'!$A$1:$C$508,2,FALSE)</f>
        <v/>
      </c>
    </row>
    <row r="268">
      <c r="A268" s="76" t="n">
        <v>41090</v>
      </c>
      <c r="B268" s="68">
        <f>VLOOKUP(A268,'China Production data'!$A$1:$C$508,3,FALSE)</f>
        <v/>
      </c>
      <c r="C268" s="77">
        <f>VLOOKUP(A268,'China Production data'!$A$1:$C$508,2,FALSE)</f>
        <v/>
      </c>
    </row>
    <row r="269">
      <c r="A269" s="78" t="n">
        <v>41121</v>
      </c>
      <c r="B269" s="68">
        <f>VLOOKUP(A269,'China Production data'!$A$1:$C$508,3,FALSE)</f>
        <v/>
      </c>
      <c r="C269" s="77">
        <f>VLOOKUP(A269,'China Production data'!$A$1:$C$508,2,FALSE)</f>
        <v/>
      </c>
    </row>
    <row r="270">
      <c r="A270" s="76" t="n">
        <v>41152</v>
      </c>
      <c r="B270" s="68">
        <f>VLOOKUP(A270,'China Production data'!$A$1:$C$508,3,FALSE)</f>
        <v/>
      </c>
      <c r="C270" s="77">
        <f>VLOOKUP(A270,'China Production data'!$A$1:$C$508,2,FALSE)</f>
        <v/>
      </c>
    </row>
    <row r="271">
      <c r="A271" s="78" t="n">
        <v>41182</v>
      </c>
      <c r="B271" s="68">
        <f>VLOOKUP(A271,'China Production data'!$A$1:$C$508,3,FALSE)</f>
        <v/>
      </c>
      <c r="C271" s="77">
        <f>VLOOKUP(A271,'China Production data'!$A$1:$C$508,2,FALSE)</f>
        <v/>
      </c>
    </row>
    <row r="272">
      <c r="A272" s="76" t="n">
        <v>41213</v>
      </c>
      <c r="B272" s="68">
        <f>VLOOKUP(A272,'China Production data'!$A$1:$C$508,3,FALSE)</f>
        <v/>
      </c>
      <c r="C272" s="77">
        <f>VLOOKUP(A272,'China Production data'!$A$1:$C$508,2,FALSE)</f>
        <v/>
      </c>
    </row>
    <row r="273">
      <c r="A273" s="78" t="n">
        <v>41243</v>
      </c>
      <c r="B273" s="68">
        <f>VLOOKUP(A273,'China Production data'!$A$1:$C$508,3,FALSE)</f>
        <v/>
      </c>
      <c r="C273" s="77">
        <f>VLOOKUP(A273,'China Production data'!$A$1:$C$508,2,FALSE)</f>
        <v/>
      </c>
    </row>
    <row r="274">
      <c r="A274" s="76" t="n">
        <v>41274</v>
      </c>
      <c r="B274" s="68">
        <f>VLOOKUP(A274,'China Production data'!$A$1:$C$508,3,FALSE)</f>
        <v/>
      </c>
      <c r="C274" s="77">
        <f>VLOOKUP(A274,'China Production data'!$A$1:$C$508,2,FALSE)</f>
        <v/>
      </c>
    </row>
    <row r="275">
      <c r="A275" s="78" t="n">
        <v>41333</v>
      </c>
      <c r="B275" s="68">
        <f>VLOOKUP(A275,'China Production data'!$A$1:$C$508,3,FALSE)</f>
        <v/>
      </c>
      <c r="C275" s="77">
        <f>VLOOKUP(A275,'China Production data'!$A$1:$C$508,2,FALSE)</f>
        <v/>
      </c>
    </row>
    <row r="276">
      <c r="A276" s="76" t="n">
        <v>41364</v>
      </c>
      <c r="B276" s="68">
        <f>VLOOKUP(A276,'China Production data'!$A$1:$C$508,3,FALSE)</f>
        <v/>
      </c>
      <c r="C276" s="77">
        <f>VLOOKUP(A276,'China Production data'!$A$1:$C$508,2,FALSE)</f>
        <v/>
      </c>
    </row>
    <row r="277">
      <c r="A277" s="78" t="n">
        <v>41394</v>
      </c>
      <c r="B277" s="68">
        <f>VLOOKUP(A277,'China Production data'!$A$1:$C$508,3,FALSE)</f>
        <v/>
      </c>
      <c r="C277" s="77">
        <f>VLOOKUP(A277,'China Production data'!$A$1:$C$508,2,FALSE)</f>
        <v/>
      </c>
    </row>
    <row r="278">
      <c r="A278" s="76" t="n">
        <v>41425</v>
      </c>
      <c r="B278" s="68">
        <f>VLOOKUP(A278,'China Production data'!$A$1:$C$508,3,FALSE)</f>
        <v/>
      </c>
      <c r="C278" s="77">
        <f>VLOOKUP(A278,'China Production data'!$A$1:$C$508,2,FALSE)</f>
        <v/>
      </c>
    </row>
    <row r="279">
      <c r="A279" s="78" t="n">
        <v>41455</v>
      </c>
      <c r="B279" s="68">
        <f>VLOOKUP(A279,'China Production data'!$A$1:$C$508,3,FALSE)</f>
        <v/>
      </c>
      <c r="C279" s="77">
        <f>VLOOKUP(A279,'China Production data'!$A$1:$C$508,2,FALSE)</f>
        <v/>
      </c>
    </row>
    <row r="280">
      <c r="A280" s="76" t="n">
        <v>41486</v>
      </c>
      <c r="B280" s="68">
        <f>VLOOKUP(A280,'China Production data'!$A$1:$C$508,3,FALSE)</f>
        <v/>
      </c>
      <c r="C280" s="77">
        <f>VLOOKUP(A280,'China Production data'!$A$1:$C$508,2,FALSE)</f>
        <v/>
      </c>
    </row>
    <row r="281">
      <c r="A281" s="78" t="n">
        <v>41517</v>
      </c>
      <c r="B281" s="68">
        <f>VLOOKUP(A281,'China Production data'!$A$1:$C$508,3,FALSE)</f>
        <v/>
      </c>
      <c r="C281" s="77">
        <f>VLOOKUP(A281,'China Production data'!$A$1:$C$508,2,FALSE)</f>
        <v/>
      </c>
    </row>
    <row r="282">
      <c r="A282" s="76" t="n">
        <v>41547</v>
      </c>
      <c r="B282" s="68">
        <f>VLOOKUP(A282,'China Production data'!$A$1:$C$508,3,FALSE)</f>
        <v/>
      </c>
      <c r="C282" s="77">
        <f>VLOOKUP(A282,'China Production data'!$A$1:$C$508,2,FALSE)</f>
        <v/>
      </c>
    </row>
    <row r="283">
      <c r="A283" s="78" t="n">
        <v>41578</v>
      </c>
      <c r="B283" s="68">
        <f>VLOOKUP(A283,'China Production data'!$A$1:$C$508,3,FALSE)</f>
        <v/>
      </c>
      <c r="C283" s="77">
        <f>VLOOKUP(A283,'China Production data'!$A$1:$C$508,2,FALSE)</f>
        <v/>
      </c>
    </row>
    <row r="284">
      <c r="A284" s="76" t="n">
        <v>41608</v>
      </c>
      <c r="B284" s="68">
        <f>VLOOKUP(A284,'China Production data'!$A$1:$C$508,3,FALSE)</f>
        <v/>
      </c>
      <c r="C284" s="77">
        <f>VLOOKUP(A284,'China Production data'!$A$1:$C$508,2,FALSE)</f>
        <v/>
      </c>
    </row>
    <row r="285">
      <c r="A285" s="78" t="n">
        <v>41639</v>
      </c>
      <c r="B285" s="68">
        <f>VLOOKUP(A285,'China Production data'!$A$1:$C$508,3,FALSE)</f>
        <v/>
      </c>
      <c r="C285" s="77">
        <f>VLOOKUP(A285,'China Production data'!$A$1:$C$508,2,FALSE)</f>
        <v/>
      </c>
    </row>
    <row r="286">
      <c r="A286" s="76" t="n">
        <v>41698</v>
      </c>
      <c r="B286" s="68">
        <f>VLOOKUP(A286,'China Production data'!$A$1:$C$508,3,FALSE)</f>
        <v/>
      </c>
      <c r="C286" s="77">
        <f>VLOOKUP(A286,'China Production data'!$A$1:$C$508,2,FALSE)</f>
        <v/>
      </c>
    </row>
    <row r="287">
      <c r="A287" s="78" t="n">
        <v>41729</v>
      </c>
      <c r="B287" s="68">
        <f>VLOOKUP(A287,'China Production data'!$A$1:$C$508,3,FALSE)</f>
        <v/>
      </c>
      <c r="C287" s="77">
        <f>VLOOKUP(A287,'China Production data'!$A$1:$C$508,2,FALSE)</f>
        <v/>
      </c>
    </row>
    <row r="288">
      <c r="A288" s="76" t="n">
        <v>41759</v>
      </c>
      <c r="B288" s="68">
        <f>VLOOKUP(A288,'China Production data'!$A$1:$C$508,3,FALSE)</f>
        <v/>
      </c>
      <c r="C288" s="77">
        <f>VLOOKUP(A288,'China Production data'!$A$1:$C$508,2,FALSE)</f>
        <v/>
      </c>
    </row>
    <row r="289">
      <c r="A289" s="78" t="n">
        <v>41790</v>
      </c>
      <c r="B289" s="68">
        <f>VLOOKUP(A289,'China Production data'!$A$1:$C$508,3,FALSE)</f>
        <v/>
      </c>
      <c r="C289" s="77">
        <f>VLOOKUP(A289,'China Production data'!$A$1:$C$508,2,FALSE)</f>
        <v/>
      </c>
    </row>
    <row r="290">
      <c r="A290" s="76" t="n">
        <v>41820</v>
      </c>
      <c r="B290" s="68">
        <f>VLOOKUP(A290,'China Production data'!$A$1:$C$508,3,FALSE)</f>
        <v/>
      </c>
      <c r="C290" s="77">
        <f>VLOOKUP(A290,'China Production data'!$A$1:$C$508,2,FALSE)</f>
        <v/>
      </c>
    </row>
    <row r="291">
      <c r="A291" s="78" t="n">
        <v>41851</v>
      </c>
      <c r="B291" s="68">
        <f>VLOOKUP(A291,'China Production data'!$A$1:$C$508,3,FALSE)</f>
        <v/>
      </c>
      <c r="C291" s="77">
        <f>VLOOKUP(A291,'China Production data'!$A$1:$C$508,2,FALSE)</f>
        <v/>
      </c>
    </row>
    <row r="292">
      <c r="A292" s="76" t="n">
        <v>41882</v>
      </c>
      <c r="B292" s="68">
        <f>VLOOKUP(A292,'China Production data'!$A$1:$C$508,3,FALSE)</f>
        <v/>
      </c>
      <c r="C292" s="77">
        <f>VLOOKUP(A292,'China Production data'!$A$1:$C$508,2,FALSE)</f>
        <v/>
      </c>
    </row>
    <row r="293">
      <c r="A293" s="78" t="n">
        <v>41912</v>
      </c>
      <c r="B293" s="68">
        <f>VLOOKUP(A293,'China Production data'!$A$1:$C$508,3,FALSE)</f>
        <v/>
      </c>
      <c r="C293" s="77">
        <f>VLOOKUP(A293,'China Production data'!$A$1:$C$508,2,FALSE)</f>
        <v/>
      </c>
    </row>
    <row r="294">
      <c r="A294" s="76" t="n">
        <v>41943</v>
      </c>
      <c r="B294" s="68">
        <f>VLOOKUP(A294,'China Production data'!$A$1:$C$508,3,FALSE)</f>
        <v/>
      </c>
      <c r="C294" s="77">
        <f>VLOOKUP(A294,'China Production data'!$A$1:$C$508,2,FALSE)</f>
        <v/>
      </c>
    </row>
    <row r="295">
      <c r="A295" s="78" t="n">
        <v>41973</v>
      </c>
      <c r="B295" s="68">
        <f>VLOOKUP(A295,'China Production data'!$A$1:$C$508,3,FALSE)</f>
        <v/>
      </c>
      <c r="C295" s="77">
        <f>VLOOKUP(A295,'China Production data'!$A$1:$C$508,2,FALSE)</f>
        <v/>
      </c>
    </row>
    <row r="296">
      <c r="A296" s="76" t="n">
        <v>42004</v>
      </c>
      <c r="B296" s="68">
        <f>VLOOKUP(A296,'China Production data'!$A$1:$C$508,3,FALSE)</f>
        <v/>
      </c>
      <c r="C296" s="77">
        <f>VLOOKUP(A296,'China Production data'!$A$1:$C$508,2,FALSE)</f>
        <v/>
      </c>
    </row>
    <row r="297">
      <c r="A297" s="78" t="n">
        <v>42063</v>
      </c>
      <c r="B297" s="68">
        <f>VLOOKUP(A297,'China Production data'!$A$1:$C$508,3,FALSE)</f>
        <v/>
      </c>
      <c r="C297" s="77">
        <f>VLOOKUP(A297,'China Production data'!$A$1:$C$508,2,FALSE)</f>
        <v/>
      </c>
    </row>
    <row r="298">
      <c r="A298" s="76" t="n">
        <v>42094</v>
      </c>
      <c r="B298" s="68">
        <f>VLOOKUP(A298,'China Production data'!$A$1:$C$508,3,FALSE)</f>
        <v/>
      </c>
      <c r="C298" s="77">
        <f>VLOOKUP(A298,'China Production data'!$A$1:$C$508,2,FALSE)</f>
        <v/>
      </c>
    </row>
    <row r="299">
      <c r="A299" s="78" t="n">
        <v>42124</v>
      </c>
      <c r="B299" s="68">
        <f>VLOOKUP(A299,'China Production data'!$A$1:$C$508,3,FALSE)</f>
        <v/>
      </c>
      <c r="C299" s="77">
        <f>VLOOKUP(A299,'China Production data'!$A$1:$C$508,2,FALSE)</f>
        <v/>
      </c>
    </row>
    <row r="300">
      <c r="A300" s="76" t="n">
        <v>42155</v>
      </c>
      <c r="B300" s="68">
        <f>VLOOKUP(A300,'China Production data'!$A$1:$C$508,3,FALSE)</f>
        <v/>
      </c>
      <c r="C300" s="77">
        <f>VLOOKUP(A300,'China Production data'!$A$1:$C$508,2,FALSE)</f>
        <v/>
      </c>
    </row>
    <row r="301">
      <c r="A301" s="78" t="n">
        <v>42185</v>
      </c>
      <c r="B301" s="68">
        <f>VLOOKUP(A301,'China Production data'!$A$1:$C$508,3,FALSE)</f>
        <v/>
      </c>
      <c r="C301" s="77">
        <f>VLOOKUP(A301,'China Production data'!$A$1:$C$508,2,FALSE)</f>
        <v/>
      </c>
    </row>
    <row r="302">
      <c r="A302" s="76" t="n">
        <v>42216</v>
      </c>
      <c r="B302" s="68">
        <f>VLOOKUP(A302,'China Production data'!$A$1:$C$508,3,FALSE)</f>
        <v/>
      </c>
      <c r="C302" s="77">
        <f>VLOOKUP(A302,'China Production data'!$A$1:$C$508,2,FALSE)</f>
        <v/>
      </c>
    </row>
    <row r="303">
      <c r="A303" s="78" t="n">
        <v>42247</v>
      </c>
      <c r="B303" s="68">
        <f>VLOOKUP(A303,'China Production data'!$A$1:$C$508,3,FALSE)</f>
        <v/>
      </c>
      <c r="C303" s="77">
        <f>VLOOKUP(A303,'China Production data'!$A$1:$C$508,2,FALSE)</f>
        <v/>
      </c>
    </row>
    <row r="304">
      <c r="A304" s="76" t="n">
        <v>42277</v>
      </c>
      <c r="B304" s="68">
        <f>VLOOKUP(A304,'China Production data'!$A$1:$C$508,3,FALSE)</f>
        <v/>
      </c>
      <c r="C304" s="77">
        <f>VLOOKUP(A304,'China Production data'!$A$1:$C$508,2,FALSE)</f>
        <v/>
      </c>
    </row>
    <row r="305">
      <c r="A305" s="78" t="n">
        <v>42308</v>
      </c>
      <c r="B305" s="68">
        <f>VLOOKUP(A305,'China Production data'!$A$1:$C$508,3,FALSE)</f>
        <v/>
      </c>
      <c r="C305" s="77">
        <f>VLOOKUP(A305,'China Production data'!$A$1:$C$508,2,FALSE)</f>
        <v/>
      </c>
    </row>
    <row r="306">
      <c r="A306" s="76" t="n">
        <v>42338</v>
      </c>
      <c r="B306" s="68">
        <f>VLOOKUP(A306,'China Production data'!$A$1:$C$508,3,FALSE)</f>
        <v/>
      </c>
      <c r="C306" s="77">
        <f>VLOOKUP(A306,'China Production data'!$A$1:$C$508,2,FALSE)</f>
        <v/>
      </c>
    </row>
    <row r="307">
      <c r="A307" s="78" t="n">
        <v>42369</v>
      </c>
      <c r="B307" s="68">
        <f>VLOOKUP(A307,'China Production data'!$A$1:$C$508,3,FALSE)</f>
        <v/>
      </c>
      <c r="C307" s="77">
        <f>VLOOKUP(A307,'China Production data'!$A$1:$C$508,2,FALSE)</f>
        <v/>
      </c>
    </row>
    <row r="308">
      <c r="A308" s="76" t="n">
        <v>42400</v>
      </c>
      <c r="B308" s="68">
        <f>VLOOKUP(A308,'China Production data'!$A$1:$C$508,3,FALSE)</f>
        <v/>
      </c>
      <c r="C308" s="77">
        <f>VLOOKUP(A308,'China Production data'!$A$1:$C$508,2,FALSE)</f>
        <v/>
      </c>
    </row>
    <row r="309">
      <c r="A309" s="78" t="n">
        <v>42460</v>
      </c>
      <c r="B309" s="68">
        <f>VLOOKUP(A309,'China Production data'!$A$1:$C$508,3,FALSE)</f>
        <v/>
      </c>
      <c r="C309" s="77">
        <f>VLOOKUP(A309,'China Production data'!$A$1:$C$508,2,FALSE)</f>
        <v/>
      </c>
    </row>
    <row r="310">
      <c r="A310" s="76" t="n">
        <v>42490</v>
      </c>
      <c r="B310" s="68">
        <f>VLOOKUP(A310,'China Production data'!$A$1:$C$508,3,FALSE)</f>
        <v/>
      </c>
      <c r="C310" s="77">
        <f>VLOOKUP(A310,'China Production data'!$A$1:$C$508,2,FALSE)</f>
        <v/>
      </c>
    </row>
    <row r="311">
      <c r="A311" s="78" t="n">
        <v>42521</v>
      </c>
      <c r="B311" s="68">
        <f>VLOOKUP(A311,'China Production data'!$A$1:$C$508,3,FALSE)</f>
        <v/>
      </c>
      <c r="C311" s="77">
        <f>VLOOKUP(A311,'China Production data'!$A$1:$C$508,2,FALSE)</f>
        <v/>
      </c>
    </row>
    <row r="312">
      <c r="A312" s="76" t="n">
        <v>42551</v>
      </c>
      <c r="B312" s="68">
        <f>VLOOKUP(A312,'China Production data'!$A$1:$C$508,3,FALSE)</f>
        <v/>
      </c>
      <c r="C312" s="77">
        <f>VLOOKUP(A312,'China Production data'!$A$1:$C$508,2,FALSE)</f>
        <v/>
      </c>
    </row>
    <row r="313">
      <c r="A313" s="78" t="n">
        <v>42582</v>
      </c>
      <c r="B313" s="68">
        <f>VLOOKUP(A313,'China Production data'!$A$1:$C$508,3,FALSE)</f>
        <v/>
      </c>
      <c r="C313" s="77">
        <f>VLOOKUP(A313,'China Production data'!$A$1:$C$508,2,FALSE)</f>
        <v/>
      </c>
    </row>
    <row r="314">
      <c r="A314" s="76" t="n">
        <v>42613</v>
      </c>
      <c r="B314" s="68">
        <f>VLOOKUP(A314,'China Production data'!$A$1:$C$508,3,FALSE)</f>
        <v/>
      </c>
      <c r="C314" s="77">
        <f>VLOOKUP(A314,'China Production data'!$A$1:$C$508,2,FALSE)</f>
        <v/>
      </c>
    </row>
    <row r="315">
      <c r="A315" s="78" t="n">
        <v>42643</v>
      </c>
      <c r="B315" s="68">
        <f>VLOOKUP(A315,'China Production data'!$A$1:$C$508,3,FALSE)</f>
        <v/>
      </c>
      <c r="C315" s="77">
        <f>VLOOKUP(A315,'China Production data'!$A$1:$C$508,2,FALSE)</f>
        <v/>
      </c>
    </row>
    <row r="316">
      <c r="A316" s="76" t="n">
        <v>42674</v>
      </c>
      <c r="B316" s="68">
        <f>VLOOKUP(A316,'China Production data'!$A$1:$C$508,3,FALSE)</f>
        <v/>
      </c>
      <c r="C316" s="77">
        <f>VLOOKUP(A316,'China Production data'!$A$1:$C$508,2,FALSE)</f>
        <v/>
      </c>
    </row>
    <row r="317">
      <c r="A317" s="78" t="n">
        <v>42704</v>
      </c>
      <c r="B317" s="68">
        <f>VLOOKUP(A317,'China Production data'!$A$1:$C$508,3,FALSE)</f>
        <v/>
      </c>
      <c r="C317" s="77">
        <f>VLOOKUP(A317,'China Production data'!$A$1:$C$508,2,FALSE)</f>
        <v/>
      </c>
    </row>
    <row r="318">
      <c r="A318" s="76" t="n">
        <v>42735</v>
      </c>
      <c r="B318" s="68">
        <f>VLOOKUP(A318,'China Production data'!$A$1:$C$508,3,FALSE)</f>
        <v/>
      </c>
      <c r="C318" s="77">
        <f>VLOOKUP(A318,'China Production data'!$A$1:$C$508,2,FALSE)</f>
        <v/>
      </c>
    </row>
    <row r="319">
      <c r="A319" s="78" t="n">
        <v>42766</v>
      </c>
      <c r="B319" s="68">
        <f>VLOOKUP(A319,'China Production data'!$A$1:$C$508,3,FALSE)</f>
        <v/>
      </c>
      <c r="C319" s="77">
        <f>VLOOKUP(A319,'China Production data'!$A$1:$C$508,2,FALSE)</f>
        <v/>
      </c>
    </row>
    <row r="320">
      <c r="A320" s="76" t="n">
        <v>42825</v>
      </c>
      <c r="B320" s="68">
        <f>VLOOKUP(A320,'China Production data'!$A$1:$C$508,3,FALSE)</f>
        <v/>
      </c>
      <c r="C320" s="77">
        <f>VLOOKUP(A320,'China Production data'!$A$1:$C$508,2,FALSE)</f>
        <v/>
      </c>
    </row>
    <row r="321">
      <c r="A321" s="78" t="n">
        <v>42855</v>
      </c>
      <c r="B321" s="68">
        <f>VLOOKUP(A321,'China Production data'!$A$1:$C$508,3,FALSE)</f>
        <v/>
      </c>
      <c r="C321" s="77">
        <f>VLOOKUP(A321,'China Production data'!$A$1:$C$508,2,FALSE)</f>
        <v/>
      </c>
    </row>
    <row r="322">
      <c r="A322" s="76" t="n">
        <v>42886</v>
      </c>
      <c r="B322" s="68">
        <f>VLOOKUP(A322,'China Production data'!$A$1:$C$508,3,FALSE)</f>
        <v/>
      </c>
      <c r="C322" s="77">
        <f>VLOOKUP(A322,'China Production data'!$A$1:$C$508,2,FALSE)</f>
        <v/>
      </c>
    </row>
    <row r="323">
      <c r="A323" s="78" t="n">
        <v>42916</v>
      </c>
      <c r="B323" s="68">
        <f>VLOOKUP(A323,'China Production data'!$A$1:$C$508,3,FALSE)</f>
        <v/>
      </c>
      <c r="C323" s="77">
        <f>VLOOKUP(A323,'China Production data'!$A$1:$C$508,2,FALSE)</f>
        <v/>
      </c>
    </row>
    <row r="324">
      <c r="A324" s="76" t="n">
        <v>42947</v>
      </c>
      <c r="B324" s="68">
        <f>VLOOKUP(A324,'China Production data'!$A$1:$C$508,3,FALSE)</f>
        <v/>
      </c>
      <c r="C324" s="77">
        <f>VLOOKUP(A324,'China Production data'!$A$1:$C$508,2,FALSE)</f>
        <v/>
      </c>
    </row>
    <row r="325">
      <c r="A325" s="78" t="n">
        <v>42978</v>
      </c>
      <c r="B325" s="68">
        <f>VLOOKUP(A325,'China Production data'!$A$1:$C$508,3,FALSE)</f>
        <v/>
      </c>
      <c r="C325" s="77">
        <f>VLOOKUP(A325,'China Production data'!$A$1:$C$508,2,FALSE)</f>
        <v/>
      </c>
    </row>
    <row r="326">
      <c r="A326" s="76" t="n">
        <v>43008</v>
      </c>
      <c r="B326" s="68">
        <f>VLOOKUP(A326,'China Production data'!$A$1:$C$508,3,FALSE)</f>
        <v/>
      </c>
      <c r="C326" s="77">
        <f>VLOOKUP(A326,'China Production data'!$A$1:$C$508,2,FALSE)</f>
        <v/>
      </c>
    </row>
    <row r="327">
      <c r="A327" s="78" t="n">
        <v>43039</v>
      </c>
      <c r="B327" s="68">
        <f>VLOOKUP(A327,'China Production data'!$A$1:$C$508,3,FALSE)</f>
        <v/>
      </c>
      <c r="C327" s="77">
        <f>VLOOKUP(A327,'China Production data'!$A$1:$C$508,2,FALSE)</f>
        <v/>
      </c>
    </row>
    <row r="328">
      <c r="A328" s="76" t="n">
        <v>43069</v>
      </c>
      <c r="B328" s="68">
        <f>VLOOKUP(A328,'China Production data'!$A$1:$C$508,3,FALSE)</f>
        <v/>
      </c>
      <c r="C328" s="77">
        <f>VLOOKUP(A328,'China Production data'!$A$1:$C$508,2,FALSE)</f>
        <v/>
      </c>
    </row>
    <row r="329">
      <c r="A329" s="78" t="n">
        <v>43100</v>
      </c>
      <c r="B329" s="68">
        <f>VLOOKUP(A329,'China Production data'!$A$1:$C$508,3,FALSE)</f>
        <v/>
      </c>
      <c r="C329" s="77">
        <f>VLOOKUP(A329,'China Production data'!$A$1:$C$508,2,FALSE)</f>
        <v/>
      </c>
    </row>
    <row r="330">
      <c r="A330" s="76" t="n">
        <v>43159</v>
      </c>
      <c r="B330" s="68">
        <f>VLOOKUP(A330,'China Production data'!$A$1:$C$508,3,FALSE)</f>
        <v/>
      </c>
      <c r="C330" s="77">
        <f>VLOOKUP(A330,'China Production data'!$A$1:$C$508,2,FALSE)</f>
        <v/>
      </c>
    </row>
    <row r="331">
      <c r="A331" s="78" t="n">
        <v>43190</v>
      </c>
      <c r="B331" s="68">
        <f>VLOOKUP(A331,'China Production data'!$A$1:$C$508,3,FALSE)</f>
        <v/>
      </c>
      <c r="C331" s="77">
        <f>VLOOKUP(A331,'China Production data'!$A$1:$C$508,2,FALSE)</f>
        <v/>
      </c>
    </row>
    <row r="332">
      <c r="A332" s="76" t="n">
        <v>43220</v>
      </c>
      <c r="B332" s="68">
        <f>VLOOKUP(A332,'China Production data'!$A$1:$C$508,3,FALSE)</f>
        <v/>
      </c>
      <c r="C332" s="77">
        <f>VLOOKUP(A332,'China Production data'!$A$1:$C$508,2,FALSE)</f>
        <v/>
      </c>
    </row>
    <row r="333">
      <c r="A333" s="78" t="n">
        <v>43251</v>
      </c>
      <c r="B333" s="68">
        <f>VLOOKUP(A333,'China Production data'!$A$1:$C$508,3,FALSE)</f>
        <v/>
      </c>
      <c r="C333" s="77">
        <f>VLOOKUP(A333,'China Production data'!$A$1:$C$508,2,FALSE)</f>
        <v/>
      </c>
    </row>
    <row r="334">
      <c r="A334" s="76" t="n">
        <v>43281</v>
      </c>
      <c r="B334" s="68">
        <f>VLOOKUP(A334,'China Production data'!$A$1:$C$508,3,FALSE)</f>
        <v/>
      </c>
      <c r="C334" s="77">
        <f>VLOOKUP(A334,'China Production data'!$A$1:$C$508,2,FALSE)</f>
        <v/>
      </c>
    </row>
    <row r="335">
      <c r="A335" s="78" t="n">
        <v>43312</v>
      </c>
      <c r="B335" s="68">
        <f>VLOOKUP(A335,'China Production data'!$A$1:$C$508,3,FALSE)</f>
        <v/>
      </c>
      <c r="C335" s="77">
        <f>VLOOKUP(A335,'China Production data'!$A$1:$C$508,2,FALSE)</f>
        <v/>
      </c>
    </row>
    <row r="336">
      <c r="A336" s="76" t="n">
        <v>43343</v>
      </c>
      <c r="B336" s="68">
        <f>VLOOKUP(A336,'China Production data'!$A$1:$C$508,3,FALSE)</f>
        <v/>
      </c>
      <c r="C336" s="77">
        <f>VLOOKUP(A336,'China Production data'!$A$1:$C$508,2,FALSE)</f>
        <v/>
      </c>
    </row>
    <row r="337">
      <c r="A337" s="78" t="n">
        <v>43373</v>
      </c>
      <c r="B337" s="68">
        <f>VLOOKUP(A337,'China Production data'!$A$1:$C$508,3,FALSE)</f>
        <v/>
      </c>
      <c r="C337" s="77">
        <f>VLOOKUP(A337,'China Production data'!$A$1:$C$508,2,FALSE)</f>
        <v/>
      </c>
    </row>
    <row r="338">
      <c r="A338" s="76" t="n">
        <v>43404</v>
      </c>
      <c r="B338" s="68">
        <f>VLOOKUP(A338,'China Production data'!$A$1:$C$508,3,FALSE)</f>
        <v/>
      </c>
      <c r="C338" s="77">
        <f>VLOOKUP(A338,'China Production data'!$A$1:$C$508,2,FALSE)</f>
        <v/>
      </c>
    </row>
    <row r="339">
      <c r="A339" s="78" t="n">
        <v>43434</v>
      </c>
      <c r="B339" s="68">
        <f>VLOOKUP(A339,'China Production data'!$A$1:$C$508,3,FALSE)</f>
        <v/>
      </c>
      <c r="C339" s="77">
        <f>VLOOKUP(A339,'China Production data'!$A$1:$C$508,2,FALSE)</f>
        <v/>
      </c>
    </row>
    <row r="340">
      <c r="A340" s="76" t="n">
        <v>43465</v>
      </c>
      <c r="B340" s="68">
        <f>VLOOKUP(A340,'China Production data'!$A$1:$C$508,3,FALSE)</f>
        <v/>
      </c>
      <c r="C340" s="77">
        <f>VLOOKUP(A340,'China Production data'!$A$1:$C$508,2,FALSE)</f>
        <v/>
      </c>
    </row>
    <row r="341">
      <c r="A341" s="78" t="n">
        <v>43496</v>
      </c>
      <c r="B341" s="68">
        <f>VLOOKUP(A341,'China Production data'!$A$1:$C$508,3,FALSE)</f>
        <v/>
      </c>
      <c r="C341" s="77">
        <f>VLOOKUP(A341,'China Production data'!$A$1:$C$508,2,FALSE)</f>
        <v/>
      </c>
    </row>
    <row r="342">
      <c r="A342" s="76" t="n">
        <v>43524</v>
      </c>
      <c r="B342" s="68">
        <f>VLOOKUP(A342,'China Production data'!$A$1:$C$508,3,FALSE)</f>
        <v/>
      </c>
      <c r="C342" s="77">
        <f>VLOOKUP(A342,'China Production data'!$A$1:$C$508,2,FALSE)</f>
        <v/>
      </c>
    </row>
    <row r="343">
      <c r="A343" s="78" t="n">
        <v>43555</v>
      </c>
      <c r="B343" s="68">
        <f>VLOOKUP(A343,'China Production data'!$A$1:$C$508,3,FALSE)</f>
        <v/>
      </c>
      <c r="C343" s="77">
        <f>VLOOKUP(A343,'China Production data'!$A$1:$C$508,2,FALSE)</f>
        <v/>
      </c>
    </row>
    <row r="344">
      <c r="A344" s="78" t="n">
        <v>43585</v>
      </c>
      <c r="B344" s="68">
        <f>VLOOKUP(A344,'China Production data'!$A$1:$C$508,3,FALSE)</f>
        <v/>
      </c>
      <c r="C344" s="77">
        <f>VLOOKUP(A344,'China Production data'!$A$1:$C$508,2,FALSE)</f>
        <v/>
      </c>
    </row>
    <row r="345">
      <c r="A345" s="76" t="n">
        <v>43616</v>
      </c>
      <c r="B345" s="68">
        <f>VLOOKUP(A345,'China Production data'!$A$1:$C$508,3,FALSE)</f>
        <v/>
      </c>
      <c r="C345" s="77">
        <f>VLOOKUP(A345,'China Production data'!$A$1:$C$508,2,FALSE)</f>
        <v/>
      </c>
    </row>
    <row r="346">
      <c r="A346" s="76" t="n">
        <v>43646</v>
      </c>
      <c r="B346" s="68">
        <f>VLOOKUP(A346,'China Production data'!$A$1:$C$508,3,FALSE)</f>
        <v/>
      </c>
      <c r="C346" s="77">
        <f>VLOOKUP(A346,'China Production data'!$A$1:$C$508,2,FALSE)</f>
        <v/>
      </c>
    </row>
    <row r="347">
      <c r="A347" s="78" t="n">
        <v>43677</v>
      </c>
      <c r="B347" s="68">
        <f>VLOOKUP(A347,'China Production data'!$A$1:$C$508,3,FALSE)</f>
        <v/>
      </c>
      <c r="C347" s="77">
        <f>VLOOKUP(A347,'China Production data'!$A$1:$C$508,2,FALSE)</f>
        <v/>
      </c>
    </row>
    <row r="348">
      <c r="A348" s="76" t="n">
        <v>43708</v>
      </c>
      <c r="B348" s="68">
        <f>VLOOKUP(A348,'China Production data'!$A$1:$C$508,3,FALSE)</f>
        <v/>
      </c>
      <c r="C348" s="77">
        <f>VLOOKUP(A348,'China Production data'!$A$1:$C$508,2,FALSE)</f>
        <v/>
      </c>
    </row>
    <row r="349">
      <c r="A349" s="78" t="n">
        <v>43738</v>
      </c>
      <c r="B349" s="68">
        <f>VLOOKUP(A349,'China Production data'!$A$1:$C$508,3,FALSE)</f>
        <v/>
      </c>
      <c r="C349" s="77">
        <f>VLOOKUP(A349,'China Production data'!$A$1:$C$508,2,FALSE)</f>
        <v/>
      </c>
    </row>
    <row r="350">
      <c r="A350" s="76" t="n">
        <v>43769</v>
      </c>
      <c r="B350" s="68">
        <f>VLOOKUP(A350,'China Production data'!$A$1:$C$508,3,FALSE)</f>
        <v/>
      </c>
      <c r="C350" s="77">
        <f>VLOOKUP(A350,'China Production data'!$A$1:$C$508,2,FALSE)</f>
        <v/>
      </c>
    </row>
    <row r="351">
      <c r="A351" s="76" t="n">
        <v>43799</v>
      </c>
      <c r="B351" s="68">
        <f>VLOOKUP(A351,'China Production data'!$A$1:$C$508,3,FALSE)</f>
        <v/>
      </c>
      <c r="C351" s="77">
        <f>VLOOKUP(A351,'China Production data'!$A$1:$C$508,2,FALSE)</f>
        <v/>
      </c>
    </row>
    <row r="352">
      <c r="A352" s="76" t="n">
        <v>43830</v>
      </c>
      <c r="B352" s="68">
        <f>VLOOKUP(A352,'China Production data'!$A$1:$C$508,3,FALSE)</f>
        <v/>
      </c>
      <c r="C352" s="77">
        <f>VLOOKUP(A352,'China Production data'!$A$1:$C$508,2,FALSE)</f>
        <v/>
      </c>
    </row>
    <row r="353">
      <c r="A353" s="76" t="n">
        <v>43890</v>
      </c>
      <c r="B353" s="68">
        <f>VLOOKUP(A353,'China Production data'!$A$1:$C$508,3,FALSE)</f>
        <v/>
      </c>
      <c r="C353" s="77">
        <f>VLOOKUP(A353,'China Production data'!$A$1:$C$508,2,FALSE)</f>
        <v/>
      </c>
    </row>
    <row r="354">
      <c r="A354" s="76" t="n">
        <v>43921</v>
      </c>
      <c r="B354" s="68">
        <f>VLOOKUP(A354,'China Production data'!$A$1:$C$508,3,FALSE)</f>
        <v/>
      </c>
      <c r="C354" s="77">
        <f>VLOOKUP(A354,'China Production data'!$A$1:$C$508,2,FALSE)</f>
        <v/>
      </c>
    </row>
    <row r="355">
      <c r="A355" s="76" t="n">
        <v>43951</v>
      </c>
      <c r="B355" s="68">
        <f>VLOOKUP(A355,'China Production data'!$A$1:$C$508,3,FALSE)</f>
        <v/>
      </c>
      <c r="C355" s="77">
        <f>VLOOKUP(A355,'China Production data'!$A$1:$C$508,2,FALSE)</f>
        <v/>
      </c>
    </row>
    <row r="356">
      <c r="A356" s="76" t="n">
        <v>43982</v>
      </c>
      <c r="B356" s="68">
        <f>VLOOKUP(A356,'China Production data'!$A$1:$C$508,3,FALSE)</f>
        <v/>
      </c>
      <c r="C356" s="77">
        <f>VLOOKUP(A356,'China Production data'!$A$1:$C$508,2,FALSE)</f>
        <v/>
      </c>
    </row>
    <row r="357">
      <c r="A357" s="76" t="n">
        <v>44012</v>
      </c>
      <c r="B357" s="68">
        <f>VLOOKUP(A357,'China Production data'!$A$1:$C$508,3,FALSE)</f>
        <v/>
      </c>
      <c r="C357" s="77">
        <f>VLOOKUP(A357,'China Production data'!$A$1:$C$508,2,FALSE)</f>
        <v/>
      </c>
    </row>
    <row r="358">
      <c r="A358" s="76" t="n">
        <v>44043</v>
      </c>
      <c r="B358" s="68">
        <f>VLOOKUP(A358,'China Production data'!$A$1:$C$508,3,FALSE)</f>
        <v/>
      </c>
      <c r="C358" s="77">
        <f>VLOOKUP(A358,'China Production data'!$A$1:$C$508,2,FALSE)</f>
        <v/>
      </c>
    </row>
    <row r="359">
      <c r="A359" s="76" t="n">
        <v>44074</v>
      </c>
      <c r="B359" s="68">
        <f>VLOOKUP(A359,'China Production data'!$A$1:$C$508,3,FALSE)</f>
        <v/>
      </c>
      <c r="C359" s="77">
        <f>VLOOKUP(A359,'China Production data'!$A$1:$C$508,2,FALSE)</f>
        <v/>
      </c>
    </row>
    <row r="360">
      <c r="A360" s="76" t="n">
        <v>44104</v>
      </c>
      <c r="B360" s="68">
        <f>VLOOKUP(A360,'China Production data'!$A$1:$C$508,3,FALSE)</f>
        <v/>
      </c>
      <c r="C360" s="77">
        <f>VLOOKUP(A360,'China Production data'!$A$1:$C$508,2,FALSE)</f>
        <v/>
      </c>
    </row>
    <row r="361">
      <c r="A361" s="76" t="n">
        <v>44135</v>
      </c>
      <c r="B361" s="68">
        <f>VLOOKUP(A361,'China Production data'!$A$1:$C$508,3,FALSE)</f>
        <v/>
      </c>
      <c r="C361" s="77">
        <f>VLOOKUP(A361,'China Production data'!$A$1:$C$508,2,FALSE)</f>
        <v/>
      </c>
    </row>
    <row r="362">
      <c r="A362" s="76" t="n">
        <v>44165</v>
      </c>
      <c r="B362" s="68">
        <f>VLOOKUP(A362,'China Production data'!$A$1:$C$508,3,FALSE)</f>
        <v/>
      </c>
      <c r="C362" s="77">
        <f>VLOOKUP(A362,'China Production data'!$A$1:$C$508,2,FALSE)</f>
        <v/>
      </c>
    </row>
    <row r="363">
      <c r="A363" s="76" t="n">
        <v>44196</v>
      </c>
      <c r="B363" s="68">
        <f>VLOOKUP(A363,'China Production data'!$A$1:$C$508,3,FALSE)</f>
        <v/>
      </c>
      <c r="C363" s="77">
        <f>VLOOKUP(A363,'China Production data'!$A$1:$C$508,2,FALSE)</f>
        <v/>
      </c>
    </row>
    <row r="364">
      <c r="A364" s="76" t="n">
        <v>44227</v>
      </c>
      <c r="B364" s="68">
        <f>VLOOKUP(A364,'China Production data'!$A$1:$C$508,3,FALSE)</f>
        <v/>
      </c>
      <c r="C364" s="77">
        <f>VLOOKUP(A364,'China Production data'!$A$1:$C$508,2,FALSE)</f>
        <v/>
      </c>
    </row>
    <row r="365">
      <c r="A365" s="76" t="n">
        <v>44255</v>
      </c>
      <c r="B365" s="68">
        <f>VLOOKUP(A365,'China Production data'!$A$1:$C$508,3,FALSE)</f>
        <v/>
      </c>
      <c r="C365" s="77">
        <f>VLOOKUP(A365,'China Production data'!$A$1:$C$508,2,FALSE)</f>
        <v/>
      </c>
    </row>
    <row r="366">
      <c r="A366" s="76" t="n">
        <v>44286</v>
      </c>
      <c r="B366" s="68">
        <f>VLOOKUP(A366,'China Production data'!$A$1:$C$508,3,FALSE)</f>
        <v/>
      </c>
      <c r="C366" s="77">
        <f>VLOOKUP(A366,'China Production data'!$A$1:$C$508,2,FALSE)</f>
        <v/>
      </c>
    </row>
    <row r="367">
      <c r="A367" s="76" t="n">
        <v>44316</v>
      </c>
      <c r="B367" s="68">
        <f>VLOOKUP(A367,'China Production data'!$A$1:$C$508,3,FALSE)</f>
        <v/>
      </c>
      <c r="C367" s="77">
        <f>VLOOKUP(A367,'China Production data'!$A$1:$C$508,2,FALSE)</f>
        <v/>
      </c>
    </row>
    <row r="368">
      <c r="A368" s="76" t="n">
        <v>44347</v>
      </c>
      <c r="B368" s="68">
        <f>VLOOKUP(A368,'China Production data'!$A$1:$C$508,3,FALSE)</f>
        <v/>
      </c>
      <c r="C368" s="77">
        <f>VLOOKUP(A368,'China Production data'!$A$1:$C$508,2,FALSE)</f>
        <v/>
      </c>
    </row>
    <row r="369">
      <c r="A369" s="76" t="n">
        <v>44377</v>
      </c>
      <c r="B369" s="68">
        <f>VLOOKUP(A369,'China Production data'!$A$1:$C$508,3,FALSE)</f>
        <v/>
      </c>
      <c r="C369" s="77">
        <f>VLOOKUP(A369,'China Production data'!$A$1:$C$508,2,FALSE)</f>
        <v/>
      </c>
    </row>
    <row r="370">
      <c r="A370" s="76" t="n">
        <v>44408</v>
      </c>
      <c r="B370" s="68">
        <f>VLOOKUP(A370,'China Production data'!$A$1:$C$508,3,FALSE)</f>
        <v/>
      </c>
      <c r="C370" s="77">
        <f>VLOOKUP(A370,'China Production data'!$A$1:$C$508,2,FALSE)</f>
        <v/>
      </c>
    </row>
    <row r="371">
      <c r="A371" s="76" t="n">
        <v>44439</v>
      </c>
      <c r="B371" s="68">
        <f>VLOOKUP(A371,'China Production data'!$A$1:$C$508,3,FALSE)</f>
        <v/>
      </c>
      <c r="C371" s="77">
        <f>VLOOKUP(A371,'China Production data'!$A$1:$C$508,2,FALSE)</f>
        <v/>
      </c>
    </row>
    <row r="372">
      <c r="A372" s="76" t="n">
        <v>44469</v>
      </c>
      <c r="B372" s="68">
        <f>VLOOKUP(A372,'China Production data'!$A$1:$C$508,3,FALSE)</f>
        <v/>
      </c>
      <c r="C372" s="77">
        <f>VLOOKUP(A372,'China Production data'!$A$1:$C$508,2,FALSE)</f>
        <v/>
      </c>
    </row>
    <row r="373">
      <c r="A373" s="76" t="n">
        <v>44500</v>
      </c>
      <c r="B373" s="68">
        <f>VLOOKUP(A373,'China Production data'!$A$1:$C$508,3,FALSE)</f>
        <v/>
      </c>
      <c r="C373" s="77">
        <f>VLOOKUP(A373,'China Production data'!$A$1:$C$508,2,FALSE)</f>
        <v/>
      </c>
    </row>
    <row r="374">
      <c r="A374" s="76" t="n">
        <v>44530</v>
      </c>
      <c r="B374" s="68">
        <f>VLOOKUP(A374,'China Production data'!$A$1:$C$508,3,FALSE)</f>
        <v/>
      </c>
      <c r="C374" s="77">
        <f>VLOOKUP(A374,'China Production data'!$A$1:$C$508,2,FALSE)</f>
        <v/>
      </c>
    </row>
    <row r="375">
      <c r="A375" s="76" t="n">
        <v>44561</v>
      </c>
      <c r="B375" s="68">
        <f>VLOOKUP(A375,'China Production data'!$A$1:$C$508,3,FALSE)</f>
        <v/>
      </c>
      <c r="C375" s="77">
        <f>VLOOKUP(A375,'China Production data'!$A$1:$C$508,2,FALSE)</f>
        <v/>
      </c>
    </row>
    <row r="376">
      <c r="A376" s="76" t="n">
        <v>44592</v>
      </c>
      <c r="B376" s="68">
        <f>VLOOKUP(A376,'China Production data'!$A$1:$C$508,3,FALSE)</f>
        <v/>
      </c>
      <c r="C376" s="77">
        <f>VLOOKUP(A376,'China Production data'!$A$1:$C$508,2,FALSE)</f>
        <v/>
      </c>
    </row>
    <row r="377">
      <c r="A377" s="76" t="n">
        <v>44620</v>
      </c>
      <c r="B377" s="68">
        <f>VLOOKUP(A377,'China Production data'!$A$1:$C$508,3,FALSE)</f>
        <v/>
      </c>
      <c r="C377" s="77">
        <f>VLOOKUP(A377,'China Production data'!$A$1:$C$508,2,FALSE)</f>
        <v/>
      </c>
    </row>
    <row r="378">
      <c r="A378" s="76" t="n">
        <v>44651</v>
      </c>
      <c r="B378" s="68">
        <f>VLOOKUP(A378,'China Production data'!$A$1:$C$508,3,FALSE)</f>
        <v/>
      </c>
      <c r="C378" s="77">
        <f>VLOOKUP(A378,'China Production data'!$A$1:$C$508,2,FALSE)</f>
        <v/>
      </c>
    </row>
    <row r="379">
      <c r="A379" s="76" t="n">
        <v>44681</v>
      </c>
      <c r="B379" s="68">
        <f>VLOOKUP(A379,'China Production data'!$A$1:$C$508,3,FALSE)</f>
        <v/>
      </c>
      <c r="C379" s="77">
        <f>VLOOKUP(A379,'China Production data'!$A$1:$C$508,2,FALSE)</f>
        <v/>
      </c>
    </row>
    <row r="380">
      <c r="A380" s="76" t="n">
        <v>44712</v>
      </c>
      <c r="B380" s="68">
        <f>VLOOKUP(A380,'China Production data'!$A$1:$C$508,3,FALSE)</f>
        <v/>
      </c>
      <c r="C380" s="77">
        <f>VLOOKUP(A380,'China Production data'!$A$1:$C$508,2,FALSE)</f>
        <v/>
      </c>
    </row>
    <row r="381">
      <c r="A381" s="76" t="n">
        <v>44742</v>
      </c>
      <c r="B381" s="68">
        <f>VLOOKUP(A381,'China Production data'!$A$1:$C$508,3,FALSE)</f>
        <v/>
      </c>
      <c r="C381" s="77">
        <f>VLOOKUP(A381,'China Production data'!$A$1:$C$508,2,FALSE)</f>
        <v/>
      </c>
    </row>
  </sheetData>
  <conditionalFormatting sqref="B242:B38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2022-07-19T03:49:13Z</dcterms:modified>
  <cp:lastModifiedBy>Mark Mukherjee</cp:lastModifiedBy>
</cp:coreProperties>
</file>